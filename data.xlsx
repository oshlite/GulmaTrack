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ri.sulistiono\Documents\DRONE\"/>
    </mc:Choice>
  </mc:AlternateContent>
  <xr:revisionPtr revIDLastSave="0" documentId="13_ncr:1_{A9798D6E-5C66-4DC9-9069-C9F5D979285C}" xr6:coauthVersionLast="47" xr6:coauthVersionMax="47" xr10:uidLastSave="{00000000-0000-0000-0000-000000000000}"/>
  <bookViews>
    <workbookView xWindow="-110" yWindow="-110" windowWidth="19420" windowHeight="10300" xr2:uid="{5063A072-4CD1-4B72-93CE-8F7B87274AF3}"/>
  </bookViews>
  <sheets>
    <sheet name="renc" sheetId="2" r:id="rId1"/>
  </sheets>
  <externalReferences>
    <externalReference r:id="rId2"/>
  </externalReferences>
  <definedNames>
    <definedName name="_xlnm._FilterDatabase" localSheetId="0" hidden="1">renc!$A$9:$S$649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" l="1"/>
  <c r="S571" i="2"/>
  <c r="O571" i="2"/>
  <c r="M571" i="2"/>
  <c r="L571" i="2"/>
  <c r="J571" i="2"/>
  <c r="H571" i="2"/>
  <c r="G571" i="2"/>
  <c r="E571" i="2"/>
  <c r="C571" i="2"/>
  <c r="B571" i="2"/>
  <c r="S570" i="2"/>
  <c r="O570" i="2"/>
  <c r="M570" i="2"/>
  <c r="L570" i="2"/>
  <c r="J570" i="2"/>
  <c r="H570" i="2"/>
  <c r="G570" i="2"/>
  <c r="E570" i="2"/>
  <c r="C570" i="2"/>
  <c r="B570" i="2"/>
  <c r="S569" i="2"/>
  <c r="O569" i="2"/>
  <c r="M569" i="2"/>
  <c r="L569" i="2"/>
  <c r="J569" i="2"/>
  <c r="H569" i="2"/>
  <c r="G569" i="2"/>
  <c r="E569" i="2"/>
  <c r="C569" i="2"/>
  <c r="B569" i="2"/>
  <c r="S568" i="2"/>
  <c r="O568" i="2"/>
  <c r="M568" i="2"/>
  <c r="L568" i="2"/>
  <c r="J568" i="2"/>
  <c r="H568" i="2"/>
  <c r="G568" i="2"/>
  <c r="E568" i="2"/>
  <c r="C568" i="2"/>
  <c r="B568" i="2"/>
  <c r="S567" i="2"/>
  <c r="O567" i="2"/>
  <c r="M567" i="2"/>
  <c r="L567" i="2"/>
  <c r="J567" i="2"/>
  <c r="H567" i="2"/>
  <c r="G567" i="2"/>
  <c r="E567" i="2"/>
  <c r="C567" i="2"/>
  <c r="B567" i="2"/>
  <c r="S566" i="2"/>
  <c r="O566" i="2"/>
  <c r="M566" i="2"/>
  <c r="L566" i="2"/>
  <c r="J566" i="2"/>
  <c r="H566" i="2"/>
  <c r="G566" i="2"/>
  <c r="E566" i="2"/>
  <c r="C566" i="2"/>
  <c r="B566" i="2"/>
  <c r="S565" i="2"/>
  <c r="O565" i="2"/>
  <c r="M565" i="2"/>
  <c r="L565" i="2"/>
  <c r="J565" i="2"/>
  <c r="H565" i="2"/>
  <c r="G565" i="2"/>
  <c r="E565" i="2"/>
  <c r="C565" i="2"/>
  <c r="B565" i="2"/>
  <c r="S564" i="2"/>
  <c r="O564" i="2"/>
  <c r="M564" i="2"/>
  <c r="L564" i="2"/>
  <c r="J564" i="2"/>
  <c r="H564" i="2"/>
  <c r="G564" i="2"/>
  <c r="E564" i="2"/>
  <c r="C564" i="2"/>
  <c r="B564" i="2"/>
  <c r="S563" i="2"/>
  <c r="O563" i="2"/>
  <c r="M563" i="2"/>
  <c r="L563" i="2"/>
  <c r="J563" i="2"/>
  <c r="H563" i="2"/>
  <c r="G563" i="2"/>
  <c r="E563" i="2"/>
  <c r="C563" i="2"/>
  <c r="B563" i="2"/>
  <c r="S562" i="2"/>
  <c r="O562" i="2"/>
  <c r="M562" i="2"/>
  <c r="L562" i="2"/>
  <c r="J562" i="2"/>
  <c r="H562" i="2"/>
  <c r="G562" i="2"/>
  <c r="E562" i="2"/>
  <c r="C562" i="2"/>
  <c r="B562" i="2"/>
  <c r="S561" i="2"/>
  <c r="O561" i="2"/>
  <c r="M561" i="2"/>
  <c r="L561" i="2"/>
  <c r="J561" i="2"/>
  <c r="H561" i="2"/>
  <c r="G561" i="2"/>
  <c r="E561" i="2"/>
  <c r="C561" i="2"/>
  <c r="B561" i="2"/>
  <c r="S560" i="2"/>
  <c r="M560" i="2"/>
  <c r="L560" i="2"/>
  <c r="J560" i="2"/>
  <c r="H560" i="2"/>
  <c r="G560" i="2"/>
  <c r="E560" i="2"/>
  <c r="C560" i="2"/>
  <c r="B560" i="2"/>
  <c r="S559" i="2"/>
  <c r="M559" i="2"/>
  <c r="L559" i="2"/>
  <c r="J559" i="2"/>
  <c r="H559" i="2"/>
  <c r="G559" i="2"/>
  <c r="E559" i="2"/>
  <c r="C559" i="2"/>
  <c r="B559" i="2"/>
  <c r="S558" i="2"/>
  <c r="M558" i="2"/>
  <c r="L558" i="2"/>
  <c r="J558" i="2"/>
  <c r="H558" i="2"/>
  <c r="G558" i="2"/>
  <c r="E558" i="2"/>
  <c r="C558" i="2"/>
  <c r="B558" i="2"/>
  <c r="S557" i="2"/>
  <c r="M557" i="2"/>
  <c r="L557" i="2"/>
  <c r="J557" i="2"/>
  <c r="H557" i="2"/>
  <c r="G557" i="2"/>
  <c r="E557" i="2"/>
  <c r="C557" i="2"/>
  <c r="B557" i="2"/>
  <c r="S556" i="2"/>
  <c r="M556" i="2"/>
  <c r="L556" i="2"/>
  <c r="J556" i="2"/>
  <c r="H556" i="2"/>
  <c r="G556" i="2"/>
  <c r="E556" i="2"/>
  <c r="C556" i="2"/>
  <c r="B556" i="2"/>
  <c r="S555" i="2"/>
  <c r="M555" i="2"/>
  <c r="L555" i="2"/>
  <c r="J555" i="2"/>
  <c r="H555" i="2"/>
  <c r="G555" i="2"/>
  <c r="E555" i="2"/>
  <c r="C555" i="2"/>
  <c r="B555" i="2"/>
  <c r="S554" i="2"/>
  <c r="M554" i="2"/>
  <c r="L554" i="2"/>
  <c r="J554" i="2"/>
  <c r="H554" i="2"/>
  <c r="G554" i="2"/>
  <c r="E554" i="2"/>
  <c r="C554" i="2"/>
  <c r="B554" i="2"/>
  <c r="S553" i="2"/>
  <c r="M553" i="2"/>
  <c r="L553" i="2"/>
  <c r="J553" i="2"/>
  <c r="H553" i="2"/>
  <c r="G553" i="2"/>
  <c r="E553" i="2"/>
  <c r="C553" i="2"/>
  <c r="B553" i="2"/>
  <c r="S552" i="2"/>
  <c r="M552" i="2"/>
  <c r="L552" i="2"/>
  <c r="J552" i="2"/>
  <c r="H552" i="2"/>
  <c r="G552" i="2"/>
  <c r="E552" i="2"/>
  <c r="C552" i="2"/>
  <c r="B552" i="2"/>
  <c r="S551" i="2"/>
  <c r="M551" i="2"/>
  <c r="L551" i="2"/>
  <c r="J551" i="2"/>
  <c r="H551" i="2"/>
  <c r="G551" i="2"/>
  <c r="E551" i="2"/>
  <c r="C551" i="2"/>
  <c r="B551" i="2"/>
  <c r="S550" i="2"/>
  <c r="M550" i="2"/>
  <c r="L550" i="2"/>
  <c r="J550" i="2"/>
  <c r="H550" i="2"/>
  <c r="G550" i="2"/>
  <c r="E550" i="2"/>
  <c r="C550" i="2"/>
  <c r="B550" i="2"/>
  <c r="S549" i="2"/>
  <c r="M549" i="2"/>
  <c r="L549" i="2"/>
  <c r="J549" i="2"/>
  <c r="H549" i="2"/>
  <c r="G549" i="2"/>
  <c r="E549" i="2"/>
  <c r="C549" i="2"/>
  <c r="B549" i="2"/>
  <c r="S548" i="2"/>
  <c r="M548" i="2"/>
  <c r="L548" i="2"/>
  <c r="J548" i="2"/>
  <c r="H548" i="2"/>
  <c r="G548" i="2"/>
  <c r="E548" i="2"/>
  <c r="C548" i="2"/>
  <c r="B548" i="2"/>
  <c r="S547" i="2"/>
  <c r="M547" i="2"/>
  <c r="L547" i="2"/>
  <c r="J547" i="2"/>
  <c r="H547" i="2"/>
  <c r="G547" i="2"/>
  <c r="E547" i="2"/>
  <c r="C547" i="2"/>
  <c r="B547" i="2"/>
  <c r="S546" i="2"/>
  <c r="M546" i="2"/>
  <c r="L546" i="2"/>
  <c r="J546" i="2"/>
  <c r="H546" i="2"/>
  <c r="G546" i="2"/>
  <c r="E546" i="2"/>
  <c r="C546" i="2"/>
  <c r="B546" i="2"/>
  <c r="S545" i="2"/>
  <c r="M545" i="2"/>
  <c r="L545" i="2"/>
  <c r="J545" i="2"/>
  <c r="H545" i="2"/>
  <c r="G545" i="2"/>
  <c r="E545" i="2"/>
  <c r="C545" i="2"/>
  <c r="B545" i="2"/>
  <c r="S544" i="2"/>
  <c r="M544" i="2"/>
  <c r="L544" i="2"/>
  <c r="J544" i="2"/>
  <c r="H544" i="2"/>
  <c r="G544" i="2"/>
  <c r="E544" i="2"/>
  <c r="C544" i="2"/>
  <c r="B544" i="2"/>
  <c r="S543" i="2"/>
  <c r="M543" i="2"/>
  <c r="L543" i="2"/>
  <c r="J543" i="2"/>
  <c r="H543" i="2"/>
  <c r="G543" i="2"/>
  <c r="E543" i="2"/>
  <c r="C543" i="2"/>
  <c r="B543" i="2"/>
  <c r="S542" i="2"/>
  <c r="M542" i="2"/>
  <c r="L542" i="2"/>
  <c r="J542" i="2"/>
  <c r="H542" i="2"/>
  <c r="G542" i="2"/>
  <c r="E542" i="2"/>
  <c r="C542" i="2"/>
  <c r="B542" i="2"/>
  <c r="S541" i="2"/>
  <c r="M541" i="2"/>
  <c r="L541" i="2"/>
  <c r="J541" i="2"/>
  <c r="H541" i="2"/>
  <c r="G541" i="2"/>
  <c r="E541" i="2"/>
  <c r="C541" i="2"/>
  <c r="B541" i="2"/>
  <c r="S540" i="2"/>
  <c r="M540" i="2"/>
  <c r="L540" i="2"/>
  <c r="J540" i="2"/>
  <c r="H540" i="2"/>
  <c r="G540" i="2"/>
  <c r="E540" i="2"/>
  <c r="C540" i="2"/>
  <c r="B540" i="2"/>
  <c r="S539" i="2"/>
  <c r="M539" i="2"/>
  <c r="L539" i="2"/>
  <c r="J539" i="2"/>
  <c r="H539" i="2"/>
  <c r="G539" i="2"/>
  <c r="E539" i="2"/>
  <c r="C539" i="2"/>
  <c r="B539" i="2"/>
  <c r="S538" i="2"/>
  <c r="M538" i="2"/>
  <c r="L538" i="2"/>
  <c r="J538" i="2"/>
  <c r="H538" i="2"/>
  <c r="G538" i="2"/>
  <c r="E538" i="2"/>
  <c r="C538" i="2"/>
  <c r="B538" i="2"/>
  <c r="S537" i="2"/>
  <c r="M537" i="2"/>
  <c r="L537" i="2"/>
  <c r="J537" i="2"/>
  <c r="H537" i="2"/>
  <c r="G537" i="2"/>
  <c r="E537" i="2"/>
  <c r="C537" i="2"/>
  <c r="B537" i="2"/>
  <c r="S536" i="2"/>
  <c r="M536" i="2"/>
  <c r="L536" i="2"/>
  <c r="J536" i="2"/>
  <c r="H536" i="2"/>
  <c r="G536" i="2"/>
  <c r="E536" i="2"/>
  <c r="C536" i="2"/>
  <c r="B536" i="2"/>
  <c r="S535" i="2"/>
  <c r="M535" i="2"/>
  <c r="L535" i="2"/>
  <c r="J535" i="2"/>
  <c r="H535" i="2"/>
  <c r="G535" i="2"/>
  <c r="E535" i="2"/>
  <c r="C535" i="2"/>
  <c r="B535" i="2"/>
  <c r="S534" i="2"/>
  <c r="M534" i="2"/>
  <c r="L534" i="2"/>
  <c r="J534" i="2"/>
  <c r="H534" i="2"/>
  <c r="G534" i="2"/>
  <c r="E534" i="2"/>
  <c r="C534" i="2"/>
  <c r="B534" i="2"/>
  <c r="S533" i="2"/>
  <c r="M533" i="2"/>
  <c r="L533" i="2"/>
  <c r="J533" i="2"/>
  <c r="H533" i="2"/>
  <c r="G533" i="2"/>
  <c r="E533" i="2"/>
  <c r="C533" i="2"/>
  <c r="B533" i="2"/>
  <c r="S532" i="2"/>
  <c r="M532" i="2"/>
  <c r="L532" i="2"/>
  <c r="J532" i="2"/>
  <c r="H532" i="2"/>
  <c r="G532" i="2"/>
  <c r="E532" i="2"/>
  <c r="C532" i="2"/>
  <c r="B532" i="2"/>
  <c r="S531" i="2"/>
  <c r="M531" i="2"/>
  <c r="L531" i="2"/>
  <c r="J531" i="2"/>
  <c r="H531" i="2"/>
  <c r="G531" i="2"/>
  <c r="E531" i="2"/>
  <c r="C531" i="2"/>
  <c r="B531" i="2"/>
  <c r="S530" i="2"/>
  <c r="M530" i="2"/>
  <c r="L530" i="2"/>
  <c r="J530" i="2"/>
  <c r="H530" i="2"/>
  <c r="G530" i="2"/>
  <c r="E530" i="2"/>
  <c r="C530" i="2"/>
  <c r="B530" i="2"/>
  <c r="S529" i="2"/>
  <c r="M529" i="2"/>
  <c r="L529" i="2"/>
  <c r="J529" i="2"/>
  <c r="H529" i="2"/>
  <c r="G529" i="2"/>
  <c r="E529" i="2"/>
  <c r="C529" i="2"/>
  <c r="B529" i="2"/>
  <c r="S528" i="2"/>
  <c r="M528" i="2"/>
  <c r="L528" i="2"/>
  <c r="J528" i="2"/>
  <c r="H528" i="2"/>
  <c r="G528" i="2"/>
  <c r="E528" i="2"/>
  <c r="C528" i="2"/>
  <c r="B528" i="2"/>
  <c r="S527" i="2"/>
  <c r="M527" i="2"/>
  <c r="L527" i="2"/>
  <c r="J527" i="2"/>
  <c r="H527" i="2"/>
  <c r="G527" i="2"/>
  <c r="E527" i="2"/>
  <c r="C527" i="2"/>
  <c r="B527" i="2"/>
  <c r="S526" i="2"/>
  <c r="M526" i="2"/>
  <c r="L526" i="2"/>
  <c r="J526" i="2"/>
  <c r="H526" i="2"/>
  <c r="G526" i="2"/>
  <c r="E526" i="2"/>
  <c r="C526" i="2"/>
  <c r="B526" i="2"/>
  <c r="S525" i="2"/>
  <c r="M525" i="2"/>
  <c r="L525" i="2"/>
  <c r="J525" i="2"/>
  <c r="H525" i="2"/>
  <c r="G525" i="2"/>
  <c r="E525" i="2"/>
  <c r="C525" i="2"/>
  <c r="B525" i="2"/>
  <c r="S524" i="2"/>
  <c r="M524" i="2"/>
  <c r="L524" i="2"/>
  <c r="J524" i="2"/>
  <c r="H524" i="2"/>
  <c r="G524" i="2"/>
  <c r="E524" i="2"/>
  <c r="C524" i="2"/>
  <c r="B524" i="2"/>
  <c r="M523" i="2"/>
  <c r="L523" i="2"/>
  <c r="J523" i="2"/>
  <c r="H523" i="2"/>
  <c r="G523" i="2"/>
  <c r="E523" i="2"/>
  <c r="F523" i="2" s="1"/>
  <c r="R523" i="2" s="1"/>
  <c r="S523" i="2" s="1"/>
  <c r="C523" i="2"/>
  <c r="B523" i="2"/>
  <c r="M522" i="2"/>
  <c r="L522" i="2"/>
  <c r="J522" i="2"/>
  <c r="H522" i="2"/>
  <c r="G522" i="2"/>
  <c r="E522" i="2"/>
  <c r="F522" i="2" s="1"/>
  <c r="R522" i="2" s="1"/>
  <c r="S522" i="2" s="1"/>
  <c r="C522" i="2"/>
  <c r="B522" i="2"/>
  <c r="S521" i="2"/>
  <c r="O521" i="2"/>
  <c r="M521" i="2"/>
  <c r="L521" i="2"/>
  <c r="J521" i="2"/>
  <c r="H521" i="2"/>
  <c r="G521" i="2"/>
  <c r="E521" i="2"/>
  <c r="C521" i="2"/>
  <c r="B521" i="2"/>
  <c r="S520" i="2"/>
  <c r="O520" i="2"/>
  <c r="M520" i="2"/>
  <c r="L520" i="2"/>
  <c r="J520" i="2"/>
  <c r="H520" i="2"/>
  <c r="G520" i="2"/>
  <c r="E520" i="2"/>
  <c r="C520" i="2"/>
  <c r="B520" i="2"/>
  <c r="S519" i="2"/>
  <c r="O519" i="2"/>
  <c r="M519" i="2"/>
  <c r="L519" i="2"/>
  <c r="J519" i="2"/>
  <c r="H519" i="2"/>
  <c r="G519" i="2"/>
  <c r="E519" i="2"/>
  <c r="C519" i="2"/>
  <c r="B519" i="2"/>
  <c r="S518" i="2"/>
  <c r="O518" i="2"/>
  <c r="M518" i="2"/>
  <c r="L518" i="2"/>
  <c r="J518" i="2"/>
  <c r="H518" i="2"/>
  <c r="G518" i="2"/>
  <c r="E518" i="2"/>
  <c r="C518" i="2"/>
  <c r="B518" i="2"/>
  <c r="S517" i="2"/>
  <c r="O517" i="2"/>
  <c r="M517" i="2"/>
  <c r="L517" i="2"/>
  <c r="J517" i="2"/>
  <c r="H517" i="2"/>
  <c r="G517" i="2"/>
  <c r="E517" i="2"/>
  <c r="C517" i="2"/>
  <c r="B517" i="2"/>
  <c r="S516" i="2"/>
  <c r="O516" i="2"/>
  <c r="M516" i="2"/>
  <c r="L516" i="2"/>
  <c r="J516" i="2"/>
  <c r="H516" i="2"/>
  <c r="G516" i="2"/>
  <c r="E516" i="2"/>
  <c r="C516" i="2"/>
  <c r="B516" i="2"/>
  <c r="S515" i="2"/>
  <c r="O515" i="2"/>
  <c r="M515" i="2"/>
  <c r="L515" i="2"/>
  <c r="J515" i="2"/>
  <c r="H515" i="2"/>
  <c r="G515" i="2"/>
  <c r="E515" i="2"/>
  <c r="C515" i="2"/>
  <c r="B515" i="2"/>
  <c r="S514" i="2"/>
  <c r="O514" i="2"/>
  <c r="M514" i="2"/>
  <c r="L514" i="2"/>
  <c r="J514" i="2"/>
  <c r="H514" i="2"/>
  <c r="G514" i="2"/>
  <c r="E514" i="2"/>
  <c r="C514" i="2"/>
  <c r="B514" i="2"/>
  <c r="S513" i="2"/>
  <c r="O513" i="2"/>
  <c r="M513" i="2"/>
  <c r="L513" i="2"/>
  <c r="J513" i="2"/>
  <c r="H513" i="2"/>
  <c r="G513" i="2"/>
  <c r="E513" i="2"/>
  <c r="C513" i="2"/>
  <c r="B513" i="2"/>
  <c r="S512" i="2"/>
  <c r="O512" i="2"/>
  <c r="M512" i="2"/>
  <c r="L512" i="2"/>
  <c r="J512" i="2"/>
  <c r="H512" i="2"/>
  <c r="G512" i="2"/>
  <c r="E512" i="2"/>
  <c r="C512" i="2"/>
  <c r="B512" i="2"/>
  <c r="S511" i="2"/>
  <c r="M511" i="2"/>
  <c r="L511" i="2"/>
  <c r="J511" i="2"/>
  <c r="H511" i="2"/>
  <c r="G511" i="2"/>
  <c r="E511" i="2"/>
  <c r="C511" i="2"/>
  <c r="B511" i="2"/>
  <c r="S510" i="2"/>
  <c r="M510" i="2"/>
  <c r="L510" i="2"/>
  <c r="J510" i="2"/>
  <c r="H510" i="2"/>
  <c r="G510" i="2"/>
  <c r="E510" i="2"/>
  <c r="C510" i="2"/>
  <c r="B510" i="2"/>
  <c r="S509" i="2"/>
  <c r="M509" i="2"/>
  <c r="L509" i="2"/>
  <c r="J509" i="2"/>
  <c r="H509" i="2"/>
  <c r="G509" i="2"/>
  <c r="E509" i="2"/>
  <c r="C509" i="2"/>
  <c r="B509" i="2"/>
  <c r="S508" i="2"/>
  <c r="M508" i="2"/>
  <c r="L508" i="2"/>
  <c r="J508" i="2"/>
  <c r="H508" i="2"/>
  <c r="G508" i="2"/>
  <c r="E508" i="2"/>
  <c r="C508" i="2"/>
  <c r="B508" i="2"/>
  <c r="S507" i="2"/>
  <c r="M507" i="2"/>
  <c r="L507" i="2"/>
  <c r="J507" i="2"/>
  <c r="H507" i="2"/>
  <c r="G507" i="2"/>
  <c r="E507" i="2"/>
  <c r="C507" i="2"/>
  <c r="B507" i="2"/>
  <c r="S506" i="2"/>
  <c r="M506" i="2"/>
  <c r="L506" i="2"/>
  <c r="J506" i="2"/>
  <c r="H506" i="2"/>
  <c r="G506" i="2"/>
  <c r="E506" i="2"/>
  <c r="C506" i="2"/>
  <c r="B506" i="2"/>
  <c r="S505" i="2"/>
  <c r="M505" i="2"/>
  <c r="L505" i="2"/>
  <c r="J505" i="2"/>
  <c r="H505" i="2"/>
  <c r="G505" i="2"/>
  <c r="E505" i="2"/>
  <c r="C505" i="2"/>
  <c r="B505" i="2"/>
  <c r="S504" i="2"/>
  <c r="M504" i="2"/>
  <c r="L504" i="2"/>
  <c r="J504" i="2"/>
  <c r="H504" i="2"/>
  <c r="G504" i="2"/>
  <c r="E504" i="2"/>
  <c r="C504" i="2"/>
  <c r="B504" i="2"/>
  <c r="S503" i="2"/>
  <c r="M503" i="2"/>
  <c r="L503" i="2"/>
  <c r="J503" i="2"/>
  <c r="H503" i="2"/>
  <c r="G503" i="2"/>
  <c r="E503" i="2"/>
  <c r="C503" i="2"/>
  <c r="B503" i="2"/>
  <c r="S502" i="2"/>
  <c r="M502" i="2"/>
  <c r="L502" i="2"/>
  <c r="J502" i="2"/>
  <c r="H502" i="2"/>
  <c r="G502" i="2"/>
  <c r="E502" i="2"/>
  <c r="C502" i="2"/>
  <c r="B502" i="2"/>
  <c r="S501" i="2"/>
  <c r="M501" i="2"/>
  <c r="L501" i="2"/>
  <c r="J501" i="2"/>
  <c r="H501" i="2"/>
  <c r="G501" i="2"/>
  <c r="E501" i="2"/>
  <c r="C501" i="2"/>
  <c r="B501" i="2"/>
  <c r="S500" i="2"/>
  <c r="M500" i="2"/>
  <c r="L500" i="2"/>
  <c r="J500" i="2"/>
  <c r="H500" i="2"/>
  <c r="G500" i="2"/>
  <c r="E500" i="2"/>
  <c r="C500" i="2"/>
  <c r="B500" i="2"/>
  <c r="S499" i="2"/>
  <c r="M499" i="2"/>
  <c r="L499" i="2"/>
  <c r="J499" i="2"/>
  <c r="H499" i="2"/>
  <c r="G499" i="2"/>
  <c r="E499" i="2"/>
  <c r="C499" i="2"/>
  <c r="B499" i="2"/>
  <c r="S498" i="2"/>
  <c r="M498" i="2"/>
  <c r="L498" i="2"/>
  <c r="J498" i="2"/>
  <c r="H498" i="2"/>
  <c r="G498" i="2"/>
  <c r="E498" i="2"/>
  <c r="C498" i="2"/>
  <c r="B498" i="2"/>
  <c r="S497" i="2"/>
  <c r="M497" i="2"/>
  <c r="L497" i="2"/>
  <c r="J497" i="2"/>
  <c r="H497" i="2"/>
  <c r="G497" i="2"/>
  <c r="E497" i="2"/>
  <c r="C497" i="2"/>
  <c r="B497" i="2"/>
  <c r="S496" i="2"/>
  <c r="M496" i="2"/>
  <c r="L496" i="2"/>
  <c r="J496" i="2"/>
  <c r="H496" i="2"/>
  <c r="G496" i="2"/>
  <c r="E496" i="2"/>
  <c r="C496" i="2"/>
  <c r="B496" i="2"/>
  <c r="S495" i="2"/>
  <c r="M495" i="2"/>
  <c r="L495" i="2"/>
  <c r="J495" i="2"/>
  <c r="H495" i="2"/>
  <c r="G495" i="2"/>
  <c r="E495" i="2"/>
  <c r="C495" i="2"/>
  <c r="B495" i="2"/>
  <c r="S494" i="2"/>
  <c r="M494" i="2"/>
  <c r="L494" i="2"/>
  <c r="J494" i="2"/>
  <c r="H494" i="2"/>
  <c r="G494" i="2"/>
  <c r="E494" i="2"/>
  <c r="C494" i="2"/>
  <c r="B494" i="2"/>
  <c r="S493" i="2"/>
  <c r="M493" i="2"/>
  <c r="L493" i="2"/>
  <c r="J493" i="2"/>
  <c r="H493" i="2"/>
  <c r="G493" i="2"/>
  <c r="E493" i="2"/>
  <c r="C493" i="2"/>
  <c r="B493" i="2"/>
  <c r="S492" i="2"/>
  <c r="M492" i="2"/>
  <c r="L492" i="2"/>
  <c r="J492" i="2"/>
  <c r="H492" i="2"/>
  <c r="G492" i="2"/>
  <c r="E492" i="2"/>
  <c r="C492" i="2"/>
  <c r="B492" i="2"/>
  <c r="S491" i="2"/>
  <c r="M491" i="2"/>
  <c r="L491" i="2"/>
  <c r="J491" i="2"/>
  <c r="H491" i="2"/>
  <c r="G491" i="2"/>
  <c r="E491" i="2"/>
  <c r="C491" i="2"/>
  <c r="B491" i="2"/>
  <c r="S490" i="2"/>
  <c r="M490" i="2"/>
  <c r="L490" i="2"/>
  <c r="J490" i="2"/>
  <c r="H490" i="2"/>
  <c r="G490" i="2"/>
  <c r="E490" i="2"/>
  <c r="C490" i="2"/>
  <c r="B490" i="2"/>
  <c r="S489" i="2"/>
  <c r="M489" i="2"/>
  <c r="L489" i="2"/>
  <c r="J489" i="2"/>
  <c r="H489" i="2"/>
  <c r="G489" i="2"/>
  <c r="E489" i="2"/>
  <c r="C489" i="2"/>
  <c r="B489" i="2"/>
  <c r="S488" i="2"/>
  <c r="M488" i="2"/>
  <c r="L488" i="2"/>
  <c r="J488" i="2"/>
  <c r="H488" i="2"/>
  <c r="G488" i="2"/>
  <c r="E488" i="2"/>
  <c r="C488" i="2"/>
  <c r="B488" i="2"/>
  <c r="S487" i="2"/>
  <c r="M487" i="2"/>
  <c r="L487" i="2"/>
  <c r="J487" i="2"/>
  <c r="H487" i="2"/>
  <c r="G487" i="2"/>
  <c r="E487" i="2"/>
  <c r="C487" i="2"/>
  <c r="B487" i="2"/>
  <c r="S486" i="2"/>
  <c r="M486" i="2"/>
  <c r="L486" i="2"/>
  <c r="J486" i="2"/>
  <c r="H486" i="2"/>
  <c r="G486" i="2"/>
  <c r="E486" i="2"/>
  <c r="C486" i="2"/>
  <c r="B486" i="2"/>
  <c r="S485" i="2"/>
  <c r="M485" i="2"/>
  <c r="L485" i="2"/>
  <c r="J485" i="2"/>
  <c r="H485" i="2"/>
  <c r="G485" i="2"/>
  <c r="E485" i="2"/>
  <c r="C485" i="2"/>
  <c r="B485" i="2"/>
  <c r="S484" i="2"/>
  <c r="M484" i="2"/>
  <c r="L484" i="2"/>
  <c r="J484" i="2"/>
  <c r="H484" i="2"/>
  <c r="G484" i="2"/>
  <c r="E484" i="2"/>
  <c r="C484" i="2"/>
  <c r="B484" i="2"/>
  <c r="S483" i="2"/>
  <c r="M483" i="2"/>
  <c r="L483" i="2"/>
  <c r="J483" i="2"/>
  <c r="H483" i="2"/>
  <c r="G483" i="2"/>
  <c r="E483" i="2"/>
  <c r="C483" i="2"/>
  <c r="B483" i="2"/>
  <c r="S482" i="2"/>
  <c r="M482" i="2"/>
  <c r="L482" i="2"/>
  <c r="J482" i="2"/>
  <c r="H482" i="2"/>
  <c r="G482" i="2"/>
  <c r="E482" i="2"/>
  <c r="C482" i="2"/>
  <c r="B482" i="2"/>
  <c r="S481" i="2"/>
  <c r="M481" i="2"/>
  <c r="L481" i="2"/>
  <c r="J481" i="2"/>
  <c r="H481" i="2"/>
  <c r="G481" i="2"/>
  <c r="E481" i="2"/>
  <c r="C481" i="2"/>
  <c r="B481" i="2"/>
  <c r="S480" i="2"/>
  <c r="M480" i="2"/>
  <c r="L480" i="2"/>
  <c r="J480" i="2"/>
  <c r="H480" i="2"/>
  <c r="G480" i="2"/>
  <c r="E480" i="2"/>
  <c r="C480" i="2"/>
  <c r="B480" i="2"/>
  <c r="S479" i="2"/>
  <c r="M479" i="2"/>
  <c r="L479" i="2"/>
  <c r="J479" i="2"/>
  <c r="H479" i="2"/>
  <c r="G479" i="2"/>
  <c r="E479" i="2"/>
  <c r="C479" i="2"/>
  <c r="B479" i="2"/>
  <c r="S478" i="2"/>
  <c r="M478" i="2"/>
  <c r="L478" i="2"/>
  <c r="J478" i="2"/>
  <c r="H478" i="2"/>
  <c r="G478" i="2"/>
  <c r="E478" i="2"/>
  <c r="C478" i="2"/>
  <c r="B478" i="2"/>
  <c r="S477" i="2"/>
  <c r="M477" i="2"/>
  <c r="L477" i="2"/>
  <c r="J477" i="2"/>
  <c r="H477" i="2"/>
  <c r="G477" i="2"/>
  <c r="E477" i="2"/>
  <c r="C477" i="2"/>
  <c r="B477" i="2"/>
  <c r="S476" i="2"/>
  <c r="M476" i="2"/>
  <c r="L476" i="2"/>
  <c r="J476" i="2"/>
  <c r="H476" i="2"/>
  <c r="G476" i="2"/>
  <c r="E476" i="2"/>
  <c r="C476" i="2"/>
  <c r="B476" i="2"/>
  <c r="M475" i="2"/>
  <c r="L475" i="2"/>
  <c r="J475" i="2"/>
  <c r="H475" i="2"/>
  <c r="G475" i="2"/>
  <c r="E475" i="2"/>
  <c r="F475" i="2" s="1"/>
  <c r="R475" i="2" s="1"/>
  <c r="S475" i="2" s="1"/>
  <c r="C475" i="2"/>
  <c r="B475" i="2"/>
  <c r="S474" i="2"/>
  <c r="M474" i="2"/>
  <c r="L474" i="2"/>
  <c r="J474" i="2"/>
  <c r="H474" i="2"/>
  <c r="G474" i="2"/>
  <c r="E474" i="2"/>
  <c r="C474" i="2"/>
  <c r="B474" i="2"/>
  <c r="S473" i="2"/>
  <c r="M473" i="2"/>
  <c r="L473" i="2"/>
  <c r="J473" i="2"/>
  <c r="H473" i="2"/>
  <c r="G473" i="2"/>
  <c r="E473" i="2"/>
  <c r="C473" i="2"/>
  <c r="B473" i="2"/>
  <c r="S472" i="2"/>
  <c r="M472" i="2"/>
  <c r="L472" i="2"/>
  <c r="J472" i="2"/>
  <c r="H472" i="2"/>
  <c r="G472" i="2"/>
  <c r="E472" i="2"/>
  <c r="C472" i="2"/>
  <c r="B472" i="2"/>
  <c r="S471" i="2"/>
  <c r="O471" i="2"/>
  <c r="M471" i="2"/>
  <c r="L471" i="2"/>
  <c r="J471" i="2"/>
  <c r="H471" i="2"/>
  <c r="G471" i="2"/>
  <c r="E471" i="2"/>
  <c r="C471" i="2"/>
  <c r="B471" i="2"/>
  <c r="S470" i="2"/>
  <c r="O470" i="2"/>
  <c r="M470" i="2"/>
  <c r="L470" i="2"/>
  <c r="J470" i="2"/>
  <c r="H470" i="2"/>
  <c r="G470" i="2"/>
  <c r="E470" i="2"/>
  <c r="C470" i="2"/>
  <c r="B470" i="2"/>
  <c r="S469" i="2"/>
  <c r="O469" i="2"/>
  <c r="M469" i="2"/>
  <c r="L469" i="2"/>
  <c r="J469" i="2"/>
  <c r="H469" i="2"/>
  <c r="G469" i="2"/>
  <c r="E469" i="2"/>
  <c r="C469" i="2"/>
  <c r="B469" i="2"/>
  <c r="S468" i="2"/>
  <c r="O468" i="2"/>
  <c r="M468" i="2"/>
  <c r="L468" i="2"/>
  <c r="J468" i="2"/>
  <c r="H468" i="2"/>
  <c r="G468" i="2"/>
  <c r="E468" i="2"/>
  <c r="C468" i="2"/>
  <c r="B468" i="2"/>
  <c r="S467" i="2"/>
  <c r="O467" i="2"/>
  <c r="M467" i="2"/>
  <c r="L467" i="2"/>
  <c r="J467" i="2"/>
  <c r="H467" i="2"/>
  <c r="G467" i="2"/>
  <c r="E467" i="2"/>
  <c r="C467" i="2"/>
  <c r="B467" i="2"/>
  <c r="S466" i="2"/>
  <c r="O466" i="2"/>
  <c r="M466" i="2"/>
  <c r="L466" i="2"/>
  <c r="J466" i="2"/>
  <c r="H466" i="2"/>
  <c r="G466" i="2"/>
  <c r="E466" i="2"/>
  <c r="C466" i="2"/>
  <c r="B466" i="2"/>
  <c r="S465" i="2"/>
  <c r="O465" i="2"/>
  <c r="M465" i="2"/>
  <c r="L465" i="2"/>
  <c r="J465" i="2"/>
  <c r="H465" i="2"/>
  <c r="G465" i="2"/>
  <c r="E465" i="2"/>
  <c r="C465" i="2"/>
  <c r="B465" i="2"/>
  <c r="S464" i="2"/>
  <c r="O464" i="2"/>
  <c r="M464" i="2"/>
  <c r="L464" i="2"/>
  <c r="J464" i="2"/>
  <c r="H464" i="2"/>
  <c r="G464" i="2"/>
  <c r="E464" i="2"/>
  <c r="C464" i="2"/>
  <c r="B464" i="2"/>
  <c r="S463" i="2"/>
  <c r="O463" i="2"/>
  <c r="M463" i="2"/>
  <c r="L463" i="2"/>
  <c r="J463" i="2"/>
  <c r="H463" i="2"/>
  <c r="G463" i="2"/>
  <c r="E463" i="2"/>
  <c r="C463" i="2"/>
  <c r="B463" i="2"/>
  <c r="S462" i="2"/>
  <c r="O462" i="2"/>
  <c r="M462" i="2"/>
  <c r="L462" i="2"/>
  <c r="J462" i="2"/>
  <c r="H462" i="2"/>
  <c r="G462" i="2"/>
  <c r="E462" i="2"/>
  <c r="C462" i="2"/>
  <c r="B462" i="2"/>
  <c r="S461" i="2"/>
  <c r="O461" i="2"/>
  <c r="M461" i="2"/>
  <c r="L461" i="2"/>
  <c r="J461" i="2"/>
  <c r="H461" i="2"/>
  <c r="G461" i="2"/>
  <c r="E461" i="2"/>
  <c r="C461" i="2"/>
  <c r="B461" i="2"/>
  <c r="S460" i="2"/>
  <c r="O460" i="2"/>
  <c r="M460" i="2"/>
  <c r="L460" i="2"/>
  <c r="J460" i="2"/>
  <c r="H460" i="2"/>
  <c r="G460" i="2"/>
  <c r="E460" i="2"/>
  <c r="C460" i="2"/>
  <c r="B460" i="2"/>
  <c r="S459" i="2"/>
  <c r="O459" i="2"/>
  <c r="M459" i="2"/>
  <c r="L459" i="2"/>
  <c r="J459" i="2"/>
  <c r="H459" i="2"/>
  <c r="G459" i="2"/>
  <c r="E459" i="2"/>
  <c r="C459" i="2"/>
  <c r="B459" i="2"/>
  <c r="S458" i="2"/>
  <c r="O458" i="2"/>
  <c r="M458" i="2"/>
  <c r="L458" i="2"/>
  <c r="J458" i="2"/>
  <c r="H458" i="2"/>
  <c r="G458" i="2"/>
  <c r="E458" i="2"/>
  <c r="C458" i="2"/>
  <c r="B458" i="2"/>
  <c r="S457" i="2"/>
  <c r="O457" i="2"/>
  <c r="M457" i="2"/>
  <c r="L457" i="2"/>
  <c r="J457" i="2"/>
  <c r="H457" i="2"/>
  <c r="G457" i="2"/>
  <c r="E457" i="2"/>
  <c r="C457" i="2"/>
  <c r="B457" i="2"/>
  <c r="S456" i="2"/>
  <c r="O456" i="2"/>
  <c r="M456" i="2"/>
  <c r="L456" i="2"/>
  <c r="J456" i="2"/>
  <c r="H456" i="2"/>
  <c r="G456" i="2"/>
  <c r="E456" i="2"/>
  <c r="C456" i="2"/>
  <c r="B456" i="2"/>
  <c r="S455" i="2"/>
  <c r="O455" i="2"/>
  <c r="M455" i="2"/>
  <c r="L455" i="2"/>
  <c r="J455" i="2"/>
  <c r="H455" i="2"/>
  <c r="G455" i="2"/>
  <c r="E455" i="2"/>
  <c r="C455" i="2"/>
  <c r="B455" i="2"/>
  <c r="S454" i="2"/>
  <c r="O454" i="2"/>
  <c r="M454" i="2"/>
  <c r="L454" i="2"/>
  <c r="J454" i="2"/>
  <c r="H454" i="2"/>
  <c r="G454" i="2"/>
  <c r="E454" i="2"/>
  <c r="C454" i="2"/>
  <c r="B454" i="2"/>
  <c r="S453" i="2"/>
  <c r="O453" i="2"/>
  <c r="M453" i="2"/>
  <c r="L453" i="2"/>
  <c r="J453" i="2"/>
  <c r="H453" i="2"/>
  <c r="G453" i="2"/>
  <c r="E453" i="2"/>
  <c r="C453" i="2"/>
  <c r="B453" i="2"/>
  <c r="S452" i="2"/>
  <c r="O452" i="2"/>
  <c r="M452" i="2"/>
  <c r="L452" i="2"/>
  <c r="J452" i="2"/>
  <c r="H452" i="2"/>
  <c r="G452" i="2"/>
  <c r="E452" i="2"/>
  <c r="C452" i="2"/>
  <c r="B452" i="2"/>
  <c r="S451" i="2"/>
  <c r="O451" i="2"/>
  <c r="M451" i="2"/>
  <c r="L451" i="2"/>
  <c r="J451" i="2"/>
  <c r="H451" i="2"/>
  <c r="G451" i="2"/>
  <c r="E451" i="2"/>
  <c r="C451" i="2"/>
  <c r="B451" i="2"/>
  <c r="S450" i="2"/>
  <c r="O450" i="2"/>
  <c r="M450" i="2"/>
  <c r="L450" i="2"/>
  <c r="J450" i="2"/>
  <c r="H450" i="2"/>
  <c r="G450" i="2"/>
  <c r="E450" i="2"/>
  <c r="C450" i="2"/>
  <c r="B450" i="2"/>
  <c r="S449" i="2"/>
  <c r="O449" i="2"/>
  <c r="M449" i="2"/>
  <c r="L449" i="2"/>
  <c r="J449" i="2"/>
  <c r="H449" i="2"/>
  <c r="G449" i="2"/>
  <c r="E449" i="2"/>
  <c r="C449" i="2"/>
  <c r="B449" i="2"/>
  <c r="S448" i="2"/>
  <c r="O448" i="2"/>
  <c r="M448" i="2"/>
  <c r="L448" i="2"/>
  <c r="J448" i="2"/>
  <c r="H448" i="2"/>
  <c r="G448" i="2"/>
  <c r="E448" i="2"/>
  <c r="C448" i="2"/>
  <c r="B448" i="2"/>
  <c r="S447" i="2"/>
  <c r="O447" i="2"/>
  <c r="M447" i="2"/>
  <c r="L447" i="2"/>
  <c r="J447" i="2"/>
  <c r="H447" i="2"/>
  <c r="G447" i="2"/>
  <c r="E447" i="2"/>
  <c r="C447" i="2"/>
  <c r="B447" i="2"/>
  <c r="S446" i="2"/>
  <c r="O446" i="2"/>
  <c r="M446" i="2"/>
  <c r="L446" i="2"/>
  <c r="J446" i="2"/>
  <c r="H446" i="2"/>
  <c r="G446" i="2"/>
  <c r="E446" i="2"/>
  <c r="C446" i="2"/>
  <c r="B446" i="2"/>
  <c r="S445" i="2"/>
  <c r="O445" i="2"/>
  <c r="M445" i="2"/>
  <c r="L445" i="2"/>
  <c r="J445" i="2"/>
  <c r="H445" i="2"/>
  <c r="G445" i="2"/>
  <c r="E445" i="2"/>
  <c r="C445" i="2"/>
  <c r="B445" i="2"/>
  <c r="S444" i="2"/>
  <c r="M444" i="2"/>
  <c r="L444" i="2"/>
  <c r="J444" i="2"/>
  <c r="H444" i="2"/>
  <c r="G444" i="2"/>
  <c r="E444" i="2"/>
  <c r="C444" i="2"/>
  <c r="B444" i="2"/>
  <c r="S443" i="2"/>
  <c r="M443" i="2"/>
  <c r="L443" i="2"/>
  <c r="J443" i="2"/>
  <c r="H443" i="2"/>
  <c r="G443" i="2"/>
  <c r="E443" i="2"/>
  <c r="C443" i="2"/>
  <c r="B443" i="2"/>
  <c r="S442" i="2"/>
  <c r="M442" i="2"/>
  <c r="L442" i="2"/>
  <c r="J442" i="2"/>
  <c r="H442" i="2"/>
  <c r="G442" i="2"/>
  <c r="E442" i="2"/>
  <c r="C442" i="2"/>
  <c r="B442" i="2"/>
  <c r="S441" i="2"/>
  <c r="M441" i="2"/>
  <c r="L441" i="2"/>
  <c r="J441" i="2"/>
  <c r="H441" i="2"/>
  <c r="G441" i="2"/>
  <c r="E441" i="2"/>
  <c r="C441" i="2"/>
  <c r="B441" i="2"/>
  <c r="S440" i="2"/>
  <c r="M440" i="2"/>
  <c r="L440" i="2"/>
  <c r="J440" i="2"/>
  <c r="H440" i="2"/>
  <c r="G440" i="2"/>
  <c r="E440" i="2"/>
  <c r="C440" i="2"/>
  <c r="B440" i="2"/>
  <c r="S439" i="2"/>
  <c r="M439" i="2"/>
  <c r="L439" i="2"/>
  <c r="J439" i="2"/>
  <c r="H439" i="2"/>
  <c r="G439" i="2"/>
  <c r="E439" i="2"/>
  <c r="C439" i="2"/>
  <c r="B439" i="2"/>
  <c r="S438" i="2"/>
  <c r="M438" i="2"/>
  <c r="L438" i="2"/>
  <c r="J438" i="2"/>
  <c r="H438" i="2"/>
  <c r="G438" i="2"/>
  <c r="E438" i="2"/>
  <c r="C438" i="2"/>
  <c r="B438" i="2"/>
  <c r="S437" i="2"/>
  <c r="M437" i="2"/>
  <c r="L437" i="2"/>
  <c r="J437" i="2"/>
  <c r="H437" i="2"/>
  <c r="G437" i="2"/>
  <c r="E437" i="2"/>
  <c r="C437" i="2"/>
  <c r="B437" i="2"/>
  <c r="S436" i="2"/>
  <c r="M436" i="2"/>
  <c r="L436" i="2"/>
  <c r="J436" i="2"/>
  <c r="H436" i="2"/>
  <c r="G436" i="2"/>
  <c r="E436" i="2"/>
  <c r="C436" i="2"/>
  <c r="B436" i="2"/>
  <c r="S435" i="2"/>
  <c r="M435" i="2"/>
  <c r="L435" i="2"/>
  <c r="J435" i="2"/>
  <c r="H435" i="2"/>
  <c r="G435" i="2"/>
  <c r="E435" i="2"/>
  <c r="C435" i="2"/>
  <c r="B435" i="2"/>
  <c r="S434" i="2"/>
  <c r="M434" i="2"/>
  <c r="L434" i="2"/>
  <c r="J434" i="2"/>
  <c r="H434" i="2"/>
  <c r="G434" i="2"/>
  <c r="E434" i="2"/>
  <c r="C434" i="2"/>
  <c r="B434" i="2"/>
  <c r="S433" i="2"/>
  <c r="M433" i="2"/>
  <c r="L433" i="2"/>
  <c r="J433" i="2"/>
  <c r="H433" i="2"/>
  <c r="G433" i="2"/>
  <c r="E433" i="2"/>
  <c r="C433" i="2"/>
  <c r="B433" i="2"/>
  <c r="S432" i="2"/>
  <c r="M432" i="2"/>
  <c r="L432" i="2"/>
  <c r="J432" i="2"/>
  <c r="H432" i="2"/>
  <c r="G432" i="2"/>
  <c r="E432" i="2"/>
  <c r="C432" i="2"/>
  <c r="B432" i="2"/>
  <c r="S431" i="2"/>
  <c r="M431" i="2"/>
  <c r="L431" i="2"/>
  <c r="J431" i="2"/>
  <c r="H431" i="2"/>
  <c r="G431" i="2"/>
  <c r="E431" i="2"/>
  <c r="C431" i="2"/>
  <c r="B431" i="2"/>
  <c r="S430" i="2"/>
  <c r="M430" i="2"/>
  <c r="L430" i="2"/>
  <c r="J430" i="2"/>
  <c r="H430" i="2"/>
  <c r="G430" i="2"/>
  <c r="E430" i="2"/>
  <c r="C430" i="2"/>
  <c r="B430" i="2"/>
  <c r="S429" i="2"/>
  <c r="M429" i="2"/>
  <c r="L429" i="2"/>
  <c r="J429" i="2"/>
  <c r="H429" i="2"/>
  <c r="G429" i="2"/>
  <c r="E429" i="2"/>
  <c r="C429" i="2"/>
  <c r="B429" i="2"/>
  <c r="S428" i="2"/>
  <c r="M428" i="2"/>
  <c r="L428" i="2"/>
  <c r="J428" i="2"/>
  <c r="H428" i="2"/>
  <c r="G428" i="2"/>
  <c r="E428" i="2"/>
  <c r="C428" i="2"/>
  <c r="B428" i="2"/>
  <c r="S427" i="2"/>
  <c r="M427" i="2"/>
  <c r="L427" i="2"/>
  <c r="J427" i="2"/>
  <c r="H427" i="2"/>
  <c r="G427" i="2"/>
  <c r="E427" i="2"/>
  <c r="C427" i="2"/>
  <c r="B427" i="2"/>
  <c r="S426" i="2"/>
  <c r="M426" i="2"/>
  <c r="L426" i="2"/>
  <c r="J426" i="2"/>
  <c r="H426" i="2"/>
  <c r="G426" i="2"/>
  <c r="E426" i="2"/>
  <c r="C426" i="2"/>
  <c r="B426" i="2"/>
  <c r="S425" i="2"/>
  <c r="M425" i="2"/>
  <c r="L425" i="2"/>
  <c r="J425" i="2"/>
  <c r="H425" i="2"/>
  <c r="G425" i="2"/>
  <c r="E425" i="2"/>
  <c r="C425" i="2"/>
  <c r="B425" i="2"/>
  <c r="S424" i="2"/>
  <c r="M424" i="2"/>
  <c r="L424" i="2"/>
  <c r="J424" i="2"/>
  <c r="H424" i="2"/>
  <c r="G424" i="2"/>
  <c r="E424" i="2"/>
  <c r="C424" i="2"/>
  <c r="B424" i="2"/>
  <c r="S423" i="2"/>
  <c r="M423" i="2"/>
  <c r="L423" i="2"/>
  <c r="J423" i="2"/>
  <c r="H423" i="2"/>
  <c r="G423" i="2"/>
  <c r="E423" i="2"/>
  <c r="C423" i="2"/>
  <c r="B423" i="2"/>
  <c r="S422" i="2"/>
  <c r="M422" i="2"/>
  <c r="L422" i="2"/>
  <c r="J422" i="2"/>
  <c r="H422" i="2"/>
  <c r="G422" i="2"/>
  <c r="E422" i="2"/>
  <c r="C422" i="2"/>
  <c r="B422" i="2"/>
  <c r="S421" i="2"/>
  <c r="M421" i="2"/>
  <c r="L421" i="2"/>
  <c r="J421" i="2"/>
  <c r="H421" i="2"/>
  <c r="G421" i="2"/>
  <c r="E421" i="2"/>
  <c r="C421" i="2"/>
  <c r="B421" i="2"/>
  <c r="S420" i="2"/>
  <c r="M420" i="2"/>
  <c r="L420" i="2"/>
  <c r="J420" i="2"/>
  <c r="H420" i="2"/>
  <c r="G420" i="2"/>
  <c r="E420" i="2"/>
  <c r="C420" i="2"/>
  <c r="B420" i="2"/>
  <c r="S419" i="2"/>
  <c r="M419" i="2"/>
  <c r="L419" i="2"/>
  <c r="J419" i="2"/>
  <c r="H419" i="2"/>
  <c r="G419" i="2"/>
  <c r="E419" i="2"/>
  <c r="C419" i="2"/>
  <c r="B419" i="2"/>
  <c r="S418" i="2"/>
  <c r="M418" i="2"/>
  <c r="L418" i="2"/>
  <c r="J418" i="2"/>
  <c r="H418" i="2"/>
  <c r="G418" i="2"/>
  <c r="E418" i="2"/>
  <c r="C418" i="2"/>
  <c r="B418" i="2"/>
  <c r="S417" i="2"/>
  <c r="M417" i="2"/>
  <c r="L417" i="2"/>
  <c r="J417" i="2"/>
  <c r="H417" i="2"/>
  <c r="G417" i="2"/>
  <c r="E417" i="2"/>
  <c r="C417" i="2"/>
  <c r="B417" i="2"/>
  <c r="S416" i="2"/>
  <c r="M416" i="2"/>
  <c r="L416" i="2"/>
  <c r="J416" i="2"/>
  <c r="H416" i="2"/>
  <c r="G416" i="2"/>
  <c r="E416" i="2"/>
  <c r="C416" i="2"/>
  <c r="B416" i="2"/>
  <c r="S415" i="2"/>
  <c r="M415" i="2"/>
  <c r="L415" i="2"/>
  <c r="J415" i="2"/>
  <c r="H415" i="2"/>
  <c r="G415" i="2"/>
  <c r="E415" i="2"/>
  <c r="C415" i="2"/>
  <c r="B415" i="2"/>
  <c r="S414" i="2"/>
  <c r="M414" i="2"/>
  <c r="L414" i="2"/>
  <c r="J414" i="2"/>
  <c r="H414" i="2"/>
  <c r="G414" i="2"/>
  <c r="E414" i="2"/>
  <c r="C414" i="2"/>
  <c r="B414" i="2"/>
  <c r="S413" i="2"/>
  <c r="M413" i="2"/>
  <c r="L413" i="2"/>
  <c r="J413" i="2"/>
  <c r="H413" i="2"/>
  <c r="G413" i="2"/>
  <c r="E413" i="2"/>
  <c r="C413" i="2"/>
  <c r="B413" i="2"/>
  <c r="S412" i="2"/>
  <c r="M412" i="2"/>
  <c r="L412" i="2"/>
  <c r="J412" i="2"/>
  <c r="H412" i="2"/>
  <c r="G412" i="2"/>
  <c r="E412" i="2"/>
  <c r="C412" i="2"/>
  <c r="B412" i="2"/>
  <c r="S411" i="2"/>
  <c r="M411" i="2"/>
  <c r="L411" i="2"/>
  <c r="J411" i="2"/>
  <c r="H411" i="2"/>
  <c r="G411" i="2"/>
  <c r="E411" i="2"/>
  <c r="C411" i="2"/>
  <c r="B411" i="2"/>
  <c r="S410" i="2"/>
  <c r="M410" i="2"/>
  <c r="L410" i="2"/>
  <c r="J410" i="2"/>
  <c r="H410" i="2"/>
  <c r="G410" i="2"/>
  <c r="E410" i="2"/>
  <c r="C410" i="2"/>
  <c r="B410" i="2"/>
  <c r="S409" i="2"/>
  <c r="M409" i="2"/>
  <c r="L409" i="2"/>
  <c r="J409" i="2"/>
  <c r="H409" i="2"/>
  <c r="G409" i="2"/>
  <c r="E409" i="2"/>
  <c r="C409" i="2"/>
  <c r="B409" i="2"/>
  <c r="S408" i="2"/>
  <c r="M408" i="2"/>
  <c r="L408" i="2"/>
  <c r="J408" i="2"/>
  <c r="H408" i="2"/>
  <c r="G408" i="2"/>
  <c r="E408" i="2"/>
  <c r="C408" i="2"/>
  <c r="B408" i="2"/>
  <c r="S407" i="2"/>
  <c r="M407" i="2"/>
  <c r="L407" i="2"/>
  <c r="J407" i="2"/>
  <c r="H407" i="2"/>
  <c r="G407" i="2"/>
  <c r="E407" i="2"/>
  <c r="C407" i="2"/>
  <c r="B407" i="2"/>
  <c r="S406" i="2"/>
  <c r="M406" i="2"/>
  <c r="L406" i="2"/>
  <c r="J406" i="2"/>
  <c r="H406" i="2"/>
  <c r="G406" i="2"/>
  <c r="E406" i="2"/>
  <c r="C406" i="2"/>
  <c r="B406" i="2"/>
  <c r="S405" i="2"/>
  <c r="M405" i="2"/>
  <c r="L405" i="2"/>
  <c r="J405" i="2"/>
  <c r="H405" i="2"/>
  <c r="G405" i="2"/>
  <c r="E405" i="2"/>
  <c r="C405" i="2"/>
  <c r="B405" i="2"/>
  <c r="S404" i="2"/>
  <c r="M404" i="2"/>
  <c r="L404" i="2"/>
  <c r="J404" i="2"/>
  <c r="H404" i="2"/>
  <c r="G404" i="2"/>
  <c r="E404" i="2"/>
  <c r="C404" i="2"/>
  <c r="B404" i="2"/>
  <c r="S403" i="2"/>
  <c r="M403" i="2"/>
  <c r="L403" i="2"/>
  <c r="J403" i="2"/>
  <c r="H403" i="2"/>
  <c r="G403" i="2"/>
  <c r="E403" i="2"/>
  <c r="C403" i="2"/>
  <c r="B403" i="2"/>
  <c r="S402" i="2"/>
  <c r="M402" i="2"/>
  <c r="L402" i="2"/>
  <c r="J402" i="2"/>
  <c r="H402" i="2"/>
  <c r="G402" i="2"/>
  <c r="E402" i="2"/>
  <c r="C402" i="2"/>
  <c r="B402" i="2"/>
  <c r="S401" i="2"/>
  <c r="M401" i="2"/>
  <c r="L401" i="2"/>
  <c r="J401" i="2"/>
  <c r="H401" i="2"/>
  <c r="G401" i="2"/>
  <c r="E401" i="2"/>
  <c r="C401" i="2"/>
  <c r="B401" i="2"/>
  <c r="S400" i="2"/>
  <c r="M400" i="2"/>
  <c r="L400" i="2"/>
  <c r="J400" i="2"/>
  <c r="H400" i="2"/>
  <c r="G400" i="2"/>
  <c r="E400" i="2"/>
  <c r="C400" i="2"/>
  <c r="B400" i="2"/>
  <c r="S399" i="2"/>
  <c r="M399" i="2"/>
  <c r="L399" i="2"/>
  <c r="J399" i="2"/>
  <c r="H399" i="2"/>
  <c r="G399" i="2"/>
  <c r="E399" i="2"/>
  <c r="C399" i="2"/>
  <c r="B399" i="2"/>
  <c r="S398" i="2"/>
  <c r="M398" i="2"/>
  <c r="L398" i="2"/>
  <c r="J398" i="2"/>
  <c r="H398" i="2"/>
  <c r="G398" i="2"/>
  <c r="E398" i="2"/>
  <c r="C398" i="2"/>
  <c r="B398" i="2"/>
  <c r="S397" i="2"/>
  <c r="M397" i="2"/>
  <c r="L397" i="2"/>
  <c r="J397" i="2"/>
  <c r="H397" i="2"/>
  <c r="G397" i="2"/>
  <c r="E397" i="2"/>
  <c r="C397" i="2"/>
  <c r="B397" i="2"/>
  <c r="S396" i="2"/>
  <c r="M396" i="2"/>
  <c r="L396" i="2"/>
  <c r="J396" i="2"/>
  <c r="H396" i="2"/>
  <c r="G396" i="2"/>
  <c r="E396" i="2"/>
  <c r="C396" i="2"/>
  <c r="B396" i="2"/>
  <c r="S395" i="2"/>
  <c r="M395" i="2"/>
  <c r="L395" i="2"/>
  <c r="J395" i="2"/>
  <c r="H395" i="2"/>
  <c r="G395" i="2"/>
  <c r="E395" i="2"/>
  <c r="C395" i="2"/>
  <c r="B395" i="2"/>
  <c r="S394" i="2"/>
  <c r="M394" i="2"/>
  <c r="L394" i="2"/>
  <c r="J394" i="2"/>
  <c r="H394" i="2"/>
  <c r="G394" i="2"/>
  <c r="E394" i="2"/>
  <c r="C394" i="2"/>
  <c r="B394" i="2"/>
  <c r="S393" i="2"/>
  <c r="M393" i="2"/>
  <c r="L393" i="2"/>
  <c r="J393" i="2"/>
  <c r="H393" i="2"/>
  <c r="G393" i="2"/>
  <c r="E393" i="2"/>
  <c r="C393" i="2"/>
  <c r="B393" i="2"/>
  <c r="S392" i="2"/>
  <c r="M392" i="2"/>
  <c r="L392" i="2"/>
  <c r="J392" i="2"/>
  <c r="H392" i="2"/>
  <c r="G392" i="2"/>
  <c r="E392" i="2"/>
  <c r="C392" i="2"/>
  <c r="B392" i="2"/>
  <c r="S391" i="2"/>
  <c r="M391" i="2"/>
  <c r="L391" i="2"/>
  <c r="J391" i="2"/>
  <c r="H391" i="2"/>
  <c r="G391" i="2"/>
  <c r="E391" i="2"/>
  <c r="C391" i="2"/>
  <c r="B391" i="2"/>
  <c r="S390" i="2"/>
  <c r="M390" i="2"/>
  <c r="L390" i="2"/>
  <c r="J390" i="2"/>
  <c r="H390" i="2"/>
  <c r="G390" i="2"/>
  <c r="E390" i="2"/>
  <c r="C390" i="2"/>
  <c r="B390" i="2"/>
  <c r="S389" i="2"/>
  <c r="M389" i="2"/>
  <c r="L389" i="2"/>
  <c r="J389" i="2"/>
  <c r="H389" i="2"/>
  <c r="G389" i="2"/>
  <c r="E389" i="2"/>
  <c r="C389" i="2"/>
  <c r="B389" i="2"/>
  <c r="S388" i="2"/>
  <c r="M388" i="2"/>
  <c r="L388" i="2"/>
  <c r="J388" i="2"/>
  <c r="H388" i="2"/>
  <c r="G388" i="2"/>
  <c r="E388" i="2"/>
  <c r="C388" i="2"/>
  <c r="B388" i="2"/>
  <c r="S387" i="2"/>
  <c r="M387" i="2"/>
  <c r="L387" i="2"/>
  <c r="J387" i="2"/>
  <c r="H387" i="2"/>
  <c r="G387" i="2"/>
  <c r="E387" i="2"/>
  <c r="C387" i="2"/>
  <c r="B387" i="2"/>
  <c r="S386" i="2"/>
  <c r="M386" i="2"/>
  <c r="L386" i="2"/>
  <c r="J386" i="2"/>
  <c r="H386" i="2"/>
  <c r="G386" i="2"/>
  <c r="E386" i="2"/>
  <c r="C386" i="2"/>
  <c r="B386" i="2"/>
  <c r="S385" i="2"/>
  <c r="M385" i="2"/>
  <c r="L385" i="2"/>
  <c r="J385" i="2"/>
  <c r="H385" i="2"/>
  <c r="G385" i="2"/>
  <c r="E385" i="2"/>
  <c r="C385" i="2"/>
  <c r="B385" i="2"/>
  <c r="S384" i="2"/>
  <c r="M384" i="2"/>
  <c r="L384" i="2"/>
  <c r="J384" i="2"/>
  <c r="H384" i="2"/>
  <c r="G384" i="2"/>
  <c r="E384" i="2"/>
  <c r="C384" i="2"/>
  <c r="B384" i="2"/>
  <c r="S383" i="2"/>
  <c r="M383" i="2"/>
  <c r="L383" i="2"/>
  <c r="J383" i="2"/>
  <c r="H383" i="2"/>
  <c r="G383" i="2"/>
  <c r="E383" i="2"/>
  <c r="C383" i="2"/>
  <c r="B383" i="2"/>
  <c r="S382" i="2"/>
  <c r="M382" i="2"/>
  <c r="L382" i="2"/>
  <c r="J382" i="2"/>
  <c r="H382" i="2"/>
  <c r="G382" i="2"/>
  <c r="E382" i="2"/>
  <c r="C382" i="2"/>
  <c r="B382" i="2"/>
  <c r="S381" i="2"/>
  <c r="M381" i="2"/>
  <c r="L381" i="2"/>
  <c r="J381" i="2"/>
  <c r="H381" i="2"/>
  <c r="G381" i="2"/>
  <c r="E381" i="2"/>
  <c r="C381" i="2"/>
  <c r="B381" i="2"/>
  <c r="S380" i="2"/>
  <c r="M380" i="2"/>
  <c r="L380" i="2"/>
  <c r="J380" i="2"/>
  <c r="H380" i="2"/>
  <c r="G380" i="2"/>
  <c r="E380" i="2"/>
  <c r="C380" i="2"/>
  <c r="B380" i="2"/>
  <c r="S379" i="2"/>
  <c r="M379" i="2"/>
  <c r="L379" i="2"/>
  <c r="J379" i="2"/>
  <c r="H379" i="2"/>
  <c r="G379" i="2"/>
  <c r="E379" i="2"/>
  <c r="C379" i="2"/>
  <c r="B379" i="2"/>
  <c r="S378" i="2"/>
  <c r="M378" i="2"/>
  <c r="L378" i="2"/>
  <c r="J378" i="2"/>
  <c r="H378" i="2"/>
  <c r="G378" i="2"/>
  <c r="E378" i="2"/>
  <c r="C378" i="2"/>
  <c r="B378" i="2"/>
  <c r="S377" i="2"/>
  <c r="M377" i="2"/>
  <c r="L377" i="2"/>
  <c r="J377" i="2"/>
  <c r="H377" i="2"/>
  <c r="G377" i="2"/>
  <c r="E377" i="2"/>
  <c r="C377" i="2"/>
  <c r="B377" i="2"/>
  <c r="S376" i="2"/>
  <c r="M376" i="2"/>
  <c r="L376" i="2"/>
  <c r="J376" i="2"/>
  <c r="H376" i="2"/>
  <c r="G376" i="2"/>
  <c r="E376" i="2"/>
  <c r="C376" i="2"/>
  <c r="B376" i="2"/>
  <c r="S375" i="2"/>
  <c r="M375" i="2"/>
  <c r="L375" i="2"/>
  <c r="J375" i="2"/>
  <c r="H375" i="2"/>
  <c r="G375" i="2"/>
  <c r="E375" i="2"/>
  <c r="C375" i="2"/>
  <c r="B375" i="2"/>
  <c r="S374" i="2"/>
  <c r="M374" i="2"/>
  <c r="L374" i="2"/>
  <c r="J374" i="2"/>
  <c r="H374" i="2"/>
  <c r="G374" i="2"/>
  <c r="E374" i="2"/>
  <c r="C374" i="2"/>
  <c r="B374" i="2"/>
  <c r="S373" i="2"/>
  <c r="M373" i="2"/>
  <c r="L373" i="2"/>
  <c r="J373" i="2"/>
  <c r="H373" i="2"/>
  <c r="G373" i="2"/>
  <c r="E373" i="2"/>
  <c r="C373" i="2"/>
  <c r="B373" i="2"/>
  <c r="S372" i="2"/>
  <c r="M372" i="2"/>
  <c r="L372" i="2"/>
  <c r="J372" i="2"/>
  <c r="H372" i="2"/>
  <c r="G372" i="2"/>
  <c r="E372" i="2"/>
  <c r="C372" i="2"/>
  <c r="B372" i="2"/>
  <c r="S371" i="2"/>
  <c r="M371" i="2"/>
  <c r="L371" i="2"/>
  <c r="J371" i="2"/>
  <c r="H371" i="2"/>
  <c r="G371" i="2"/>
  <c r="E371" i="2"/>
  <c r="C371" i="2"/>
  <c r="B371" i="2"/>
  <c r="S370" i="2"/>
  <c r="M370" i="2"/>
  <c r="L370" i="2"/>
  <c r="J370" i="2"/>
  <c r="H370" i="2"/>
  <c r="G370" i="2"/>
  <c r="E370" i="2"/>
  <c r="C370" i="2"/>
  <c r="B370" i="2"/>
  <c r="S369" i="2"/>
  <c r="M369" i="2"/>
  <c r="L369" i="2"/>
  <c r="J369" i="2"/>
  <c r="H369" i="2"/>
  <c r="G369" i="2"/>
  <c r="E369" i="2"/>
  <c r="C369" i="2"/>
  <c r="B369" i="2"/>
  <c r="S368" i="2"/>
  <c r="M368" i="2"/>
  <c r="L368" i="2"/>
  <c r="J368" i="2"/>
  <c r="H368" i="2"/>
  <c r="G368" i="2"/>
  <c r="E368" i="2"/>
  <c r="C368" i="2"/>
  <c r="B368" i="2"/>
  <c r="S367" i="2"/>
  <c r="M367" i="2"/>
  <c r="L367" i="2"/>
  <c r="J367" i="2"/>
  <c r="H367" i="2"/>
  <c r="G367" i="2"/>
  <c r="E367" i="2"/>
  <c r="C367" i="2"/>
  <c r="B367" i="2"/>
  <c r="S366" i="2"/>
  <c r="M366" i="2"/>
  <c r="L366" i="2"/>
  <c r="J366" i="2"/>
  <c r="H366" i="2"/>
  <c r="G366" i="2"/>
  <c r="E366" i="2"/>
  <c r="C366" i="2"/>
  <c r="B366" i="2"/>
  <c r="M365" i="2"/>
  <c r="L365" i="2"/>
  <c r="J365" i="2"/>
  <c r="H365" i="2"/>
  <c r="G365" i="2"/>
  <c r="E365" i="2"/>
  <c r="F365" i="2" s="1"/>
  <c r="R365" i="2" s="1"/>
  <c r="S365" i="2" s="1"/>
  <c r="C365" i="2"/>
  <c r="B365" i="2"/>
  <c r="M364" i="2"/>
  <c r="L364" i="2"/>
  <c r="J364" i="2"/>
  <c r="H364" i="2"/>
  <c r="G364" i="2"/>
  <c r="E364" i="2"/>
  <c r="F364" i="2" s="1"/>
  <c r="R364" i="2" s="1"/>
  <c r="S364" i="2" s="1"/>
  <c r="C364" i="2"/>
  <c r="B364" i="2"/>
  <c r="M363" i="2"/>
  <c r="L363" i="2"/>
  <c r="J363" i="2"/>
  <c r="H363" i="2"/>
  <c r="G363" i="2"/>
  <c r="E363" i="2"/>
  <c r="F363" i="2" s="1"/>
  <c r="R363" i="2" s="1"/>
  <c r="S363" i="2" s="1"/>
  <c r="C363" i="2"/>
  <c r="B363" i="2"/>
  <c r="S362" i="2"/>
  <c r="M362" i="2"/>
  <c r="L362" i="2"/>
  <c r="J362" i="2"/>
  <c r="H362" i="2"/>
  <c r="G362" i="2"/>
  <c r="E362" i="2"/>
  <c r="C362" i="2"/>
  <c r="B362" i="2"/>
  <c r="S361" i="2"/>
  <c r="M361" i="2"/>
  <c r="L361" i="2"/>
  <c r="J361" i="2"/>
  <c r="H361" i="2"/>
  <c r="G361" i="2"/>
  <c r="E361" i="2"/>
  <c r="C361" i="2"/>
  <c r="B361" i="2"/>
  <c r="S360" i="2"/>
  <c r="M360" i="2"/>
  <c r="L360" i="2"/>
  <c r="J360" i="2"/>
  <c r="H360" i="2"/>
  <c r="G360" i="2"/>
  <c r="E360" i="2"/>
  <c r="C360" i="2"/>
  <c r="B360" i="2"/>
  <c r="S359" i="2"/>
  <c r="M359" i="2"/>
  <c r="L359" i="2"/>
  <c r="J359" i="2"/>
  <c r="H359" i="2"/>
  <c r="G359" i="2"/>
  <c r="E359" i="2"/>
  <c r="C359" i="2"/>
  <c r="B359" i="2"/>
  <c r="S358" i="2"/>
  <c r="M358" i="2"/>
  <c r="L358" i="2"/>
  <c r="J358" i="2"/>
  <c r="H358" i="2"/>
  <c r="G358" i="2"/>
  <c r="E358" i="2"/>
  <c r="C358" i="2"/>
  <c r="B358" i="2"/>
  <c r="S357" i="2"/>
  <c r="M357" i="2"/>
  <c r="L357" i="2"/>
  <c r="J357" i="2"/>
  <c r="H357" i="2"/>
  <c r="G357" i="2"/>
  <c r="E357" i="2"/>
  <c r="C357" i="2"/>
  <c r="B357" i="2"/>
  <c r="S356" i="2"/>
  <c r="M356" i="2"/>
  <c r="L356" i="2"/>
  <c r="J356" i="2"/>
  <c r="H356" i="2"/>
  <c r="G356" i="2"/>
  <c r="E356" i="2"/>
  <c r="C356" i="2"/>
  <c r="B356" i="2"/>
  <c r="S355" i="2"/>
  <c r="M355" i="2"/>
  <c r="L355" i="2"/>
  <c r="J355" i="2"/>
  <c r="H355" i="2"/>
  <c r="G355" i="2"/>
  <c r="E355" i="2"/>
  <c r="C355" i="2"/>
  <c r="B355" i="2"/>
  <c r="S354" i="2"/>
  <c r="M354" i="2"/>
  <c r="L354" i="2"/>
  <c r="J354" i="2"/>
  <c r="H354" i="2"/>
  <c r="G354" i="2"/>
  <c r="E354" i="2"/>
  <c r="C354" i="2"/>
  <c r="B354" i="2"/>
  <c r="S353" i="2"/>
  <c r="M353" i="2"/>
  <c r="L353" i="2"/>
  <c r="J353" i="2"/>
  <c r="H353" i="2"/>
  <c r="G353" i="2"/>
  <c r="E353" i="2"/>
  <c r="C353" i="2"/>
  <c r="B353" i="2"/>
  <c r="S352" i="2"/>
  <c r="M352" i="2"/>
  <c r="L352" i="2"/>
  <c r="J352" i="2"/>
  <c r="H352" i="2"/>
  <c r="G352" i="2"/>
  <c r="E352" i="2"/>
  <c r="C352" i="2"/>
  <c r="B352" i="2"/>
  <c r="S351" i="2"/>
  <c r="M351" i="2"/>
  <c r="L351" i="2"/>
  <c r="J351" i="2"/>
  <c r="H351" i="2"/>
  <c r="G351" i="2"/>
  <c r="E351" i="2"/>
  <c r="C351" i="2"/>
  <c r="B351" i="2"/>
  <c r="S350" i="2"/>
  <c r="M350" i="2"/>
  <c r="L350" i="2"/>
  <c r="J350" i="2"/>
  <c r="H350" i="2"/>
  <c r="G350" i="2"/>
  <c r="E350" i="2"/>
  <c r="C350" i="2"/>
  <c r="B350" i="2"/>
  <c r="S349" i="2"/>
  <c r="M349" i="2"/>
  <c r="L349" i="2"/>
  <c r="J349" i="2"/>
  <c r="H349" i="2"/>
  <c r="G349" i="2"/>
  <c r="E349" i="2"/>
  <c r="C349" i="2"/>
  <c r="B349" i="2"/>
  <c r="S348" i="2"/>
  <c r="M348" i="2"/>
  <c r="L348" i="2"/>
  <c r="J348" i="2"/>
  <c r="H348" i="2"/>
  <c r="G348" i="2"/>
  <c r="E348" i="2"/>
  <c r="C348" i="2"/>
  <c r="B348" i="2"/>
  <c r="S347" i="2"/>
  <c r="M347" i="2"/>
  <c r="L347" i="2"/>
  <c r="J347" i="2"/>
  <c r="H347" i="2"/>
  <c r="G347" i="2"/>
  <c r="E347" i="2"/>
  <c r="C347" i="2"/>
  <c r="B347" i="2"/>
  <c r="S346" i="2"/>
  <c r="M346" i="2"/>
  <c r="L346" i="2"/>
  <c r="J346" i="2"/>
  <c r="H346" i="2"/>
  <c r="G346" i="2"/>
  <c r="E346" i="2"/>
  <c r="C346" i="2"/>
  <c r="B346" i="2"/>
  <c r="S345" i="2"/>
  <c r="M345" i="2"/>
  <c r="L345" i="2"/>
  <c r="J345" i="2"/>
  <c r="H345" i="2"/>
  <c r="G345" i="2"/>
  <c r="E345" i="2"/>
  <c r="C345" i="2"/>
  <c r="B345" i="2"/>
  <c r="S344" i="2"/>
  <c r="M344" i="2"/>
  <c r="L344" i="2"/>
  <c r="J344" i="2"/>
  <c r="H344" i="2"/>
  <c r="G344" i="2"/>
  <c r="E344" i="2"/>
  <c r="C344" i="2"/>
  <c r="B344" i="2"/>
  <c r="S343" i="2"/>
  <c r="M343" i="2"/>
  <c r="L343" i="2"/>
  <c r="J343" i="2"/>
  <c r="H343" i="2"/>
  <c r="G343" i="2"/>
  <c r="E343" i="2"/>
  <c r="C343" i="2"/>
  <c r="B343" i="2"/>
  <c r="S342" i="2"/>
  <c r="M342" i="2"/>
  <c r="L342" i="2"/>
  <c r="J342" i="2"/>
  <c r="H342" i="2"/>
  <c r="G342" i="2"/>
  <c r="E342" i="2"/>
  <c r="C342" i="2"/>
  <c r="B342" i="2"/>
  <c r="S341" i="2"/>
  <c r="M341" i="2"/>
  <c r="L341" i="2"/>
  <c r="J341" i="2"/>
  <c r="H341" i="2"/>
  <c r="G341" i="2"/>
  <c r="E341" i="2"/>
  <c r="C341" i="2"/>
  <c r="B341" i="2"/>
  <c r="S340" i="2"/>
  <c r="M340" i="2"/>
  <c r="L340" i="2"/>
  <c r="J340" i="2"/>
  <c r="H340" i="2"/>
  <c r="G340" i="2"/>
  <c r="E340" i="2"/>
  <c r="C340" i="2"/>
  <c r="B340" i="2"/>
  <c r="S339" i="2"/>
  <c r="M339" i="2"/>
  <c r="L339" i="2"/>
  <c r="J339" i="2"/>
  <c r="H339" i="2"/>
  <c r="G339" i="2"/>
  <c r="E339" i="2"/>
  <c r="C339" i="2"/>
  <c r="B339" i="2"/>
  <c r="S338" i="2"/>
  <c r="M338" i="2"/>
  <c r="L338" i="2"/>
  <c r="J338" i="2"/>
  <c r="H338" i="2"/>
  <c r="G338" i="2"/>
  <c r="E338" i="2"/>
  <c r="C338" i="2"/>
  <c r="B338" i="2"/>
  <c r="S337" i="2"/>
  <c r="M337" i="2"/>
  <c r="L337" i="2"/>
  <c r="J337" i="2"/>
  <c r="H337" i="2"/>
  <c r="G337" i="2"/>
  <c r="E337" i="2"/>
  <c r="C337" i="2"/>
  <c r="B337" i="2"/>
  <c r="S336" i="2"/>
  <c r="M336" i="2"/>
  <c r="L336" i="2"/>
  <c r="J336" i="2"/>
  <c r="H336" i="2"/>
  <c r="G336" i="2"/>
  <c r="E336" i="2"/>
  <c r="C336" i="2"/>
  <c r="B336" i="2"/>
  <c r="S335" i="2"/>
  <c r="M335" i="2"/>
  <c r="L335" i="2"/>
  <c r="J335" i="2"/>
  <c r="H335" i="2"/>
  <c r="G335" i="2"/>
  <c r="E335" i="2"/>
  <c r="C335" i="2"/>
  <c r="B335" i="2"/>
  <c r="S334" i="2"/>
  <c r="M334" i="2"/>
  <c r="L334" i="2"/>
  <c r="J334" i="2"/>
  <c r="H334" i="2"/>
  <c r="G334" i="2"/>
  <c r="E334" i="2"/>
  <c r="C334" i="2"/>
  <c r="B334" i="2"/>
  <c r="S333" i="2"/>
  <c r="M333" i="2"/>
  <c r="L333" i="2"/>
  <c r="J333" i="2"/>
  <c r="H333" i="2"/>
  <c r="G333" i="2"/>
  <c r="E333" i="2"/>
  <c r="C333" i="2"/>
  <c r="B333" i="2"/>
  <c r="S332" i="2"/>
  <c r="M332" i="2"/>
  <c r="L332" i="2"/>
  <c r="J332" i="2"/>
  <c r="H332" i="2"/>
  <c r="G332" i="2"/>
  <c r="E332" i="2"/>
  <c r="C332" i="2"/>
  <c r="B332" i="2"/>
  <c r="S331" i="2"/>
  <c r="M331" i="2"/>
  <c r="L331" i="2"/>
  <c r="J331" i="2"/>
  <c r="H331" i="2"/>
  <c r="G331" i="2"/>
  <c r="E331" i="2"/>
  <c r="C331" i="2"/>
  <c r="B331" i="2"/>
  <c r="S330" i="2"/>
  <c r="M330" i="2"/>
  <c r="L330" i="2"/>
  <c r="J330" i="2"/>
  <c r="H330" i="2"/>
  <c r="G330" i="2"/>
  <c r="E330" i="2"/>
  <c r="C330" i="2"/>
  <c r="B330" i="2"/>
  <c r="S329" i="2"/>
  <c r="M329" i="2"/>
  <c r="L329" i="2"/>
  <c r="J329" i="2"/>
  <c r="H329" i="2"/>
  <c r="G329" i="2"/>
  <c r="E329" i="2"/>
  <c r="C329" i="2"/>
  <c r="B329" i="2"/>
  <c r="S328" i="2"/>
  <c r="M328" i="2"/>
  <c r="L328" i="2"/>
  <c r="J328" i="2"/>
  <c r="H328" i="2"/>
  <c r="G328" i="2"/>
  <c r="E328" i="2"/>
  <c r="C328" i="2"/>
  <c r="B328" i="2"/>
  <c r="S327" i="2"/>
  <c r="M327" i="2"/>
  <c r="L327" i="2"/>
  <c r="J327" i="2"/>
  <c r="H327" i="2"/>
  <c r="G327" i="2"/>
  <c r="E327" i="2"/>
  <c r="C327" i="2"/>
  <c r="B327" i="2"/>
  <c r="S326" i="2"/>
  <c r="M326" i="2"/>
  <c r="L326" i="2"/>
  <c r="J326" i="2"/>
  <c r="H326" i="2"/>
  <c r="G326" i="2"/>
  <c r="E326" i="2"/>
  <c r="C326" i="2"/>
  <c r="B326" i="2"/>
  <c r="S325" i="2"/>
  <c r="M325" i="2"/>
  <c r="L325" i="2"/>
  <c r="J325" i="2"/>
  <c r="H325" i="2"/>
  <c r="G325" i="2"/>
  <c r="E325" i="2"/>
  <c r="C325" i="2"/>
  <c r="B325" i="2"/>
  <c r="S324" i="2"/>
  <c r="M324" i="2"/>
  <c r="L324" i="2"/>
  <c r="J324" i="2"/>
  <c r="H324" i="2"/>
  <c r="G324" i="2"/>
  <c r="E324" i="2"/>
  <c r="C324" i="2"/>
  <c r="B324" i="2"/>
  <c r="S323" i="2"/>
  <c r="M323" i="2"/>
  <c r="L323" i="2"/>
  <c r="J323" i="2"/>
  <c r="H323" i="2"/>
  <c r="G323" i="2"/>
  <c r="E323" i="2"/>
  <c r="C323" i="2"/>
  <c r="B323" i="2"/>
  <c r="S322" i="2"/>
  <c r="M322" i="2"/>
  <c r="L322" i="2"/>
  <c r="J322" i="2"/>
  <c r="H322" i="2"/>
  <c r="G322" i="2"/>
  <c r="E322" i="2"/>
  <c r="C322" i="2"/>
  <c r="B322" i="2"/>
  <c r="S321" i="2"/>
  <c r="M321" i="2"/>
  <c r="L321" i="2"/>
  <c r="J321" i="2"/>
  <c r="H321" i="2"/>
  <c r="G321" i="2"/>
  <c r="E321" i="2"/>
  <c r="C321" i="2"/>
  <c r="B321" i="2"/>
  <c r="S320" i="2"/>
  <c r="M320" i="2"/>
  <c r="L320" i="2"/>
  <c r="J320" i="2"/>
  <c r="H320" i="2"/>
  <c r="G320" i="2"/>
  <c r="E320" i="2"/>
  <c r="C320" i="2"/>
  <c r="B320" i="2"/>
  <c r="S319" i="2"/>
  <c r="M319" i="2"/>
  <c r="L319" i="2"/>
  <c r="J319" i="2"/>
  <c r="H319" i="2"/>
  <c r="G319" i="2"/>
  <c r="E319" i="2"/>
  <c r="C319" i="2"/>
  <c r="B319" i="2"/>
  <c r="S318" i="2"/>
  <c r="M318" i="2"/>
  <c r="L318" i="2"/>
  <c r="J318" i="2"/>
  <c r="H318" i="2"/>
  <c r="G318" i="2"/>
  <c r="E318" i="2"/>
  <c r="C318" i="2"/>
  <c r="B318" i="2"/>
  <c r="S317" i="2"/>
  <c r="M317" i="2"/>
  <c r="L317" i="2"/>
  <c r="J317" i="2"/>
  <c r="H317" i="2"/>
  <c r="G317" i="2"/>
  <c r="E317" i="2"/>
  <c r="C317" i="2"/>
  <c r="B317" i="2"/>
  <c r="S316" i="2"/>
  <c r="M316" i="2"/>
  <c r="L316" i="2"/>
  <c r="J316" i="2"/>
  <c r="H316" i="2"/>
  <c r="G316" i="2"/>
  <c r="E316" i="2"/>
  <c r="C316" i="2"/>
  <c r="B316" i="2"/>
  <c r="S315" i="2"/>
  <c r="M315" i="2"/>
  <c r="L315" i="2"/>
  <c r="J315" i="2"/>
  <c r="H315" i="2"/>
  <c r="G315" i="2"/>
  <c r="E315" i="2"/>
  <c r="C315" i="2"/>
  <c r="B315" i="2"/>
  <c r="S314" i="2"/>
  <c r="M314" i="2"/>
  <c r="L314" i="2"/>
  <c r="J314" i="2"/>
  <c r="H314" i="2"/>
  <c r="G314" i="2"/>
  <c r="E314" i="2"/>
  <c r="C314" i="2"/>
  <c r="B314" i="2"/>
  <c r="S313" i="2"/>
  <c r="M313" i="2"/>
  <c r="L313" i="2"/>
  <c r="J313" i="2"/>
  <c r="H313" i="2"/>
  <c r="G313" i="2"/>
  <c r="E313" i="2"/>
  <c r="C313" i="2"/>
  <c r="B313" i="2"/>
  <c r="S312" i="2"/>
  <c r="M312" i="2"/>
  <c r="L312" i="2"/>
  <c r="J312" i="2"/>
  <c r="H312" i="2"/>
  <c r="G312" i="2"/>
  <c r="E312" i="2"/>
  <c r="C312" i="2"/>
  <c r="B312" i="2"/>
  <c r="S311" i="2"/>
  <c r="M311" i="2"/>
  <c r="L311" i="2"/>
  <c r="J311" i="2"/>
  <c r="H311" i="2"/>
  <c r="G311" i="2"/>
  <c r="E311" i="2"/>
  <c r="C311" i="2"/>
  <c r="B311" i="2"/>
  <c r="S310" i="2"/>
  <c r="M310" i="2"/>
  <c r="L310" i="2"/>
  <c r="J310" i="2"/>
  <c r="H310" i="2"/>
  <c r="G310" i="2"/>
  <c r="E310" i="2"/>
  <c r="C310" i="2"/>
  <c r="B310" i="2"/>
  <c r="S309" i="2"/>
  <c r="M309" i="2"/>
  <c r="L309" i="2"/>
  <c r="J309" i="2"/>
  <c r="H309" i="2"/>
  <c r="G309" i="2"/>
  <c r="E309" i="2"/>
  <c r="C309" i="2"/>
  <c r="B309" i="2"/>
  <c r="S308" i="2"/>
  <c r="M308" i="2"/>
  <c r="L308" i="2"/>
  <c r="J308" i="2"/>
  <c r="H308" i="2"/>
  <c r="G308" i="2"/>
  <c r="E308" i="2"/>
  <c r="C308" i="2"/>
  <c r="B308" i="2"/>
  <c r="S307" i="2"/>
  <c r="M307" i="2"/>
  <c r="L307" i="2"/>
  <c r="J307" i="2"/>
  <c r="H307" i="2"/>
  <c r="G307" i="2"/>
  <c r="E307" i="2"/>
  <c r="C307" i="2"/>
  <c r="B307" i="2"/>
  <c r="S306" i="2"/>
  <c r="M306" i="2"/>
  <c r="L306" i="2"/>
  <c r="J306" i="2"/>
  <c r="H306" i="2"/>
  <c r="G306" i="2"/>
  <c r="E306" i="2"/>
  <c r="C306" i="2"/>
  <c r="B306" i="2"/>
  <c r="S305" i="2"/>
  <c r="M305" i="2"/>
  <c r="L305" i="2"/>
  <c r="J305" i="2"/>
  <c r="H305" i="2"/>
  <c r="G305" i="2"/>
  <c r="E305" i="2"/>
  <c r="C305" i="2"/>
  <c r="B305" i="2"/>
  <c r="S304" i="2"/>
  <c r="M304" i="2"/>
  <c r="L304" i="2"/>
  <c r="J304" i="2"/>
  <c r="H304" i="2"/>
  <c r="G304" i="2"/>
  <c r="E304" i="2"/>
  <c r="C304" i="2"/>
  <c r="B304" i="2"/>
  <c r="S303" i="2"/>
  <c r="M303" i="2"/>
  <c r="L303" i="2"/>
  <c r="J303" i="2"/>
  <c r="H303" i="2"/>
  <c r="G303" i="2"/>
  <c r="E303" i="2"/>
  <c r="C303" i="2"/>
  <c r="B303" i="2"/>
  <c r="S302" i="2"/>
  <c r="M302" i="2"/>
  <c r="L302" i="2"/>
  <c r="J302" i="2"/>
  <c r="H302" i="2"/>
  <c r="G302" i="2"/>
  <c r="E302" i="2"/>
  <c r="C302" i="2"/>
  <c r="B302" i="2"/>
  <c r="S301" i="2"/>
  <c r="M301" i="2"/>
  <c r="L301" i="2"/>
  <c r="J301" i="2"/>
  <c r="H301" i="2"/>
  <c r="G301" i="2"/>
  <c r="E301" i="2"/>
  <c r="C301" i="2"/>
  <c r="B301" i="2"/>
  <c r="S300" i="2"/>
  <c r="M300" i="2"/>
  <c r="L300" i="2"/>
  <c r="J300" i="2"/>
  <c r="H300" i="2"/>
  <c r="G300" i="2"/>
  <c r="E300" i="2"/>
  <c r="C300" i="2"/>
  <c r="B300" i="2"/>
  <c r="S299" i="2"/>
  <c r="M299" i="2"/>
  <c r="L299" i="2"/>
  <c r="J299" i="2"/>
  <c r="H299" i="2"/>
  <c r="G299" i="2"/>
  <c r="E299" i="2"/>
  <c r="C299" i="2"/>
  <c r="B299" i="2"/>
  <c r="S298" i="2"/>
  <c r="M298" i="2"/>
  <c r="L298" i="2"/>
  <c r="J298" i="2"/>
  <c r="H298" i="2"/>
  <c r="G298" i="2"/>
  <c r="E298" i="2"/>
  <c r="C298" i="2"/>
  <c r="B298" i="2"/>
  <c r="S297" i="2"/>
  <c r="M297" i="2"/>
  <c r="L297" i="2"/>
  <c r="J297" i="2"/>
  <c r="H297" i="2"/>
  <c r="G297" i="2"/>
  <c r="E297" i="2"/>
  <c r="C297" i="2"/>
  <c r="B297" i="2"/>
  <c r="S296" i="2"/>
  <c r="M296" i="2"/>
  <c r="L296" i="2"/>
  <c r="J296" i="2"/>
  <c r="H296" i="2"/>
  <c r="G296" i="2"/>
  <c r="E296" i="2"/>
  <c r="C296" i="2"/>
  <c r="B296" i="2"/>
  <c r="S295" i="2"/>
  <c r="O295" i="2"/>
  <c r="M295" i="2"/>
  <c r="L295" i="2"/>
  <c r="J295" i="2"/>
  <c r="H295" i="2"/>
  <c r="G295" i="2"/>
  <c r="E295" i="2"/>
  <c r="C295" i="2"/>
  <c r="B295" i="2"/>
  <c r="S294" i="2"/>
  <c r="O294" i="2"/>
  <c r="M294" i="2"/>
  <c r="L294" i="2"/>
  <c r="J294" i="2"/>
  <c r="H294" i="2"/>
  <c r="G294" i="2"/>
  <c r="E294" i="2"/>
  <c r="C294" i="2"/>
  <c r="B294" i="2"/>
  <c r="S293" i="2"/>
  <c r="O293" i="2"/>
  <c r="M293" i="2"/>
  <c r="L293" i="2"/>
  <c r="J293" i="2"/>
  <c r="H293" i="2"/>
  <c r="G293" i="2"/>
  <c r="E293" i="2"/>
  <c r="C293" i="2"/>
  <c r="B293" i="2"/>
  <c r="S292" i="2"/>
  <c r="O292" i="2"/>
  <c r="M292" i="2"/>
  <c r="L292" i="2"/>
  <c r="J292" i="2"/>
  <c r="H292" i="2"/>
  <c r="G292" i="2"/>
  <c r="E292" i="2"/>
  <c r="C292" i="2"/>
  <c r="B292" i="2"/>
  <c r="S291" i="2"/>
  <c r="O291" i="2"/>
  <c r="M291" i="2"/>
  <c r="L291" i="2"/>
  <c r="J291" i="2"/>
  <c r="H291" i="2"/>
  <c r="G291" i="2"/>
  <c r="E291" i="2"/>
  <c r="C291" i="2"/>
  <c r="B291" i="2"/>
  <c r="S290" i="2"/>
  <c r="O290" i="2"/>
  <c r="M290" i="2"/>
  <c r="L290" i="2"/>
  <c r="J290" i="2"/>
  <c r="H290" i="2"/>
  <c r="G290" i="2"/>
  <c r="E290" i="2"/>
  <c r="C290" i="2"/>
  <c r="B290" i="2"/>
  <c r="S289" i="2"/>
  <c r="O289" i="2"/>
  <c r="M289" i="2"/>
  <c r="L289" i="2"/>
  <c r="J289" i="2"/>
  <c r="H289" i="2"/>
  <c r="G289" i="2"/>
  <c r="E289" i="2"/>
  <c r="C289" i="2"/>
  <c r="B289" i="2"/>
  <c r="S288" i="2"/>
  <c r="O288" i="2"/>
  <c r="M288" i="2"/>
  <c r="L288" i="2"/>
  <c r="J288" i="2"/>
  <c r="H288" i="2"/>
  <c r="G288" i="2"/>
  <c r="E288" i="2"/>
  <c r="C288" i="2"/>
  <c r="B288" i="2"/>
  <c r="S287" i="2"/>
  <c r="O287" i="2"/>
  <c r="M287" i="2"/>
  <c r="L287" i="2"/>
  <c r="J287" i="2"/>
  <c r="H287" i="2"/>
  <c r="G287" i="2"/>
  <c r="E287" i="2"/>
  <c r="C287" i="2"/>
  <c r="B287" i="2"/>
  <c r="S286" i="2"/>
  <c r="O286" i="2"/>
  <c r="M286" i="2"/>
  <c r="L286" i="2"/>
  <c r="J286" i="2"/>
  <c r="H286" i="2"/>
  <c r="G286" i="2"/>
  <c r="E286" i="2"/>
  <c r="C286" i="2"/>
  <c r="B286" i="2"/>
  <c r="S285" i="2"/>
  <c r="O285" i="2"/>
  <c r="M285" i="2"/>
  <c r="L285" i="2"/>
  <c r="J285" i="2"/>
  <c r="H285" i="2"/>
  <c r="G285" i="2"/>
  <c r="E285" i="2"/>
  <c r="C285" i="2"/>
  <c r="B285" i="2"/>
  <c r="S284" i="2"/>
  <c r="O284" i="2"/>
  <c r="M284" i="2"/>
  <c r="L284" i="2"/>
  <c r="J284" i="2"/>
  <c r="H284" i="2"/>
  <c r="G284" i="2"/>
  <c r="E284" i="2"/>
  <c r="C284" i="2"/>
  <c r="B284" i="2"/>
  <c r="S283" i="2"/>
  <c r="O283" i="2"/>
  <c r="M283" i="2"/>
  <c r="L283" i="2"/>
  <c r="J283" i="2"/>
  <c r="H283" i="2"/>
  <c r="G283" i="2"/>
  <c r="E283" i="2"/>
  <c r="C283" i="2"/>
  <c r="B283" i="2"/>
  <c r="S282" i="2"/>
  <c r="O282" i="2"/>
  <c r="M282" i="2"/>
  <c r="L282" i="2"/>
  <c r="J282" i="2"/>
  <c r="H282" i="2"/>
  <c r="G282" i="2"/>
  <c r="E282" i="2"/>
  <c r="C282" i="2"/>
  <c r="B282" i="2"/>
  <c r="S281" i="2"/>
  <c r="O281" i="2"/>
  <c r="M281" i="2"/>
  <c r="L281" i="2"/>
  <c r="J281" i="2"/>
  <c r="H281" i="2"/>
  <c r="G281" i="2"/>
  <c r="E281" i="2"/>
  <c r="C281" i="2"/>
  <c r="B281" i="2"/>
  <c r="S280" i="2"/>
  <c r="O280" i="2"/>
  <c r="M280" i="2"/>
  <c r="L280" i="2"/>
  <c r="J280" i="2"/>
  <c r="H280" i="2"/>
  <c r="G280" i="2"/>
  <c r="E280" i="2"/>
  <c r="C280" i="2"/>
  <c r="B280" i="2"/>
  <c r="S279" i="2"/>
  <c r="O279" i="2"/>
  <c r="M279" i="2"/>
  <c r="L279" i="2"/>
  <c r="J279" i="2"/>
  <c r="H279" i="2"/>
  <c r="G279" i="2"/>
  <c r="E279" i="2"/>
  <c r="C279" i="2"/>
  <c r="B279" i="2"/>
  <c r="S278" i="2"/>
  <c r="O278" i="2"/>
  <c r="M278" i="2"/>
  <c r="L278" i="2"/>
  <c r="J278" i="2"/>
  <c r="H278" i="2"/>
  <c r="G278" i="2"/>
  <c r="E278" i="2"/>
  <c r="F278" i="2" s="1"/>
  <c r="C278" i="2"/>
  <c r="B278" i="2"/>
  <c r="S277" i="2"/>
  <c r="O277" i="2"/>
  <c r="M277" i="2"/>
  <c r="L277" i="2"/>
  <c r="J277" i="2"/>
  <c r="H277" i="2"/>
  <c r="G277" i="2"/>
  <c r="E277" i="2"/>
  <c r="F277" i="2" s="1"/>
  <c r="C277" i="2"/>
  <c r="B277" i="2"/>
  <c r="S276" i="2"/>
  <c r="O276" i="2"/>
  <c r="M276" i="2"/>
  <c r="L276" i="2"/>
  <c r="J276" i="2"/>
  <c r="H276" i="2"/>
  <c r="G276" i="2"/>
  <c r="E276" i="2"/>
  <c r="F276" i="2" s="1"/>
  <c r="C276" i="2"/>
  <c r="B276" i="2"/>
  <c r="S275" i="2"/>
  <c r="O275" i="2"/>
  <c r="M275" i="2"/>
  <c r="L275" i="2"/>
  <c r="J275" i="2"/>
  <c r="H275" i="2"/>
  <c r="G275" i="2"/>
  <c r="E275" i="2"/>
  <c r="F275" i="2" s="1"/>
  <c r="C275" i="2"/>
  <c r="B275" i="2"/>
  <c r="S274" i="2"/>
  <c r="O274" i="2"/>
  <c r="M274" i="2"/>
  <c r="L274" i="2"/>
  <c r="J274" i="2"/>
  <c r="H274" i="2"/>
  <c r="G274" i="2"/>
  <c r="E274" i="2"/>
  <c r="F274" i="2" s="1"/>
  <c r="C274" i="2"/>
  <c r="B274" i="2"/>
  <c r="S273" i="2"/>
  <c r="O273" i="2"/>
  <c r="M273" i="2"/>
  <c r="L273" i="2"/>
  <c r="J273" i="2"/>
  <c r="H273" i="2"/>
  <c r="G273" i="2"/>
  <c r="E273" i="2"/>
  <c r="F273" i="2" s="1"/>
  <c r="C273" i="2"/>
  <c r="B273" i="2"/>
  <c r="O272" i="2"/>
  <c r="M272" i="2"/>
  <c r="L272" i="2"/>
  <c r="J272" i="2"/>
  <c r="H272" i="2"/>
  <c r="G272" i="2"/>
  <c r="E272" i="2"/>
  <c r="F272" i="2" s="1"/>
  <c r="R272" i="2" s="1"/>
  <c r="S272" i="2" s="1"/>
  <c r="C272" i="2"/>
  <c r="B272" i="2"/>
  <c r="S271" i="2"/>
  <c r="O271" i="2"/>
  <c r="M271" i="2"/>
  <c r="L271" i="2"/>
  <c r="J271" i="2"/>
  <c r="H271" i="2"/>
  <c r="G271" i="2"/>
  <c r="E271" i="2"/>
  <c r="F271" i="2" s="1"/>
  <c r="C271" i="2"/>
  <c r="B271" i="2"/>
  <c r="S270" i="2"/>
  <c r="O270" i="2"/>
  <c r="M270" i="2"/>
  <c r="L270" i="2"/>
  <c r="J270" i="2"/>
  <c r="H270" i="2"/>
  <c r="G270" i="2"/>
  <c r="E270" i="2"/>
  <c r="F270" i="2" s="1"/>
  <c r="C270" i="2"/>
  <c r="B270" i="2"/>
  <c r="S269" i="2"/>
  <c r="O269" i="2"/>
  <c r="M269" i="2"/>
  <c r="L269" i="2"/>
  <c r="J269" i="2"/>
  <c r="H269" i="2"/>
  <c r="G269" i="2"/>
  <c r="E269" i="2"/>
  <c r="F269" i="2" s="1"/>
  <c r="C269" i="2"/>
  <c r="B269" i="2"/>
  <c r="S268" i="2"/>
  <c r="O268" i="2"/>
  <c r="M268" i="2"/>
  <c r="L268" i="2"/>
  <c r="J268" i="2"/>
  <c r="H268" i="2"/>
  <c r="G268" i="2"/>
  <c r="E268" i="2"/>
  <c r="F268" i="2" s="1"/>
  <c r="C268" i="2"/>
  <c r="B268" i="2"/>
  <c r="S267" i="2"/>
  <c r="O267" i="2"/>
  <c r="M267" i="2"/>
  <c r="L267" i="2"/>
  <c r="J267" i="2"/>
  <c r="H267" i="2"/>
  <c r="G267" i="2"/>
  <c r="E267" i="2"/>
  <c r="F267" i="2" s="1"/>
  <c r="C267" i="2"/>
  <c r="B267" i="2"/>
  <c r="S266" i="2"/>
  <c r="M266" i="2"/>
  <c r="L266" i="2"/>
  <c r="J266" i="2"/>
  <c r="H266" i="2"/>
  <c r="G266" i="2"/>
  <c r="E266" i="2"/>
  <c r="C266" i="2"/>
  <c r="B266" i="2"/>
  <c r="S265" i="2"/>
  <c r="M265" i="2"/>
  <c r="L265" i="2"/>
  <c r="J265" i="2"/>
  <c r="H265" i="2"/>
  <c r="G265" i="2"/>
  <c r="E265" i="2"/>
  <c r="C265" i="2"/>
  <c r="B265" i="2"/>
  <c r="S264" i="2"/>
  <c r="M264" i="2"/>
  <c r="L264" i="2"/>
  <c r="J264" i="2"/>
  <c r="H264" i="2"/>
  <c r="G264" i="2"/>
  <c r="E264" i="2"/>
  <c r="C264" i="2"/>
  <c r="B264" i="2"/>
  <c r="S263" i="2"/>
  <c r="M263" i="2"/>
  <c r="L263" i="2"/>
  <c r="J263" i="2"/>
  <c r="H263" i="2"/>
  <c r="G263" i="2"/>
  <c r="E263" i="2"/>
  <c r="C263" i="2"/>
  <c r="B263" i="2"/>
  <c r="S262" i="2"/>
  <c r="M262" i="2"/>
  <c r="L262" i="2"/>
  <c r="J262" i="2"/>
  <c r="H262" i="2"/>
  <c r="G262" i="2"/>
  <c r="E262" i="2"/>
  <c r="C262" i="2"/>
  <c r="B262" i="2"/>
  <c r="S261" i="2"/>
  <c r="M261" i="2"/>
  <c r="L261" i="2"/>
  <c r="J261" i="2"/>
  <c r="H261" i="2"/>
  <c r="G261" i="2"/>
  <c r="E261" i="2"/>
  <c r="C261" i="2"/>
  <c r="B261" i="2"/>
  <c r="S260" i="2"/>
  <c r="M260" i="2"/>
  <c r="L260" i="2"/>
  <c r="J260" i="2"/>
  <c r="H260" i="2"/>
  <c r="G260" i="2"/>
  <c r="E260" i="2"/>
  <c r="C260" i="2"/>
  <c r="B260" i="2"/>
  <c r="S259" i="2"/>
  <c r="M259" i="2"/>
  <c r="L259" i="2"/>
  <c r="J259" i="2"/>
  <c r="H259" i="2"/>
  <c r="G259" i="2"/>
  <c r="E259" i="2"/>
  <c r="C259" i="2"/>
  <c r="B259" i="2"/>
  <c r="S258" i="2"/>
  <c r="M258" i="2"/>
  <c r="L258" i="2"/>
  <c r="J258" i="2"/>
  <c r="H258" i="2"/>
  <c r="G258" i="2"/>
  <c r="E258" i="2"/>
  <c r="C258" i="2"/>
  <c r="B258" i="2"/>
  <c r="S257" i="2"/>
  <c r="M257" i="2"/>
  <c r="L257" i="2"/>
  <c r="J257" i="2"/>
  <c r="H257" i="2"/>
  <c r="G257" i="2"/>
  <c r="E257" i="2"/>
  <c r="C257" i="2"/>
  <c r="B257" i="2"/>
  <c r="S256" i="2"/>
  <c r="M256" i="2"/>
  <c r="L256" i="2"/>
  <c r="J256" i="2"/>
  <c r="H256" i="2"/>
  <c r="G256" i="2"/>
  <c r="E256" i="2"/>
  <c r="C256" i="2"/>
  <c r="B256" i="2"/>
  <c r="S255" i="2"/>
  <c r="M255" i="2"/>
  <c r="L255" i="2"/>
  <c r="J255" i="2"/>
  <c r="H255" i="2"/>
  <c r="G255" i="2"/>
  <c r="E255" i="2"/>
  <c r="C255" i="2"/>
  <c r="B255" i="2"/>
  <c r="S254" i="2"/>
  <c r="M254" i="2"/>
  <c r="L254" i="2"/>
  <c r="J254" i="2"/>
  <c r="H254" i="2"/>
  <c r="G254" i="2"/>
  <c r="E254" i="2"/>
  <c r="C254" i="2"/>
  <c r="B254" i="2"/>
  <c r="S253" i="2"/>
  <c r="M253" i="2"/>
  <c r="L253" i="2"/>
  <c r="J253" i="2"/>
  <c r="H253" i="2"/>
  <c r="G253" i="2"/>
  <c r="E253" i="2"/>
  <c r="C253" i="2"/>
  <c r="B253" i="2"/>
  <c r="S252" i="2"/>
  <c r="M252" i="2"/>
  <c r="L252" i="2"/>
  <c r="J252" i="2"/>
  <c r="H252" i="2"/>
  <c r="G252" i="2"/>
  <c r="E252" i="2"/>
  <c r="C252" i="2"/>
  <c r="B252" i="2"/>
  <c r="S251" i="2"/>
  <c r="M251" i="2"/>
  <c r="L251" i="2"/>
  <c r="J251" i="2"/>
  <c r="H251" i="2"/>
  <c r="G251" i="2"/>
  <c r="E251" i="2"/>
  <c r="C251" i="2"/>
  <c r="B251" i="2"/>
  <c r="M250" i="2"/>
  <c r="L250" i="2"/>
  <c r="J250" i="2"/>
  <c r="H250" i="2"/>
  <c r="G250" i="2"/>
  <c r="E250" i="2"/>
  <c r="F250" i="2" s="1"/>
  <c r="R250" i="2" s="1"/>
  <c r="S250" i="2" s="1"/>
  <c r="C250" i="2"/>
  <c r="B250" i="2"/>
  <c r="M249" i="2"/>
  <c r="L249" i="2"/>
  <c r="J249" i="2"/>
  <c r="H249" i="2"/>
  <c r="G249" i="2"/>
  <c r="E249" i="2"/>
  <c r="F249" i="2" s="1"/>
  <c r="R249" i="2" s="1"/>
  <c r="S249" i="2" s="1"/>
  <c r="C249" i="2"/>
  <c r="B249" i="2"/>
  <c r="M248" i="2"/>
  <c r="L248" i="2"/>
  <c r="J248" i="2"/>
  <c r="H248" i="2"/>
  <c r="G248" i="2"/>
  <c r="E248" i="2"/>
  <c r="F248" i="2" s="1"/>
  <c r="R248" i="2" s="1"/>
  <c r="S248" i="2" s="1"/>
  <c r="C248" i="2"/>
  <c r="B248" i="2"/>
  <c r="M247" i="2"/>
  <c r="L247" i="2"/>
  <c r="J247" i="2"/>
  <c r="H247" i="2"/>
  <c r="G247" i="2"/>
  <c r="E247" i="2"/>
  <c r="F247" i="2" s="1"/>
  <c r="R247" i="2" s="1"/>
  <c r="S247" i="2" s="1"/>
  <c r="C247" i="2"/>
  <c r="B247" i="2"/>
  <c r="M246" i="2"/>
  <c r="L246" i="2"/>
  <c r="J246" i="2"/>
  <c r="H246" i="2"/>
  <c r="G246" i="2"/>
  <c r="E246" i="2"/>
  <c r="F246" i="2" s="1"/>
  <c r="R246" i="2" s="1"/>
  <c r="S246" i="2" s="1"/>
  <c r="C246" i="2"/>
  <c r="B246" i="2"/>
  <c r="M245" i="2"/>
  <c r="L245" i="2"/>
  <c r="J245" i="2"/>
  <c r="H245" i="2"/>
  <c r="G245" i="2"/>
  <c r="E245" i="2"/>
  <c r="F245" i="2" s="1"/>
  <c r="R245" i="2" s="1"/>
  <c r="S245" i="2" s="1"/>
  <c r="C245" i="2"/>
  <c r="B245" i="2"/>
  <c r="M244" i="2"/>
  <c r="L244" i="2"/>
  <c r="J244" i="2"/>
  <c r="H244" i="2"/>
  <c r="G244" i="2"/>
  <c r="E244" i="2"/>
  <c r="F244" i="2" s="1"/>
  <c r="R244" i="2" s="1"/>
  <c r="S244" i="2" s="1"/>
  <c r="C244" i="2"/>
  <c r="B244" i="2"/>
  <c r="M243" i="2"/>
  <c r="L243" i="2"/>
  <c r="J243" i="2"/>
  <c r="H243" i="2"/>
  <c r="G243" i="2"/>
  <c r="E243" i="2"/>
  <c r="F243" i="2" s="1"/>
  <c r="R243" i="2" s="1"/>
  <c r="S243" i="2" s="1"/>
  <c r="C243" i="2"/>
  <c r="B243" i="2"/>
  <c r="M242" i="2"/>
  <c r="L242" i="2"/>
  <c r="J242" i="2"/>
  <c r="H242" i="2"/>
  <c r="G242" i="2"/>
  <c r="E242" i="2"/>
  <c r="F242" i="2" s="1"/>
  <c r="R242" i="2" s="1"/>
  <c r="S242" i="2" s="1"/>
  <c r="C242" i="2"/>
  <c r="B242" i="2"/>
  <c r="M241" i="2"/>
  <c r="L241" i="2"/>
  <c r="J241" i="2"/>
  <c r="H241" i="2"/>
  <c r="G241" i="2"/>
  <c r="E241" i="2"/>
  <c r="F241" i="2" s="1"/>
  <c r="R241" i="2" s="1"/>
  <c r="S241" i="2" s="1"/>
  <c r="C241" i="2"/>
  <c r="B241" i="2"/>
  <c r="M240" i="2"/>
  <c r="L240" i="2"/>
  <c r="J240" i="2"/>
  <c r="H240" i="2"/>
  <c r="G240" i="2"/>
  <c r="E240" i="2"/>
  <c r="F240" i="2" s="1"/>
  <c r="R240" i="2" s="1"/>
  <c r="S240" i="2" s="1"/>
  <c r="C240" i="2"/>
  <c r="B240" i="2"/>
  <c r="S239" i="2"/>
  <c r="M239" i="2"/>
  <c r="L239" i="2"/>
  <c r="J239" i="2"/>
  <c r="H239" i="2"/>
  <c r="G239" i="2"/>
  <c r="E239" i="2"/>
  <c r="C239" i="2"/>
  <c r="B239" i="2"/>
  <c r="S238" i="2"/>
  <c r="M238" i="2"/>
  <c r="L238" i="2"/>
  <c r="J238" i="2"/>
  <c r="H238" i="2"/>
  <c r="G238" i="2"/>
  <c r="E238" i="2"/>
  <c r="C238" i="2"/>
  <c r="B238" i="2"/>
  <c r="M237" i="2"/>
  <c r="L237" i="2"/>
  <c r="J237" i="2"/>
  <c r="H237" i="2"/>
  <c r="G237" i="2"/>
  <c r="E237" i="2"/>
  <c r="F237" i="2" s="1"/>
  <c r="R237" i="2" s="1"/>
  <c r="S237" i="2" s="1"/>
  <c r="C237" i="2"/>
  <c r="B237" i="2"/>
  <c r="S236" i="2"/>
  <c r="M236" i="2"/>
  <c r="L236" i="2"/>
  <c r="J236" i="2"/>
  <c r="H236" i="2"/>
  <c r="G236" i="2"/>
  <c r="E236" i="2"/>
  <c r="F236" i="2" s="1"/>
  <c r="C236" i="2"/>
  <c r="B236" i="2"/>
  <c r="S235" i="2"/>
  <c r="M235" i="2"/>
  <c r="L235" i="2"/>
  <c r="J235" i="2"/>
  <c r="H235" i="2"/>
  <c r="G235" i="2"/>
  <c r="E235" i="2"/>
  <c r="F235" i="2" s="1"/>
  <c r="C235" i="2"/>
  <c r="B235" i="2"/>
  <c r="S234" i="2"/>
  <c r="M234" i="2"/>
  <c r="L234" i="2"/>
  <c r="J234" i="2"/>
  <c r="H234" i="2"/>
  <c r="G234" i="2"/>
  <c r="E234" i="2"/>
  <c r="F234" i="2" s="1"/>
  <c r="C234" i="2"/>
  <c r="B234" i="2"/>
  <c r="S233" i="2"/>
  <c r="O233" i="2"/>
  <c r="M233" i="2"/>
  <c r="L233" i="2"/>
  <c r="J233" i="2"/>
  <c r="H233" i="2"/>
  <c r="G233" i="2"/>
  <c r="E233" i="2"/>
  <c r="C233" i="2"/>
  <c r="B233" i="2"/>
  <c r="S232" i="2"/>
  <c r="O232" i="2"/>
  <c r="M232" i="2"/>
  <c r="L232" i="2"/>
  <c r="J232" i="2"/>
  <c r="H232" i="2"/>
  <c r="G232" i="2"/>
  <c r="E232" i="2"/>
  <c r="C232" i="2"/>
  <c r="B232" i="2"/>
  <c r="S231" i="2"/>
  <c r="O231" i="2"/>
  <c r="M231" i="2"/>
  <c r="L231" i="2"/>
  <c r="J231" i="2"/>
  <c r="H231" i="2"/>
  <c r="G231" i="2"/>
  <c r="E231" i="2"/>
  <c r="C231" i="2"/>
  <c r="B231" i="2"/>
  <c r="S230" i="2"/>
  <c r="O230" i="2"/>
  <c r="M230" i="2"/>
  <c r="L230" i="2"/>
  <c r="J230" i="2"/>
  <c r="H230" i="2"/>
  <c r="G230" i="2"/>
  <c r="E230" i="2"/>
  <c r="C230" i="2"/>
  <c r="B230" i="2"/>
  <c r="S229" i="2"/>
  <c r="O229" i="2"/>
  <c r="M229" i="2"/>
  <c r="L229" i="2"/>
  <c r="J229" i="2"/>
  <c r="H229" i="2"/>
  <c r="G229" i="2"/>
  <c r="E229" i="2"/>
  <c r="C229" i="2"/>
  <c r="B229" i="2"/>
  <c r="S228" i="2"/>
  <c r="O228" i="2"/>
  <c r="M228" i="2"/>
  <c r="L228" i="2"/>
  <c r="J228" i="2"/>
  <c r="H228" i="2"/>
  <c r="G228" i="2"/>
  <c r="E228" i="2"/>
  <c r="C228" i="2"/>
  <c r="B228" i="2"/>
  <c r="S227" i="2"/>
  <c r="O227" i="2"/>
  <c r="M227" i="2"/>
  <c r="L227" i="2"/>
  <c r="J227" i="2"/>
  <c r="H227" i="2"/>
  <c r="G227" i="2"/>
  <c r="E227" i="2"/>
  <c r="C227" i="2"/>
  <c r="B227" i="2"/>
  <c r="S226" i="2"/>
  <c r="O226" i="2"/>
  <c r="M226" i="2"/>
  <c r="L226" i="2"/>
  <c r="J226" i="2"/>
  <c r="H226" i="2"/>
  <c r="G226" i="2"/>
  <c r="E226" i="2"/>
  <c r="C226" i="2"/>
  <c r="B226" i="2"/>
  <c r="S225" i="2"/>
  <c r="O225" i="2"/>
  <c r="M225" i="2"/>
  <c r="L225" i="2"/>
  <c r="J225" i="2"/>
  <c r="H225" i="2"/>
  <c r="G225" i="2"/>
  <c r="E225" i="2"/>
  <c r="C225" i="2"/>
  <c r="B225" i="2"/>
  <c r="S224" i="2"/>
  <c r="O224" i="2"/>
  <c r="M224" i="2"/>
  <c r="L224" i="2"/>
  <c r="J224" i="2"/>
  <c r="H224" i="2"/>
  <c r="G224" i="2"/>
  <c r="E224" i="2"/>
  <c r="C224" i="2"/>
  <c r="B224" i="2"/>
  <c r="S223" i="2"/>
  <c r="O223" i="2"/>
  <c r="M223" i="2"/>
  <c r="L223" i="2"/>
  <c r="J223" i="2"/>
  <c r="H223" i="2"/>
  <c r="G223" i="2"/>
  <c r="E223" i="2"/>
  <c r="C223" i="2"/>
  <c r="B223" i="2"/>
  <c r="S222" i="2"/>
  <c r="O222" i="2"/>
  <c r="M222" i="2"/>
  <c r="L222" i="2"/>
  <c r="J222" i="2"/>
  <c r="H222" i="2"/>
  <c r="G222" i="2"/>
  <c r="E222" i="2"/>
  <c r="C222" i="2"/>
  <c r="B222" i="2"/>
  <c r="S221" i="2"/>
  <c r="M221" i="2"/>
  <c r="L221" i="2"/>
  <c r="J221" i="2"/>
  <c r="H221" i="2"/>
  <c r="G221" i="2"/>
  <c r="E221" i="2"/>
  <c r="C221" i="2"/>
  <c r="B221" i="2"/>
  <c r="S220" i="2"/>
  <c r="M220" i="2"/>
  <c r="L220" i="2"/>
  <c r="J220" i="2"/>
  <c r="H220" i="2"/>
  <c r="G220" i="2"/>
  <c r="E220" i="2"/>
  <c r="C220" i="2"/>
  <c r="B220" i="2"/>
  <c r="S219" i="2"/>
  <c r="M219" i="2"/>
  <c r="L219" i="2"/>
  <c r="J219" i="2"/>
  <c r="H219" i="2"/>
  <c r="G219" i="2"/>
  <c r="E219" i="2"/>
  <c r="C219" i="2"/>
  <c r="B219" i="2"/>
  <c r="S218" i="2"/>
  <c r="M218" i="2"/>
  <c r="L218" i="2"/>
  <c r="J218" i="2"/>
  <c r="H218" i="2"/>
  <c r="G218" i="2"/>
  <c r="E218" i="2"/>
  <c r="C218" i="2"/>
  <c r="B218" i="2"/>
  <c r="S217" i="2"/>
  <c r="M217" i="2"/>
  <c r="L217" i="2"/>
  <c r="J217" i="2"/>
  <c r="H217" i="2"/>
  <c r="G217" i="2"/>
  <c r="E217" i="2"/>
  <c r="C217" i="2"/>
  <c r="B217" i="2"/>
  <c r="S216" i="2"/>
  <c r="M216" i="2"/>
  <c r="L216" i="2"/>
  <c r="J216" i="2"/>
  <c r="H216" i="2"/>
  <c r="G216" i="2"/>
  <c r="E216" i="2"/>
  <c r="C216" i="2"/>
  <c r="B216" i="2"/>
  <c r="S215" i="2"/>
  <c r="M215" i="2"/>
  <c r="L215" i="2"/>
  <c r="J215" i="2"/>
  <c r="H215" i="2"/>
  <c r="G215" i="2"/>
  <c r="E215" i="2"/>
  <c r="C215" i="2"/>
  <c r="B215" i="2"/>
  <c r="S214" i="2"/>
  <c r="M214" i="2"/>
  <c r="L214" i="2"/>
  <c r="J214" i="2"/>
  <c r="H214" i="2"/>
  <c r="G214" i="2"/>
  <c r="E214" i="2"/>
  <c r="C214" i="2"/>
  <c r="B214" i="2"/>
  <c r="S213" i="2"/>
  <c r="M213" i="2"/>
  <c r="L213" i="2"/>
  <c r="J213" i="2"/>
  <c r="H213" i="2"/>
  <c r="G213" i="2"/>
  <c r="E213" i="2"/>
  <c r="C213" i="2"/>
  <c r="B213" i="2"/>
  <c r="S212" i="2"/>
  <c r="M212" i="2"/>
  <c r="L212" i="2"/>
  <c r="J212" i="2"/>
  <c r="H212" i="2"/>
  <c r="G212" i="2"/>
  <c r="E212" i="2"/>
  <c r="C212" i="2"/>
  <c r="B212" i="2"/>
  <c r="S211" i="2"/>
  <c r="M211" i="2"/>
  <c r="L211" i="2"/>
  <c r="J211" i="2"/>
  <c r="H211" i="2"/>
  <c r="G211" i="2"/>
  <c r="E211" i="2"/>
  <c r="C211" i="2"/>
  <c r="B211" i="2"/>
  <c r="S210" i="2"/>
  <c r="M210" i="2"/>
  <c r="L210" i="2"/>
  <c r="J210" i="2"/>
  <c r="H210" i="2"/>
  <c r="G210" i="2"/>
  <c r="E210" i="2"/>
  <c r="C210" i="2"/>
  <c r="B210" i="2"/>
  <c r="S209" i="2"/>
  <c r="M209" i="2"/>
  <c r="L209" i="2"/>
  <c r="J209" i="2"/>
  <c r="H209" i="2"/>
  <c r="G209" i="2"/>
  <c r="E209" i="2"/>
  <c r="C209" i="2"/>
  <c r="B209" i="2"/>
  <c r="S208" i="2"/>
  <c r="M208" i="2"/>
  <c r="L208" i="2"/>
  <c r="J208" i="2"/>
  <c r="H208" i="2"/>
  <c r="G208" i="2"/>
  <c r="E208" i="2"/>
  <c r="C208" i="2"/>
  <c r="B208" i="2"/>
  <c r="S207" i="2"/>
  <c r="M207" i="2"/>
  <c r="L207" i="2"/>
  <c r="J207" i="2"/>
  <c r="H207" i="2"/>
  <c r="G207" i="2"/>
  <c r="E207" i="2"/>
  <c r="C207" i="2"/>
  <c r="B207" i="2"/>
  <c r="S206" i="2"/>
  <c r="M206" i="2"/>
  <c r="L206" i="2"/>
  <c r="J206" i="2"/>
  <c r="H206" i="2"/>
  <c r="G206" i="2"/>
  <c r="E206" i="2"/>
  <c r="C206" i="2"/>
  <c r="B206" i="2"/>
  <c r="S205" i="2"/>
  <c r="M205" i="2"/>
  <c r="L205" i="2"/>
  <c r="J205" i="2"/>
  <c r="H205" i="2"/>
  <c r="G205" i="2"/>
  <c r="E205" i="2"/>
  <c r="C205" i="2"/>
  <c r="B205" i="2"/>
  <c r="S204" i="2"/>
  <c r="M204" i="2"/>
  <c r="L204" i="2"/>
  <c r="J204" i="2"/>
  <c r="H204" i="2"/>
  <c r="G204" i="2"/>
  <c r="E204" i="2"/>
  <c r="C204" i="2"/>
  <c r="B204" i="2"/>
  <c r="S203" i="2"/>
  <c r="M203" i="2"/>
  <c r="L203" i="2"/>
  <c r="J203" i="2"/>
  <c r="H203" i="2"/>
  <c r="G203" i="2"/>
  <c r="E203" i="2"/>
  <c r="C203" i="2"/>
  <c r="B203" i="2"/>
  <c r="S202" i="2"/>
  <c r="M202" i="2"/>
  <c r="L202" i="2"/>
  <c r="J202" i="2"/>
  <c r="H202" i="2"/>
  <c r="G202" i="2"/>
  <c r="E202" i="2"/>
  <c r="C202" i="2"/>
  <c r="B202" i="2"/>
  <c r="S201" i="2"/>
  <c r="M201" i="2"/>
  <c r="L201" i="2"/>
  <c r="J201" i="2"/>
  <c r="H201" i="2"/>
  <c r="G201" i="2"/>
  <c r="E201" i="2"/>
  <c r="C201" i="2"/>
  <c r="B201" i="2"/>
  <c r="S200" i="2"/>
  <c r="M200" i="2"/>
  <c r="L200" i="2"/>
  <c r="J200" i="2"/>
  <c r="H200" i="2"/>
  <c r="G200" i="2"/>
  <c r="E200" i="2"/>
  <c r="C200" i="2"/>
  <c r="B200" i="2"/>
  <c r="S199" i="2"/>
  <c r="M199" i="2"/>
  <c r="L199" i="2"/>
  <c r="J199" i="2"/>
  <c r="H199" i="2"/>
  <c r="G199" i="2"/>
  <c r="E199" i="2"/>
  <c r="C199" i="2"/>
  <c r="B199" i="2"/>
  <c r="S198" i="2"/>
  <c r="M198" i="2"/>
  <c r="L198" i="2"/>
  <c r="J198" i="2"/>
  <c r="H198" i="2"/>
  <c r="G198" i="2"/>
  <c r="E198" i="2"/>
  <c r="C198" i="2"/>
  <c r="B198" i="2"/>
  <c r="S197" i="2"/>
  <c r="M197" i="2"/>
  <c r="L197" i="2"/>
  <c r="J197" i="2"/>
  <c r="H197" i="2"/>
  <c r="G197" i="2"/>
  <c r="E197" i="2"/>
  <c r="C197" i="2"/>
  <c r="B197" i="2"/>
  <c r="S196" i="2"/>
  <c r="M196" i="2"/>
  <c r="L196" i="2"/>
  <c r="J196" i="2"/>
  <c r="H196" i="2"/>
  <c r="G196" i="2"/>
  <c r="E196" i="2"/>
  <c r="C196" i="2"/>
  <c r="B196" i="2"/>
  <c r="S195" i="2"/>
  <c r="M195" i="2"/>
  <c r="L195" i="2"/>
  <c r="J195" i="2"/>
  <c r="H195" i="2"/>
  <c r="G195" i="2"/>
  <c r="E195" i="2"/>
  <c r="C195" i="2"/>
  <c r="B195" i="2"/>
  <c r="S194" i="2"/>
  <c r="M194" i="2"/>
  <c r="L194" i="2"/>
  <c r="J194" i="2"/>
  <c r="H194" i="2"/>
  <c r="G194" i="2"/>
  <c r="E194" i="2"/>
  <c r="C194" i="2"/>
  <c r="B194" i="2"/>
  <c r="S193" i="2"/>
  <c r="M193" i="2"/>
  <c r="L193" i="2"/>
  <c r="J193" i="2"/>
  <c r="H193" i="2"/>
  <c r="G193" i="2"/>
  <c r="E193" i="2"/>
  <c r="C193" i="2"/>
  <c r="B193" i="2"/>
  <c r="S192" i="2"/>
  <c r="M192" i="2"/>
  <c r="L192" i="2"/>
  <c r="J192" i="2"/>
  <c r="H192" i="2"/>
  <c r="G192" i="2"/>
  <c r="E192" i="2"/>
  <c r="C192" i="2"/>
  <c r="B192" i="2"/>
  <c r="S191" i="2"/>
  <c r="M191" i="2"/>
  <c r="L191" i="2"/>
  <c r="J191" i="2"/>
  <c r="H191" i="2"/>
  <c r="G191" i="2"/>
  <c r="E191" i="2"/>
  <c r="C191" i="2"/>
  <c r="B191" i="2"/>
  <c r="S190" i="2"/>
  <c r="M190" i="2"/>
  <c r="L190" i="2"/>
  <c r="J190" i="2"/>
  <c r="H190" i="2"/>
  <c r="G190" i="2"/>
  <c r="E190" i="2"/>
  <c r="C190" i="2"/>
  <c r="B190" i="2"/>
  <c r="S189" i="2"/>
  <c r="M189" i="2"/>
  <c r="L189" i="2"/>
  <c r="J189" i="2"/>
  <c r="H189" i="2"/>
  <c r="G189" i="2"/>
  <c r="E189" i="2"/>
  <c r="C189" i="2"/>
  <c r="B189" i="2"/>
  <c r="S188" i="2"/>
  <c r="M188" i="2"/>
  <c r="L188" i="2"/>
  <c r="J188" i="2"/>
  <c r="H188" i="2"/>
  <c r="G188" i="2"/>
  <c r="E188" i="2"/>
  <c r="C188" i="2"/>
  <c r="B188" i="2"/>
  <c r="S187" i="2"/>
  <c r="M187" i="2"/>
  <c r="L187" i="2"/>
  <c r="J187" i="2"/>
  <c r="H187" i="2"/>
  <c r="G187" i="2"/>
  <c r="E187" i="2"/>
  <c r="C187" i="2"/>
  <c r="B187" i="2"/>
  <c r="S186" i="2"/>
  <c r="M186" i="2"/>
  <c r="L186" i="2"/>
  <c r="J186" i="2"/>
  <c r="H186" i="2"/>
  <c r="G186" i="2"/>
  <c r="E186" i="2"/>
  <c r="C186" i="2"/>
  <c r="B186" i="2"/>
  <c r="S185" i="2"/>
  <c r="M185" i="2"/>
  <c r="L185" i="2"/>
  <c r="J185" i="2"/>
  <c r="H185" i="2"/>
  <c r="G185" i="2"/>
  <c r="E185" i="2"/>
  <c r="C185" i="2"/>
  <c r="B185" i="2"/>
  <c r="S184" i="2"/>
  <c r="M184" i="2"/>
  <c r="L184" i="2"/>
  <c r="J184" i="2"/>
  <c r="H184" i="2"/>
  <c r="G184" i="2"/>
  <c r="E184" i="2"/>
  <c r="C184" i="2"/>
  <c r="B184" i="2"/>
  <c r="S183" i="2"/>
  <c r="M183" i="2"/>
  <c r="L183" i="2"/>
  <c r="J183" i="2"/>
  <c r="H183" i="2"/>
  <c r="G183" i="2"/>
  <c r="E183" i="2"/>
  <c r="C183" i="2"/>
  <c r="B183" i="2"/>
  <c r="S182" i="2"/>
  <c r="M182" i="2"/>
  <c r="L182" i="2"/>
  <c r="J182" i="2"/>
  <c r="H182" i="2"/>
  <c r="G182" i="2"/>
  <c r="E182" i="2"/>
  <c r="C182" i="2"/>
  <c r="B182" i="2"/>
  <c r="S181" i="2"/>
  <c r="M181" i="2"/>
  <c r="L181" i="2"/>
  <c r="J181" i="2"/>
  <c r="H181" i="2"/>
  <c r="G181" i="2"/>
  <c r="E181" i="2"/>
  <c r="C181" i="2"/>
  <c r="B181" i="2"/>
  <c r="S180" i="2"/>
  <c r="M180" i="2"/>
  <c r="L180" i="2"/>
  <c r="J180" i="2"/>
  <c r="H180" i="2"/>
  <c r="G180" i="2"/>
  <c r="E180" i="2"/>
  <c r="C180" i="2"/>
  <c r="B180" i="2"/>
  <c r="S179" i="2"/>
  <c r="M179" i="2"/>
  <c r="L179" i="2"/>
  <c r="J179" i="2"/>
  <c r="H179" i="2"/>
  <c r="G179" i="2"/>
  <c r="E179" i="2"/>
  <c r="C179" i="2"/>
  <c r="B179" i="2"/>
  <c r="S178" i="2"/>
  <c r="M178" i="2"/>
  <c r="L178" i="2"/>
  <c r="J178" i="2"/>
  <c r="H178" i="2"/>
  <c r="G178" i="2"/>
  <c r="E178" i="2"/>
  <c r="C178" i="2"/>
  <c r="B178" i="2"/>
  <c r="S177" i="2"/>
  <c r="M177" i="2"/>
  <c r="L177" i="2"/>
  <c r="J177" i="2"/>
  <c r="H177" i="2"/>
  <c r="G177" i="2"/>
  <c r="E177" i="2"/>
  <c r="C177" i="2"/>
  <c r="B177" i="2"/>
  <c r="S176" i="2"/>
  <c r="M176" i="2"/>
  <c r="L176" i="2"/>
  <c r="J176" i="2"/>
  <c r="H176" i="2"/>
  <c r="G176" i="2"/>
  <c r="E176" i="2"/>
  <c r="C176" i="2"/>
  <c r="B176" i="2"/>
  <c r="S175" i="2"/>
  <c r="M175" i="2"/>
  <c r="L175" i="2"/>
  <c r="J175" i="2"/>
  <c r="H175" i="2"/>
  <c r="G175" i="2"/>
  <c r="E175" i="2"/>
  <c r="C175" i="2"/>
  <c r="B175" i="2"/>
  <c r="S174" i="2"/>
  <c r="M174" i="2"/>
  <c r="L174" i="2"/>
  <c r="J174" i="2"/>
  <c r="H174" i="2"/>
  <c r="G174" i="2"/>
  <c r="E174" i="2"/>
  <c r="C174" i="2"/>
  <c r="B174" i="2"/>
  <c r="S173" i="2"/>
  <c r="M173" i="2"/>
  <c r="L173" i="2"/>
  <c r="J173" i="2"/>
  <c r="H173" i="2"/>
  <c r="G173" i="2"/>
  <c r="E173" i="2"/>
  <c r="C173" i="2"/>
  <c r="B173" i="2"/>
  <c r="S172" i="2"/>
  <c r="M172" i="2"/>
  <c r="L172" i="2"/>
  <c r="J172" i="2"/>
  <c r="H172" i="2"/>
  <c r="G172" i="2"/>
  <c r="E172" i="2"/>
  <c r="C172" i="2"/>
  <c r="B172" i="2"/>
  <c r="S171" i="2"/>
  <c r="M171" i="2"/>
  <c r="L171" i="2"/>
  <c r="J171" i="2"/>
  <c r="H171" i="2"/>
  <c r="G171" i="2"/>
  <c r="E171" i="2"/>
  <c r="C171" i="2"/>
  <c r="B171" i="2"/>
  <c r="S170" i="2"/>
  <c r="M170" i="2"/>
  <c r="L170" i="2"/>
  <c r="J170" i="2"/>
  <c r="H170" i="2"/>
  <c r="G170" i="2"/>
  <c r="E170" i="2"/>
  <c r="C170" i="2"/>
  <c r="B170" i="2"/>
  <c r="S169" i="2"/>
  <c r="M169" i="2"/>
  <c r="L169" i="2"/>
  <c r="J169" i="2"/>
  <c r="H169" i="2"/>
  <c r="G169" i="2"/>
  <c r="E169" i="2"/>
  <c r="C169" i="2"/>
  <c r="B169" i="2"/>
  <c r="S168" i="2"/>
  <c r="M168" i="2"/>
  <c r="L168" i="2"/>
  <c r="J168" i="2"/>
  <c r="H168" i="2"/>
  <c r="G168" i="2"/>
  <c r="E168" i="2"/>
  <c r="C168" i="2"/>
  <c r="B168" i="2"/>
  <c r="S167" i="2"/>
  <c r="M167" i="2"/>
  <c r="L167" i="2"/>
  <c r="J167" i="2"/>
  <c r="H167" i="2"/>
  <c r="G167" i="2"/>
  <c r="E167" i="2"/>
  <c r="C167" i="2"/>
  <c r="B167" i="2"/>
  <c r="S166" i="2"/>
  <c r="M166" i="2"/>
  <c r="L166" i="2"/>
  <c r="J166" i="2"/>
  <c r="H166" i="2"/>
  <c r="G166" i="2"/>
  <c r="E166" i="2"/>
  <c r="C166" i="2"/>
  <c r="B166" i="2"/>
  <c r="S165" i="2"/>
  <c r="M165" i="2"/>
  <c r="L165" i="2"/>
  <c r="J165" i="2"/>
  <c r="H165" i="2"/>
  <c r="G165" i="2"/>
  <c r="E165" i="2"/>
  <c r="C165" i="2"/>
  <c r="B165" i="2"/>
  <c r="S164" i="2"/>
  <c r="M164" i="2"/>
  <c r="L164" i="2"/>
  <c r="J164" i="2"/>
  <c r="H164" i="2"/>
  <c r="G164" i="2"/>
  <c r="E164" i="2"/>
  <c r="C164" i="2"/>
  <c r="B164" i="2"/>
  <c r="S163" i="2"/>
  <c r="M163" i="2"/>
  <c r="L163" i="2"/>
  <c r="J163" i="2"/>
  <c r="H163" i="2"/>
  <c r="G163" i="2"/>
  <c r="E163" i="2"/>
  <c r="C163" i="2"/>
  <c r="B163" i="2"/>
  <c r="S162" i="2"/>
  <c r="M162" i="2"/>
  <c r="L162" i="2"/>
  <c r="J162" i="2"/>
  <c r="H162" i="2"/>
  <c r="G162" i="2"/>
  <c r="E162" i="2"/>
  <c r="C162" i="2"/>
  <c r="B162" i="2"/>
  <c r="S161" i="2"/>
  <c r="M161" i="2"/>
  <c r="L161" i="2"/>
  <c r="J161" i="2"/>
  <c r="H161" i="2"/>
  <c r="G161" i="2"/>
  <c r="E161" i="2"/>
  <c r="C161" i="2"/>
  <c r="B161" i="2"/>
  <c r="S160" i="2"/>
  <c r="M160" i="2"/>
  <c r="L160" i="2"/>
  <c r="J160" i="2"/>
  <c r="H160" i="2"/>
  <c r="G160" i="2"/>
  <c r="E160" i="2"/>
  <c r="C160" i="2"/>
  <c r="B160" i="2"/>
  <c r="S159" i="2"/>
  <c r="M159" i="2"/>
  <c r="L159" i="2"/>
  <c r="J159" i="2"/>
  <c r="H159" i="2"/>
  <c r="G159" i="2"/>
  <c r="E159" i="2"/>
  <c r="C159" i="2"/>
  <c r="B159" i="2"/>
  <c r="S158" i="2"/>
  <c r="M158" i="2"/>
  <c r="L158" i="2"/>
  <c r="J158" i="2"/>
  <c r="H158" i="2"/>
  <c r="G158" i="2"/>
  <c r="E158" i="2"/>
  <c r="C158" i="2"/>
  <c r="B158" i="2"/>
  <c r="S157" i="2"/>
  <c r="M157" i="2"/>
  <c r="L157" i="2"/>
  <c r="J157" i="2"/>
  <c r="H157" i="2"/>
  <c r="G157" i="2"/>
  <c r="E157" i="2"/>
  <c r="C157" i="2"/>
  <c r="B157" i="2"/>
  <c r="S156" i="2"/>
  <c r="M156" i="2"/>
  <c r="L156" i="2"/>
  <c r="J156" i="2"/>
  <c r="H156" i="2"/>
  <c r="G156" i="2"/>
  <c r="E156" i="2"/>
  <c r="C156" i="2"/>
  <c r="B156" i="2"/>
  <c r="S155" i="2"/>
  <c r="M155" i="2"/>
  <c r="L155" i="2"/>
  <c r="J155" i="2"/>
  <c r="H155" i="2"/>
  <c r="G155" i="2"/>
  <c r="E155" i="2"/>
  <c r="C155" i="2"/>
  <c r="B155" i="2"/>
  <c r="S154" i="2"/>
  <c r="M154" i="2"/>
  <c r="L154" i="2"/>
  <c r="J154" i="2"/>
  <c r="H154" i="2"/>
  <c r="G154" i="2"/>
  <c r="E154" i="2"/>
  <c r="C154" i="2"/>
  <c r="B154" i="2"/>
  <c r="S153" i="2"/>
  <c r="M153" i="2"/>
  <c r="L153" i="2"/>
  <c r="J153" i="2"/>
  <c r="H153" i="2"/>
  <c r="G153" i="2"/>
  <c r="E153" i="2"/>
  <c r="C153" i="2"/>
  <c r="B153" i="2"/>
  <c r="S152" i="2"/>
  <c r="M152" i="2"/>
  <c r="L152" i="2"/>
  <c r="J152" i="2"/>
  <c r="H152" i="2"/>
  <c r="G152" i="2"/>
  <c r="E152" i="2"/>
  <c r="C152" i="2"/>
  <c r="B152" i="2"/>
  <c r="S151" i="2"/>
  <c r="M151" i="2"/>
  <c r="L151" i="2"/>
  <c r="J151" i="2"/>
  <c r="H151" i="2"/>
  <c r="G151" i="2"/>
  <c r="E151" i="2"/>
  <c r="C151" i="2"/>
  <c r="B151" i="2"/>
  <c r="S150" i="2"/>
  <c r="M150" i="2"/>
  <c r="L150" i="2"/>
  <c r="J150" i="2"/>
  <c r="H150" i="2"/>
  <c r="G150" i="2"/>
  <c r="E150" i="2"/>
  <c r="C150" i="2"/>
  <c r="B150" i="2"/>
  <c r="S149" i="2"/>
  <c r="M149" i="2"/>
  <c r="L149" i="2"/>
  <c r="J149" i="2"/>
  <c r="H149" i="2"/>
  <c r="G149" i="2"/>
  <c r="E149" i="2"/>
  <c r="C149" i="2"/>
  <c r="B149" i="2"/>
  <c r="S148" i="2"/>
  <c r="M148" i="2"/>
  <c r="L148" i="2"/>
  <c r="J148" i="2"/>
  <c r="H148" i="2"/>
  <c r="G148" i="2"/>
  <c r="E148" i="2"/>
  <c r="C148" i="2"/>
  <c r="B148" i="2"/>
  <c r="S147" i="2"/>
  <c r="M147" i="2"/>
  <c r="L147" i="2"/>
  <c r="J147" i="2"/>
  <c r="H147" i="2"/>
  <c r="G147" i="2"/>
  <c r="E147" i="2"/>
  <c r="C147" i="2"/>
  <c r="B147" i="2"/>
  <c r="S146" i="2"/>
  <c r="M146" i="2"/>
  <c r="L146" i="2"/>
  <c r="J146" i="2"/>
  <c r="H146" i="2"/>
  <c r="G146" i="2"/>
  <c r="E146" i="2"/>
  <c r="C146" i="2"/>
  <c r="B146" i="2"/>
  <c r="S145" i="2"/>
  <c r="M145" i="2"/>
  <c r="L145" i="2"/>
  <c r="J145" i="2"/>
  <c r="H145" i="2"/>
  <c r="G145" i="2"/>
  <c r="E145" i="2"/>
  <c r="C145" i="2"/>
  <c r="B145" i="2"/>
  <c r="S144" i="2"/>
  <c r="M144" i="2"/>
  <c r="L144" i="2"/>
  <c r="J144" i="2"/>
  <c r="H144" i="2"/>
  <c r="G144" i="2"/>
  <c r="E144" i="2"/>
  <c r="C144" i="2"/>
  <c r="B144" i="2"/>
  <c r="S143" i="2"/>
  <c r="M143" i="2"/>
  <c r="L143" i="2"/>
  <c r="J143" i="2"/>
  <c r="H143" i="2"/>
  <c r="G143" i="2"/>
  <c r="E143" i="2"/>
  <c r="C143" i="2"/>
  <c r="B143" i="2"/>
  <c r="S142" i="2"/>
  <c r="M142" i="2"/>
  <c r="L142" i="2"/>
  <c r="J142" i="2"/>
  <c r="H142" i="2"/>
  <c r="G142" i="2"/>
  <c r="E142" i="2"/>
  <c r="C142" i="2"/>
  <c r="B142" i="2"/>
  <c r="S141" i="2"/>
  <c r="M141" i="2"/>
  <c r="L141" i="2"/>
  <c r="J141" i="2"/>
  <c r="H141" i="2"/>
  <c r="G141" i="2"/>
  <c r="E141" i="2"/>
  <c r="C141" i="2"/>
  <c r="B141" i="2"/>
  <c r="S140" i="2"/>
  <c r="M140" i="2"/>
  <c r="L140" i="2"/>
  <c r="J140" i="2"/>
  <c r="H140" i="2"/>
  <c r="G140" i="2"/>
  <c r="E140" i="2"/>
  <c r="C140" i="2"/>
  <c r="B140" i="2"/>
  <c r="S139" i="2"/>
  <c r="M139" i="2"/>
  <c r="L139" i="2"/>
  <c r="J139" i="2"/>
  <c r="H139" i="2"/>
  <c r="G139" i="2"/>
  <c r="E139" i="2"/>
  <c r="C139" i="2"/>
  <c r="B139" i="2"/>
  <c r="S138" i="2"/>
  <c r="M138" i="2"/>
  <c r="L138" i="2"/>
  <c r="J138" i="2"/>
  <c r="H138" i="2"/>
  <c r="G138" i="2"/>
  <c r="E138" i="2"/>
  <c r="C138" i="2"/>
  <c r="B138" i="2"/>
  <c r="S137" i="2"/>
  <c r="M137" i="2"/>
  <c r="L137" i="2"/>
  <c r="J137" i="2"/>
  <c r="H137" i="2"/>
  <c r="G137" i="2"/>
  <c r="E137" i="2"/>
  <c r="C137" i="2"/>
  <c r="B137" i="2"/>
  <c r="S136" i="2"/>
  <c r="M136" i="2"/>
  <c r="L136" i="2"/>
  <c r="J136" i="2"/>
  <c r="H136" i="2"/>
  <c r="G136" i="2"/>
  <c r="E136" i="2"/>
  <c r="C136" i="2"/>
  <c r="B136" i="2"/>
  <c r="S135" i="2"/>
  <c r="M135" i="2"/>
  <c r="L135" i="2"/>
  <c r="J135" i="2"/>
  <c r="H135" i="2"/>
  <c r="G135" i="2"/>
  <c r="E135" i="2"/>
  <c r="C135" i="2"/>
  <c r="B135" i="2"/>
  <c r="S134" i="2"/>
  <c r="M134" i="2"/>
  <c r="L134" i="2"/>
  <c r="J134" i="2"/>
  <c r="H134" i="2"/>
  <c r="G134" i="2"/>
  <c r="E134" i="2"/>
  <c r="C134" i="2"/>
  <c r="B134" i="2"/>
  <c r="S133" i="2"/>
  <c r="M133" i="2"/>
  <c r="L133" i="2"/>
  <c r="J133" i="2"/>
  <c r="H133" i="2"/>
  <c r="G133" i="2"/>
  <c r="E133" i="2"/>
  <c r="C133" i="2"/>
  <c r="B133" i="2"/>
  <c r="S132" i="2"/>
  <c r="M132" i="2"/>
  <c r="L132" i="2"/>
  <c r="J132" i="2"/>
  <c r="H132" i="2"/>
  <c r="G132" i="2"/>
  <c r="E132" i="2"/>
  <c r="C132" i="2"/>
  <c r="B132" i="2"/>
  <c r="S131" i="2"/>
  <c r="M131" i="2"/>
  <c r="L131" i="2"/>
  <c r="J131" i="2"/>
  <c r="H131" i="2"/>
  <c r="G131" i="2"/>
  <c r="E131" i="2"/>
  <c r="C131" i="2"/>
  <c r="B131" i="2"/>
  <c r="S130" i="2"/>
  <c r="M130" i="2"/>
  <c r="L130" i="2"/>
  <c r="J130" i="2"/>
  <c r="H130" i="2"/>
  <c r="G130" i="2"/>
  <c r="E130" i="2"/>
  <c r="C130" i="2"/>
  <c r="B130" i="2"/>
  <c r="S129" i="2"/>
  <c r="L129" i="2"/>
  <c r="J129" i="2"/>
  <c r="H129" i="2"/>
  <c r="G129" i="2"/>
  <c r="E129" i="2"/>
  <c r="C129" i="2"/>
  <c r="B129" i="2"/>
  <c r="S128" i="2"/>
  <c r="L128" i="2"/>
  <c r="J128" i="2"/>
  <c r="H128" i="2"/>
  <c r="G128" i="2"/>
  <c r="E128" i="2"/>
  <c r="C128" i="2"/>
  <c r="B128" i="2"/>
  <c r="S127" i="2"/>
  <c r="M127" i="2"/>
  <c r="L127" i="2"/>
  <c r="J127" i="2"/>
  <c r="H127" i="2"/>
  <c r="G127" i="2"/>
  <c r="E127" i="2"/>
  <c r="C127" i="2"/>
  <c r="B127" i="2"/>
  <c r="S126" i="2"/>
  <c r="M126" i="2"/>
  <c r="L126" i="2"/>
  <c r="J126" i="2"/>
  <c r="H126" i="2"/>
  <c r="G126" i="2"/>
  <c r="E126" i="2"/>
  <c r="C126" i="2"/>
  <c r="B126" i="2"/>
  <c r="S125" i="2"/>
  <c r="M125" i="2"/>
  <c r="L125" i="2"/>
  <c r="J125" i="2"/>
  <c r="H125" i="2"/>
  <c r="G125" i="2"/>
  <c r="E125" i="2"/>
  <c r="C125" i="2"/>
  <c r="B125" i="2"/>
  <c r="S124" i="2"/>
  <c r="M124" i="2"/>
  <c r="L124" i="2"/>
  <c r="J124" i="2"/>
  <c r="H124" i="2"/>
  <c r="G124" i="2"/>
  <c r="E124" i="2"/>
  <c r="C124" i="2"/>
  <c r="B124" i="2"/>
  <c r="S123" i="2"/>
  <c r="M123" i="2"/>
  <c r="L123" i="2"/>
  <c r="J123" i="2"/>
  <c r="H123" i="2"/>
  <c r="G123" i="2"/>
  <c r="E123" i="2"/>
  <c r="C123" i="2"/>
  <c r="B123" i="2"/>
  <c r="S122" i="2"/>
  <c r="M122" i="2"/>
  <c r="L122" i="2"/>
  <c r="J122" i="2"/>
  <c r="H122" i="2"/>
  <c r="G122" i="2"/>
  <c r="E122" i="2"/>
  <c r="C122" i="2"/>
  <c r="B122" i="2"/>
  <c r="S121" i="2"/>
  <c r="M121" i="2"/>
  <c r="L121" i="2"/>
  <c r="J121" i="2"/>
  <c r="H121" i="2"/>
  <c r="G121" i="2"/>
  <c r="E121" i="2"/>
  <c r="C121" i="2"/>
  <c r="B121" i="2"/>
  <c r="S120" i="2"/>
  <c r="M120" i="2"/>
  <c r="L120" i="2"/>
  <c r="J120" i="2"/>
  <c r="H120" i="2"/>
  <c r="G120" i="2"/>
  <c r="E120" i="2"/>
  <c r="C120" i="2"/>
  <c r="B120" i="2"/>
  <c r="S119" i="2"/>
  <c r="M119" i="2"/>
  <c r="L119" i="2"/>
  <c r="J119" i="2"/>
  <c r="H119" i="2"/>
  <c r="G119" i="2"/>
  <c r="E119" i="2"/>
  <c r="C119" i="2"/>
  <c r="B119" i="2"/>
  <c r="S118" i="2"/>
  <c r="M118" i="2"/>
  <c r="L118" i="2"/>
  <c r="J118" i="2"/>
  <c r="H118" i="2"/>
  <c r="G118" i="2"/>
  <c r="E118" i="2"/>
  <c r="C118" i="2"/>
  <c r="B118" i="2"/>
  <c r="S117" i="2"/>
  <c r="M117" i="2"/>
  <c r="L117" i="2"/>
  <c r="J117" i="2"/>
  <c r="H117" i="2"/>
  <c r="G117" i="2"/>
  <c r="E117" i="2"/>
  <c r="C117" i="2"/>
  <c r="B117" i="2"/>
  <c r="S116" i="2"/>
  <c r="M116" i="2"/>
  <c r="L116" i="2"/>
  <c r="J116" i="2"/>
  <c r="H116" i="2"/>
  <c r="G116" i="2"/>
  <c r="E116" i="2"/>
  <c r="C116" i="2"/>
  <c r="B116" i="2"/>
  <c r="S115" i="2"/>
  <c r="M115" i="2"/>
  <c r="L115" i="2"/>
  <c r="J115" i="2"/>
  <c r="H115" i="2"/>
  <c r="G115" i="2"/>
  <c r="E115" i="2"/>
  <c r="C115" i="2"/>
  <c r="B115" i="2"/>
  <c r="S114" i="2"/>
  <c r="M114" i="2"/>
  <c r="L114" i="2"/>
  <c r="J114" i="2"/>
  <c r="H114" i="2"/>
  <c r="G114" i="2"/>
  <c r="E114" i="2"/>
  <c r="C114" i="2"/>
  <c r="B114" i="2"/>
  <c r="S113" i="2"/>
  <c r="M113" i="2"/>
  <c r="L113" i="2"/>
  <c r="J113" i="2"/>
  <c r="H113" i="2"/>
  <c r="G113" i="2"/>
  <c r="E113" i="2"/>
  <c r="C113" i="2"/>
  <c r="B113" i="2"/>
  <c r="S112" i="2"/>
  <c r="M112" i="2"/>
  <c r="L112" i="2"/>
  <c r="J112" i="2"/>
  <c r="H112" i="2"/>
  <c r="G112" i="2"/>
  <c r="E112" i="2"/>
  <c r="C112" i="2"/>
  <c r="B112" i="2"/>
  <c r="S111" i="2"/>
  <c r="M111" i="2"/>
  <c r="L111" i="2"/>
  <c r="J111" i="2"/>
  <c r="H111" i="2"/>
  <c r="G111" i="2"/>
  <c r="E111" i="2"/>
  <c r="C111" i="2"/>
  <c r="B111" i="2"/>
  <c r="S110" i="2"/>
  <c r="M110" i="2"/>
  <c r="L110" i="2"/>
  <c r="J110" i="2"/>
  <c r="H110" i="2"/>
  <c r="G110" i="2"/>
  <c r="E110" i="2"/>
  <c r="C110" i="2"/>
  <c r="B110" i="2"/>
  <c r="S109" i="2"/>
  <c r="M109" i="2"/>
  <c r="L109" i="2"/>
  <c r="J109" i="2"/>
  <c r="H109" i="2"/>
  <c r="G109" i="2"/>
  <c r="E109" i="2"/>
  <c r="C109" i="2"/>
  <c r="B109" i="2"/>
  <c r="S108" i="2"/>
  <c r="M108" i="2"/>
  <c r="L108" i="2"/>
  <c r="J108" i="2"/>
  <c r="H108" i="2"/>
  <c r="G108" i="2"/>
  <c r="E108" i="2"/>
  <c r="C108" i="2"/>
  <c r="B108" i="2"/>
  <c r="S107" i="2"/>
  <c r="M107" i="2"/>
  <c r="L107" i="2"/>
  <c r="J107" i="2"/>
  <c r="H107" i="2"/>
  <c r="G107" i="2"/>
  <c r="E107" i="2"/>
  <c r="C107" i="2"/>
  <c r="B107" i="2"/>
  <c r="S106" i="2"/>
  <c r="M106" i="2"/>
  <c r="L106" i="2"/>
  <c r="J106" i="2"/>
  <c r="H106" i="2"/>
  <c r="G106" i="2"/>
  <c r="E106" i="2"/>
  <c r="C106" i="2"/>
  <c r="B106" i="2"/>
  <c r="S105" i="2"/>
  <c r="M105" i="2"/>
  <c r="L105" i="2"/>
  <c r="J105" i="2"/>
  <c r="H105" i="2"/>
  <c r="G105" i="2"/>
  <c r="E105" i="2"/>
  <c r="C105" i="2"/>
  <c r="B105" i="2"/>
  <c r="S104" i="2"/>
  <c r="M104" i="2"/>
  <c r="L104" i="2"/>
  <c r="J104" i="2"/>
  <c r="H104" i="2"/>
  <c r="G104" i="2"/>
  <c r="E104" i="2"/>
  <c r="C104" i="2"/>
  <c r="B104" i="2"/>
  <c r="S103" i="2"/>
  <c r="M103" i="2"/>
  <c r="L103" i="2"/>
  <c r="J103" i="2"/>
  <c r="H103" i="2"/>
  <c r="G103" i="2"/>
  <c r="E103" i="2"/>
  <c r="C103" i="2"/>
  <c r="B103" i="2"/>
  <c r="S102" i="2"/>
  <c r="M102" i="2"/>
  <c r="L102" i="2"/>
  <c r="J102" i="2"/>
  <c r="H102" i="2"/>
  <c r="G102" i="2"/>
  <c r="E102" i="2"/>
  <c r="C102" i="2"/>
  <c r="B102" i="2"/>
  <c r="S101" i="2"/>
  <c r="M101" i="2"/>
  <c r="L101" i="2"/>
  <c r="J101" i="2"/>
  <c r="H101" i="2"/>
  <c r="G101" i="2"/>
  <c r="E101" i="2"/>
  <c r="C101" i="2"/>
  <c r="B101" i="2"/>
  <c r="S100" i="2"/>
  <c r="M100" i="2"/>
  <c r="L100" i="2"/>
  <c r="J100" i="2"/>
  <c r="H100" i="2"/>
  <c r="G100" i="2"/>
  <c r="E100" i="2"/>
  <c r="C100" i="2"/>
  <c r="B100" i="2"/>
  <c r="S99" i="2"/>
  <c r="M99" i="2"/>
  <c r="L99" i="2"/>
  <c r="J99" i="2"/>
  <c r="H99" i="2"/>
  <c r="G99" i="2"/>
  <c r="E99" i="2"/>
  <c r="C99" i="2"/>
  <c r="B99" i="2"/>
  <c r="S98" i="2"/>
  <c r="M98" i="2"/>
  <c r="L98" i="2"/>
  <c r="J98" i="2"/>
  <c r="H98" i="2"/>
  <c r="G98" i="2"/>
  <c r="E98" i="2"/>
  <c r="C98" i="2"/>
  <c r="B98" i="2"/>
  <c r="S97" i="2"/>
  <c r="M97" i="2"/>
  <c r="L97" i="2"/>
  <c r="J97" i="2"/>
  <c r="H97" i="2"/>
  <c r="G97" i="2"/>
  <c r="E97" i="2"/>
  <c r="C97" i="2"/>
  <c r="B97" i="2"/>
  <c r="S96" i="2"/>
  <c r="M96" i="2"/>
  <c r="L96" i="2"/>
  <c r="J96" i="2"/>
  <c r="H96" i="2"/>
  <c r="G96" i="2"/>
  <c r="E96" i="2"/>
  <c r="C96" i="2"/>
  <c r="B96" i="2"/>
  <c r="S95" i="2"/>
  <c r="M95" i="2"/>
  <c r="L95" i="2"/>
  <c r="J95" i="2"/>
  <c r="H95" i="2"/>
  <c r="G95" i="2"/>
  <c r="E95" i="2"/>
  <c r="C95" i="2"/>
  <c r="B95" i="2"/>
  <c r="S94" i="2"/>
  <c r="M94" i="2"/>
  <c r="L94" i="2"/>
  <c r="J94" i="2"/>
  <c r="H94" i="2"/>
  <c r="G94" i="2"/>
  <c r="E94" i="2"/>
  <c r="C94" i="2"/>
  <c r="B94" i="2"/>
  <c r="S93" i="2"/>
  <c r="M93" i="2"/>
  <c r="L93" i="2"/>
  <c r="J93" i="2"/>
  <c r="H93" i="2"/>
  <c r="G93" i="2"/>
  <c r="E93" i="2"/>
  <c r="C93" i="2"/>
  <c r="B93" i="2"/>
  <c r="S92" i="2"/>
  <c r="M92" i="2"/>
  <c r="L92" i="2"/>
  <c r="J92" i="2"/>
  <c r="H92" i="2"/>
  <c r="G92" i="2"/>
  <c r="E92" i="2"/>
  <c r="C92" i="2"/>
  <c r="B92" i="2"/>
  <c r="S91" i="2"/>
  <c r="M91" i="2"/>
  <c r="L91" i="2"/>
  <c r="J91" i="2"/>
  <c r="H91" i="2"/>
  <c r="G91" i="2"/>
  <c r="E91" i="2"/>
  <c r="C91" i="2"/>
  <c r="B91" i="2"/>
  <c r="S90" i="2"/>
  <c r="M90" i="2"/>
  <c r="L90" i="2"/>
  <c r="J90" i="2"/>
  <c r="H90" i="2"/>
  <c r="G90" i="2"/>
  <c r="E90" i="2"/>
  <c r="C90" i="2"/>
  <c r="B90" i="2"/>
  <c r="S89" i="2"/>
  <c r="M89" i="2"/>
  <c r="L89" i="2"/>
  <c r="J89" i="2"/>
  <c r="H89" i="2"/>
  <c r="G89" i="2"/>
  <c r="E89" i="2"/>
  <c r="C89" i="2"/>
  <c r="B89" i="2"/>
  <c r="S88" i="2"/>
  <c r="M88" i="2"/>
  <c r="L88" i="2"/>
  <c r="J88" i="2"/>
  <c r="H88" i="2"/>
  <c r="G88" i="2"/>
  <c r="E88" i="2"/>
  <c r="C88" i="2"/>
  <c r="B88" i="2"/>
  <c r="S87" i="2"/>
  <c r="M87" i="2"/>
  <c r="L87" i="2"/>
  <c r="J87" i="2"/>
  <c r="H87" i="2"/>
  <c r="G87" i="2"/>
  <c r="E87" i="2"/>
  <c r="C87" i="2"/>
  <c r="B87" i="2"/>
  <c r="S86" i="2"/>
  <c r="M86" i="2"/>
  <c r="L86" i="2"/>
  <c r="J86" i="2"/>
  <c r="H86" i="2"/>
  <c r="G86" i="2"/>
  <c r="E86" i="2"/>
  <c r="C86" i="2"/>
  <c r="B86" i="2"/>
  <c r="S85" i="2"/>
  <c r="M85" i="2"/>
  <c r="L85" i="2"/>
  <c r="J85" i="2"/>
  <c r="H85" i="2"/>
  <c r="G85" i="2"/>
  <c r="E85" i="2"/>
  <c r="C85" i="2"/>
  <c r="B85" i="2"/>
  <c r="S84" i="2"/>
  <c r="M84" i="2"/>
  <c r="L84" i="2"/>
  <c r="J84" i="2"/>
  <c r="H84" i="2"/>
  <c r="G84" i="2"/>
  <c r="E84" i="2"/>
  <c r="C84" i="2"/>
  <c r="B84" i="2"/>
  <c r="S83" i="2"/>
  <c r="M83" i="2"/>
  <c r="L83" i="2"/>
  <c r="J83" i="2"/>
  <c r="H83" i="2"/>
  <c r="G83" i="2"/>
  <c r="E83" i="2"/>
  <c r="C83" i="2"/>
  <c r="B83" i="2"/>
  <c r="S82" i="2"/>
  <c r="M82" i="2"/>
  <c r="L82" i="2"/>
  <c r="J82" i="2"/>
  <c r="H82" i="2"/>
  <c r="G82" i="2"/>
  <c r="E82" i="2"/>
  <c r="C82" i="2"/>
  <c r="B82" i="2"/>
  <c r="S81" i="2"/>
  <c r="M81" i="2"/>
  <c r="L81" i="2"/>
  <c r="J81" i="2"/>
  <c r="H81" i="2"/>
  <c r="G81" i="2"/>
  <c r="E81" i="2"/>
  <c r="C81" i="2"/>
  <c r="B81" i="2"/>
  <c r="S80" i="2"/>
  <c r="M80" i="2"/>
  <c r="L80" i="2"/>
  <c r="J80" i="2"/>
  <c r="H80" i="2"/>
  <c r="G80" i="2"/>
  <c r="E80" i="2"/>
  <c r="C80" i="2"/>
  <c r="B80" i="2"/>
  <c r="S79" i="2"/>
  <c r="M79" i="2"/>
  <c r="L79" i="2"/>
  <c r="J79" i="2"/>
  <c r="H79" i="2"/>
  <c r="G79" i="2"/>
  <c r="E79" i="2"/>
  <c r="C79" i="2"/>
  <c r="B79" i="2"/>
  <c r="S78" i="2"/>
  <c r="M78" i="2"/>
  <c r="L78" i="2"/>
  <c r="J78" i="2"/>
  <c r="H78" i="2"/>
  <c r="G78" i="2"/>
  <c r="E78" i="2"/>
  <c r="C78" i="2"/>
  <c r="B78" i="2"/>
  <c r="S77" i="2"/>
  <c r="M77" i="2"/>
  <c r="L77" i="2"/>
  <c r="J77" i="2"/>
  <c r="H77" i="2"/>
  <c r="G77" i="2"/>
  <c r="E77" i="2"/>
  <c r="C77" i="2"/>
  <c r="B77" i="2"/>
  <c r="S76" i="2"/>
  <c r="M76" i="2"/>
  <c r="L76" i="2"/>
  <c r="J76" i="2"/>
  <c r="H76" i="2"/>
  <c r="G76" i="2"/>
  <c r="E76" i="2"/>
  <c r="C76" i="2"/>
  <c r="B76" i="2"/>
  <c r="S75" i="2"/>
  <c r="M75" i="2"/>
  <c r="L75" i="2"/>
  <c r="J75" i="2"/>
  <c r="H75" i="2"/>
  <c r="G75" i="2"/>
  <c r="E75" i="2"/>
  <c r="C75" i="2"/>
  <c r="B75" i="2"/>
  <c r="S74" i="2"/>
  <c r="M74" i="2"/>
  <c r="L74" i="2"/>
  <c r="J74" i="2"/>
  <c r="H74" i="2"/>
  <c r="G74" i="2"/>
  <c r="E74" i="2"/>
  <c r="C74" i="2"/>
  <c r="B74" i="2"/>
  <c r="S73" i="2"/>
  <c r="M73" i="2"/>
  <c r="L73" i="2"/>
  <c r="J73" i="2"/>
  <c r="H73" i="2"/>
  <c r="G73" i="2"/>
  <c r="E73" i="2"/>
  <c r="C73" i="2"/>
  <c r="B73" i="2"/>
  <c r="S72" i="2"/>
  <c r="M72" i="2"/>
  <c r="L72" i="2"/>
  <c r="J72" i="2"/>
  <c r="H72" i="2"/>
  <c r="G72" i="2"/>
  <c r="E72" i="2"/>
  <c r="C72" i="2"/>
  <c r="B72" i="2"/>
  <c r="S71" i="2"/>
  <c r="M71" i="2"/>
  <c r="L71" i="2"/>
  <c r="J71" i="2"/>
  <c r="H71" i="2"/>
  <c r="G71" i="2"/>
  <c r="E71" i="2"/>
  <c r="C71" i="2"/>
  <c r="B71" i="2"/>
  <c r="S70" i="2"/>
  <c r="M70" i="2"/>
  <c r="L70" i="2"/>
  <c r="J70" i="2"/>
  <c r="H70" i="2"/>
  <c r="G70" i="2"/>
  <c r="E70" i="2"/>
  <c r="C70" i="2"/>
  <c r="B70" i="2"/>
  <c r="S69" i="2"/>
  <c r="M69" i="2"/>
  <c r="L69" i="2"/>
  <c r="J69" i="2"/>
  <c r="H69" i="2"/>
  <c r="G69" i="2"/>
  <c r="E69" i="2"/>
  <c r="C69" i="2"/>
  <c r="B69" i="2"/>
  <c r="S68" i="2"/>
  <c r="O68" i="2"/>
  <c r="M68" i="2"/>
  <c r="L68" i="2"/>
  <c r="J68" i="2"/>
  <c r="H68" i="2"/>
  <c r="G68" i="2"/>
  <c r="E68" i="2"/>
  <c r="C68" i="2"/>
  <c r="B68" i="2"/>
  <c r="S67" i="2"/>
  <c r="O67" i="2"/>
  <c r="M67" i="2"/>
  <c r="L67" i="2"/>
  <c r="J67" i="2"/>
  <c r="H67" i="2"/>
  <c r="G67" i="2"/>
  <c r="E67" i="2"/>
  <c r="C67" i="2"/>
  <c r="B67" i="2"/>
  <c r="S66" i="2"/>
  <c r="O66" i="2"/>
  <c r="M66" i="2"/>
  <c r="L66" i="2"/>
  <c r="J66" i="2"/>
  <c r="H66" i="2"/>
  <c r="G66" i="2"/>
  <c r="E66" i="2"/>
  <c r="C66" i="2"/>
  <c r="B66" i="2"/>
  <c r="S65" i="2"/>
  <c r="O65" i="2"/>
  <c r="M65" i="2"/>
  <c r="L65" i="2"/>
  <c r="J65" i="2"/>
  <c r="H65" i="2"/>
  <c r="G65" i="2"/>
  <c r="E65" i="2"/>
  <c r="C65" i="2"/>
  <c r="B65" i="2"/>
  <c r="S64" i="2"/>
  <c r="O64" i="2"/>
  <c r="M64" i="2"/>
  <c r="L64" i="2"/>
  <c r="J64" i="2"/>
  <c r="H64" i="2"/>
  <c r="G64" i="2"/>
  <c r="E64" i="2"/>
  <c r="C64" i="2"/>
  <c r="B64" i="2"/>
  <c r="S63" i="2"/>
  <c r="O63" i="2"/>
  <c r="M63" i="2"/>
  <c r="L63" i="2"/>
  <c r="J63" i="2"/>
  <c r="H63" i="2"/>
  <c r="G63" i="2"/>
  <c r="E63" i="2"/>
  <c r="C63" i="2"/>
  <c r="B63" i="2"/>
  <c r="S62" i="2"/>
  <c r="O62" i="2"/>
  <c r="M62" i="2"/>
  <c r="L62" i="2"/>
  <c r="J62" i="2"/>
  <c r="H62" i="2"/>
  <c r="G62" i="2"/>
  <c r="E62" i="2"/>
  <c r="C62" i="2"/>
  <c r="B62" i="2"/>
  <c r="S61" i="2"/>
  <c r="O61" i="2"/>
  <c r="M61" i="2"/>
  <c r="L61" i="2"/>
  <c r="J61" i="2"/>
  <c r="H61" i="2"/>
  <c r="G61" i="2"/>
  <c r="E61" i="2"/>
  <c r="C61" i="2"/>
  <c r="B61" i="2"/>
  <c r="S60" i="2"/>
  <c r="O60" i="2"/>
  <c r="M60" i="2"/>
  <c r="L60" i="2"/>
  <c r="J60" i="2"/>
  <c r="H60" i="2"/>
  <c r="G60" i="2"/>
  <c r="E60" i="2"/>
  <c r="C60" i="2"/>
  <c r="B60" i="2"/>
  <c r="S59" i="2"/>
  <c r="O59" i="2"/>
  <c r="M59" i="2"/>
  <c r="L59" i="2"/>
  <c r="J59" i="2"/>
  <c r="H59" i="2"/>
  <c r="G59" i="2"/>
  <c r="E59" i="2"/>
  <c r="C59" i="2"/>
  <c r="B59" i="2"/>
  <c r="S58" i="2"/>
  <c r="O58" i="2"/>
  <c r="M58" i="2"/>
  <c r="L58" i="2"/>
  <c r="J58" i="2"/>
  <c r="H58" i="2"/>
  <c r="G58" i="2"/>
  <c r="E58" i="2"/>
  <c r="C58" i="2"/>
  <c r="B58" i="2"/>
  <c r="S57" i="2"/>
  <c r="M57" i="2"/>
  <c r="L57" i="2"/>
  <c r="J57" i="2"/>
  <c r="H57" i="2"/>
  <c r="G57" i="2"/>
  <c r="E57" i="2"/>
  <c r="F57" i="2" s="1"/>
  <c r="C57" i="2"/>
  <c r="B57" i="2"/>
  <c r="S56" i="2"/>
  <c r="M56" i="2"/>
  <c r="L56" i="2"/>
  <c r="J56" i="2"/>
  <c r="H56" i="2"/>
  <c r="G56" i="2"/>
  <c r="E56" i="2"/>
  <c r="C56" i="2"/>
  <c r="B56" i="2"/>
  <c r="S55" i="2"/>
  <c r="M55" i="2"/>
  <c r="L55" i="2"/>
  <c r="J55" i="2"/>
  <c r="H55" i="2"/>
  <c r="G55" i="2"/>
  <c r="E55" i="2"/>
  <c r="C55" i="2"/>
  <c r="B55" i="2"/>
  <c r="S54" i="2"/>
  <c r="M54" i="2"/>
  <c r="L54" i="2"/>
  <c r="J54" i="2"/>
  <c r="H54" i="2"/>
  <c r="G54" i="2"/>
  <c r="E54" i="2"/>
  <c r="C54" i="2"/>
  <c r="B54" i="2"/>
  <c r="S53" i="2"/>
  <c r="M53" i="2"/>
  <c r="L53" i="2"/>
  <c r="J53" i="2"/>
  <c r="H53" i="2"/>
  <c r="G53" i="2"/>
  <c r="E53" i="2"/>
  <c r="C53" i="2"/>
  <c r="B53" i="2"/>
  <c r="S52" i="2"/>
  <c r="M52" i="2"/>
  <c r="L52" i="2"/>
  <c r="J52" i="2"/>
  <c r="H52" i="2"/>
  <c r="G52" i="2"/>
  <c r="E52" i="2"/>
  <c r="C52" i="2"/>
  <c r="B52" i="2"/>
  <c r="S51" i="2"/>
  <c r="M51" i="2"/>
  <c r="L51" i="2"/>
  <c r="J51" i="2"/>
  <c r="H51" i="2"/>
  <c r="G51" i="2"/>
  <c r="E51" i="2"/>
  <c r="C51" i="2"/>
  <c r="B51" i="2"/>
  <c r="S50" i="2"/>
  <c r="M50" i="2"/>
  <c r="L50" i="2"/>
  <c r="J50" i="2"/>
  <c r="H50" i="2"/>
  <c r="G50" i="2"/>
  <c r="E50" i="2"/>
  <c r="C50" i="2"/>
  <c r="B50" i="2"/>
  <c r="S49" i="2"/>
  <c r="M49" i="2"/>
  <c r="L49" i="2"/>
  <c r="J49" i="2"/>
  <c r="H49" i="2"/>
  <c r="G49" i="2"/>
  <c r="E49" i="2"/>
  <c r="C49" i="2"/>
  <c r="B49" i="2"/>
  <c r="S48" i="2"/>
  <c r="M48" i="2"/>
  <c r="L48" i="2"/>
  <c r="J48" i="2"/>
  <c r="H48" i="2"/>
  <c r="G48" i="2"/>
  <c r="E48" i="2"/>
  <c r="C48" i="2"/>
  <c r="B48" i="2"/>
  <c r="S47" i="2"/>
  <c r="M47" i="2"/>
  <c r="L47" i="2"/>
  <c r="J47" i="2"/>
  <c r="H47" i="2"/>
  <c r="G47" i="2"/>
  <c r="E47" i="2"/>
  <c r="C47" i="2"/>
  <c r="B47" i="2"/>
  <c r="S46" i="2"/>
  <c r="M46" i="2"/>
  <c r="L46" i="2"/>
  <c r="J46" i="2"/>
  <c r="H46" i="2"/>
  <c r="G46" i="2"/>
  <c r="E46" i="2"/>
  <c r="C46" i="2"/>
  <c r="B46" i="2"/>
  <c r="S45" i="2"/>
  <c r="M45" i="2"/>
  <c r="L45" i="2"/>
  <c r="J45" i="2"/>
  <c r="H45" i="2"/>
  <c r="G45" i="2"/>
  <c r="E45" i="2"/>
  <c r="C45" i="2"/>
  <c r="B45" i="2"/>
  <c r="S44" i="2"/>
  <c r="M44" i="2"/>
  <c r="L44" i="2"/>
  <c r="J44" i="2"/>
  <c r="H44" i="2"/>
  <c r="G44" i="2"/>
  <c r="E44" i="2"/>
  <c r="C44" i="2"/>
  <c r="B44" i="2"/>
  <c r="S43" i="2"/>
  <c r="M43" i="2"/>
  <c r="L43" i="2"/>
  <c r="J43" i="2"/>
  <c r="H43" i="2"/>
  <c r="G43" i="2"/>
  <c r="E43" i="2"/>
  <c r="C43" i="2"/>
  <c r="B43" i="2"/>
  <c r="S42" i="2"/>
  <c r="M42" i="2"/>
  <c r="L42" i="2"/>
  <c r="J42" i="2"/>
  <c r="H42" i="2"/>
  <c r="G42" i="2"/>
  <c r="E42" i="2"/>
  <c r="C42" i="2"/>
  <c r="B42" i="2"/>
  <c r="S41" i="2"/>
  <c r="M41" i="2"/>
  <c r="L41" i="2"/>
  <c r="J41" i="2"/>
  <c r="H41" i="2"/>
  <c r="G41" i="2"/>
  <c r="E41" i="2"/>
  <c r="C41" i="2"/>
  <c r="B41" i="2"/>
  <c r="S40" i="2"/>
  <c r="M40" i="2"/>
  <c r="L40" i="2"/>
  <c r="J40" i="2"/>
  <c r="H40" i="2"/>
  <c r="G40" i="2"/>
  <c r="E40" i="2"/>
  <c r="C40" i="2"/>
  <c r="B40" i="2"/>
  <c r="S39" i="2"/>
  <c r="M39" i="2"/>
  <c r="L39" i="2"/>
  <c r="J39" i="2"/>
  <c r="H39" i="2"/>
  <c r="G39" i="2"/>
  <c r="E39" i="2"/>
  <c r="C39" i="2"/>
  <c r="B39" i="2"/>
  <c r="S38" i="2"/>
  <c r="M38" i="2"/>
  <c r="L38" i="2"/>
  <c r="J38" i="2"/>
  <c r="H38" i="2"/>
  <c r="G38" i="2"/>
  <c r="E38" i="2"/>
  <c r="C38" i="2"/>
  <c r="B38" i="2"/>
  <c r="S37" i="2"/>
  <c r="M37" i="2"/>
  <c r="L37" i="2"/>
  <c r="J37" i="2"/>
  <c r="H37" i="2"/>
  <c r="G37" i="2"/>
  <c r="E37" i="2"/>
  <c r="C37" i="2"/>
  <c r="B37" i="2"/>
  <c r="S36" i="2"/>
  <c r="M36" i="2"/>
  <c r="L36" i="2"/>
  <c r="J36" i="2"/>
  <c r="H36" i="2"/>
  <c r="G36" i="2"/>
  <c r="E36" i="2"/>
  <c r="C36" i="2"/>
  <c r="B36" i="2"/>
  <c r="S35" i="2"/>
  <c r="M35" i="2"/>
  <c r="L35" i="2"/>
  <c r="J35" i="2"/>
  <c r="H35" i="2"/>
  <c r="G35" i="2"/>
  <c r="E35" i="2"/>
  <c r="C35" i="2"/>
  <c r="B35" i="2"/>
  <c r="S34" i="2"/>
  <c r="M34" i="2"/>
  <c r="L34" i="2"/>
  <c r="J34" i="2"/>
  <c r="H34" i="2"/>
  <c r="G34" i="2"/>
  <c r="E34" i="2"/>
  <c r="C34" i="2"/>
  <c r="B34" i="2"/>
  <c r="S33" i="2"/>
  <c r="M33" i="2"/>
  <c r="L33" i="2"/>
  <c r="J33" i="2"/>
  <c r="H33" i="2"/>
  <c r="G33" i="2"/>
  <c r="E33" i="2"/>
  <c r="C33" i="2"/>
  <c r="B33" i="2"/>
  <c r="S32" i="2"/>
  <c r="M32" i="2"/>
  <c r="L32" i="2"/>
  <c r="J32" i="2"/>
  <c r="H32" i="2"/>
  <c r="G32" i="2"/>
  <c r="E32" i="2"/>
  <c r="C32" i="2"/>
  <c r="B32" i="2"/>
  <c r="S31" i="2"/>
  <c r="M31" i="2"/>
  <c r="L31" i="2"/>
  <c r="J31" i="2"/>
  <c r="H31" i="2"/>
  <c r="G31" i="2"/>
  <c r="E31" i="2"/>
  <c r="C31" i="2"/>
  <c r="B31" i="2"/>
  <c r="S30" i="2"/>
  <c r="M30" i="2"/>
  <c r="L30" i="2"/>
  <c r="J30" i="2"/>
  <c r="H30" i="2"/>
  <c r="G30" i="2"/>
  <c r="E30" i="2"/>
  <c r="C30" i="2"/>
  <c r="B30" i="2"/>
  <c r="S29" i="2"/>
  <c r="M29" i="2"/>
  <c r="L29" i="2"/>
  <c r="J29" i="2"/>
  <c r="H29" i="2"/>
  <c r="G29" i="2"/>
  <c r="E29" i="2"/>
  <c r="C29" i="2"/>
  <c r="B29" i="2"/>
  <c r="S28" i="2"/>
  <c r="M28" i="2"/>
  <c r="L28" i="2"/>
  <c r="J28" i="2"/>
  <c r="H28" i="2"/>
  <c r="G28" i="2"/>
  <c r="E28" i="2"/>
  <c r="C28" i="2"/>
  <c r="B28" i="2"/>
  <c r="S27" i="2"/>
  <c r="M27" i="2"/>
  <c r="L27" i="2"/>
  <c r="J27" i="2"/>
  <c r="H27" i="2"/>
  <c r="G27" i="2"/>
  <c r="E27" i="2"/>
  <c r="C27" i="2"/>
  <c r="B27" i="2"/>
  <c r="S26" i="2"/>
  <c r="M26" i="2"/>
  <c r="L26" i="2"/>
  <c r="J26" i="2"/>
  <c r="H26" i="2"/>
  <c r="G26" i="2"/>
  <c r="E26" i="2"/>
  <c r="C26" i="2"/>
  <c r="B26" i="2"/>
  <c r="S25" i="2"/>
  <c r="O25" i="2"/>
  <c r="M25" i="2"/>
  <c r="L25" i="2"/>
  <c r="J25" i="2"/>
  <c r="H25" i="2"/>
  <c r="G25" i="2"/>
  <c r="E25" i="2"/>
  <c r="C25" i="2"/>
  <c r="B25" i="2"/>
  <c r="S24" i="2"/>
  <c r="O24" i="2"/>
  <c r="M24" i="2"/>
  <c r="L24" i="2"/>
  <c r="J24" i="2"/>
  <c r="H24" i="2"/>
  <c r="G24" i="2"/>
  <c r="E24" i="2"/>
  <c r="C24" i="2"/>
  <c r="B24" i="2"/>
  <c r="S23" i="2"/>
  <c r="O23" i="2"/>
  <c r="M23" i="2"/>
  <c r="L23" i="2"/>
  <c r="J23" i="2"/>
  <c r="H23" i="2"/>
  <c r="G23" i="2"/>
  <c r="E23" i="2"/>
  <c r="C23" i="2"/>
  <c r="B23" i="2"/>
  <c r="S22" i="2"/>
  <c r="O22" i="2"/>
  <c r="M22" i="2"/>
  <c r="L22" i="2"/>
  <c r="J22" i="2"/>
  <c r="H22" i="2"/>
  <c r="G22" i="2"/>
  <c r="E22" i="2"/>
  <c r="C22" i="2"/>
  <c r="B22" i="2"/>
  <c r="S21" i="2"/>
  <c r="O21" i="2"/>
  <c r="M21" i="2"/>
  <c r="L21" i="2"/>
  <c r="J21" i="2"/>
  <c r="H21" i="2"/>
  <c r="G21" i="2"/>
  <c r="E21" i="2"/>
  <c r="C21" i="2"/>
  <c r="B21" i="2"/>
  <c r="S20" i="2"/>
  <c r="O20" i="2"/>
  <c r="M20" i="2"/>
  <c r="L20" i="2"/>
  <c r="J20" i="2"/>
  <c r="H20" i="2"/>
  <c r="G20" i="2"/>
  <c r="E20" i="2"/>
  <c r="C20" i="2"/>
  <c r="B20" i="2"/>
  <c r="S19" i="2"/>
  <c r="O19" i="2"/>
  <c r="M19" i="2"/>
  <c r="L19" i="2"/>
  <c r="J19" i="2"/>
  <c r="H19" i="2"/>
  <c r="G19" i="2"/>
  <c r="E19" i="2"/>
  <c r="C19" i="2"/>
  <c r="B19" i="2"/>
  <c r="S18" i="2"/>
  <c r="O18" i="2"/>
  <c r="M18" i="2"/>
  <c r="L18" i="2"/>
  <c r="J18" i="2"/>
  <c r="H18" i="2"/>
  <c r="G18" i="2"/>
  <c r="E18" i="2"/>
  <c r="C18" i="2"/>
  <c r="B18" i="2"/>
  <c r="S17" i="2"/>
  <c r="O17" i="2"/>
  <c r="M17" i="2"/>
  <c r="L17" i="2"/>
  <c r="J17" i="2"/>
  <c r="H17" i="2"/>
  <c r="G17" i="2"/>
  <c r="E17" i="2"/>
  <c r="C17" i="2"/>
  <c r="B17" i="2"/>
  <c r="S16" i="2"/>
  <c r="O16" i="2"/>
  <c r="M16" i="2"/>
  <c r="L16" i="2"/>
  <c r="J16" i="2"/>
  <c r="H16" i="2"/>
  <c r="G16" i="2"/>
  <c r="E16" i="2"/>
  <c r="C16" i="2"/>
  <c r="B16" i="2"/>
  <c r="S15" i="2"/>
  <c r="O15" i="2"/>
  <c r="M15" i="2"/>
  <c r="L15" i="2"/>
  <c r="J15" i="2"/>
  <c r="H15" i="2"/>
  <c r="G15" i="2"/>
  <c r="E15" i="2"/>
  <c r="C15" i="2"/>
  <c r="B15" i="2"/>
  <c r="S14" i="2"/>
  <c r="M14" i="2"/>
  <c r="L14" i="2"/>
  <c r="J14" i="2"/>
  <c r="H14" i="2"/>
  <c r="G14" i="2"/>
  <c r="E14" i="2"/>
  <c r="C14" i="2"/>
  <c r="B14" i="2"/>
  <c r="S13" i="2"/>
  <c r="O13" i="2"/>
  <c r="M13" i="2"/>
  <c r="L13" i="2"/>
  <c r="J13" i="2"/>
  <c r="H13" i="2"/>
  <c r="G13" i="2"/>
  <c r="E13" i="2"/>
  <c r="C13" i="2"/>
  <c r="B13" i="2"/>
  <c r="S12" i="2"/>
  <c r="O12" i="2"/>
  <c r="M12" i="2"/>
  <c r="L12" i="2"/>
  <c r="J12" i="2"/>
  <c r="H12" i="2"/>
  <c r="G12" i="2"/>
  <c r="E12" i="2"/>
  <c r="C12" i="2"/>
  <c r="B12" i="2"/>
  <c r="S11" i="2"/>
  <c r="O11" i="2"/>
  <c r="M11" i="2"/>
  <c r="L11" i="2"/>
  <c r="J11" i="2"/>
  <c r="H11" i="2"/>
  <c r="G11" i="2"/>
  <c r="E11" i="2"/>
  <c r="C11" i="2"/>
  <c r="B11" i="2"/>
  <c r="S10" i="2"/>
  <c r="O10" i="2"/>
  <c r="M10" i="2"/>
  <c r="L10" i="2"/>
  <c r="J10" i="2"/>
  <c r="H10" i="2"/>
  <c r="G10" i="2"/>
  <c r="E10" i="2"/>
  <c r="C10" i="2"/>
  <c r="B10" i="2"/>
  <c r="O9" i="2"/>
  <c r="N5" i="2"/>
  <c r="S3" i="2"/>
  <c r="A3" i="2"/>
  <c r="R572" i="2" l="1"/>
  <c r="E649" i="2"/>
  <c r="R649" i="2" l="1"/>
</calcChain>
</file>

<file path=xl/sharedStrings.xml><?xml version="1.0" encoding="utf-8"?>
<sst xmlns="http://schemas.openxmlformats.org/spreadsheetml/2006/main" count="1718" uniqueCount="384">
  <si>
    <t>Cabut tnm liar  &lt;p.gulma/weed.&gt;</t>
  </si>
  <si>
    <t>Collect.seresah/sisa tnm  &lt;p.lhn&gt;</t>
  </si>
  <si>
    <t>Perlind.bh/tutup bh dgn daun  &lt;prw&gt;</t>
  </si>
  <si>
    <t>Weeding man.</t>
  </si>
  <si>
    <t>Herb.border/perimeter man.</t>
  </si>
  <si>
    <t>Herb.border/perimeter semi mek.</t>
  </si>
  <si>
    <t>Herbisida bongkar man./spot</t>
  </si>
  <si>
    <t>Herbisida jalan semi mek.</t>
  </si>
  <si>
    <t>Herbisida spot man.</t>
  </si>
  <si>
    <t>copy</t>
  </si>
  <si>
    <t>PG</t>
  </si>
  <si>
    <t>FM</t>
  </si>
  <si>
    <t>WIL</t>
  </si>
  <si>
    <t>SEKSI</t>
  </si>
  <si>
    <t>LUAS</t>
  </si>
  <si>
    <t xml:space="preserve">Umur </t>
  </si>
  <si>
    <t>TNM</t>
  </si>
  <si>
    <t>Note</t>
  </si>
  <si>
    <t>TGL STS</t>
  </si>
  <si>
    <t>Pnjwb</t>
  </si>
  <si>
    <t>Kode Aktf</t>
  </si>
  <si>
    <t>TGL RENC</t>
  </si>
  <si>
    <t>TOTAL</t>
  </si>
  <si>
    <t>BIAYA</t>
  </si>
  <si>
    <t>NeTo</t>
  </si>
  <si>
    <t>Hasil</t>
  </si>
  <si>
    <t>Tnaman</t>
  </si>
  <si>
    <t>STS</t>
  </si>
  <si>
    <t>EX</t>
  </si>
  <si>
    <t>ACTIVITAS</t>
  </si>
  <si>
    <t>APLIKASI</t>
  </si>
  <si>
    <t>TK/HA</t>
  </si>
  <si>
    <t>TK</t>
  </si>
  <si>
    <t>3</t>
  </si>
  <si>
    <t>Perbaikan saluran man.  &lt;prw.drain.&gt;</t>
  </si>
  <si>
    <t>Eradikasi/cabut tanaman  &lt;Hpt&gt;</t>
  </si>
  <si>
    <t xml:space="preserve">           </t>
  </si>
  <si>
    <t>Pupuk daun tabur man.  &lt;ppk&gt;</t>
  </si>
  <si>
    <t>Pupuk cor /semi mek.  &lt;ppk&gt;</t>
  </si>
  <si>
    <t>514E1</t>
  </si>
  <si>
    <t>514E2</t>
  </si>
  <si>
    <t>557D2</t>
  </si>
  <si>
    <t>545A2A</t>
  </si>
  <si>
    <t>540B1</t>
  </si>
  <si>
    <t>557D1</t>
  </si>
  <si>
    <t>Muat/buang seresah/sisa tnm  &lt;p.lhn&gt;</t>
  </si>
  <si>
    <t>Perbaikan tegakan tanam</t>
  </si>
  <si>
    <t>Perbaikan jln man.  &lt;prw.drain.&gt;</t>
  </si>
  <si>
    <t>567F2</t>
  </si>
  <si>
    <t>Pupuk dasar daun tabur man.  &lt;ppk&gt;</t>
  </si>
  <si>
    <t>586D1A</t>
  </si>
  <si>
    <t>585A1</t>
  </si>
  <si>
    <t>585A3</t>
  </si>
  <si>
    <t>584C1</t>
  </si>
  <si>
    <t>Pupuk dasar tabur man.  &lt;ppk&gt;</t>
  </si>
  <si>
    <t>545A2B</t>
  </si>
  <si>
    <t>535B</t>
  </si>
  <si>
    <t>556A</t>
  </si>
  <si>
    <t>506B1</t>
  </si>
  <si>
    <t>501A</t>
  </si>
  <si>
    <t>Buat patok/ajir/tanda tanam</t>
  </si>
  <si>
    <t>537C</t>
  </si>
  <si>
    <t>546A2</t>
  </si>
  <si>
    <t>584C2</t>
  </si>
  <si>
    <t>503F1</t>
  </si>
  <si>
    <t>505B</t>
  </si>
  <si>
    <t>536D1</t>
  </si>
  <si>
    <t>521B</t>
  </si>
  <si>
    <t>548H1</t>
  </si>
  <si>
    <t>505F</t>
  </si>
  <si>
    <t>503C</t>
  </si>
  <si>
    <t>519E3A</t>
  </si>
  <si>
    <t>519E3B</t>
  </si>
  <si>
    <t>512H</t>
  </si>
  <si>
    <t>514G1</t>
  </si>
  <si>
    <t>518F</t>
  </si>
  <si>
    <t>518G</t>
  </si>
  <si>
    <t>525B1</t>
  </si>
  <si>
    <t>525B2</t>
  </si>
  <si>
    <t>526B2</t>
  </si>
  <si>
    <t>585B1</t>
  </si>
  <si>
    <t>585B2</t>
  </si>
  <si>
    <t>588F3A</t>
  </si>
  <si>
    <t>588F3B</t>
  </si>
  <si>
    <t>554G2</t>
  </si>
  <si>
    <t>561C</t>
  </si>
  <si>
    <t>548H2</t>
  </si>
  <si>
    <t>520F</t>
  </si>
  <si>
    <t>514H1</t>
  </si>
  <si>
    <t>583C</t>
  </si>
  <si>
    <t>515F1</t>
  </si>
  <si>
    <t>512J</t>
  </si>
  <si>
    <t>KATEGORI</t>
  </si>
  <si>
    <t>WEEDING</t>
  </si>
  <si>
    <t>531E</t>
  </si>
  <si>
    <t>540A</t>
  </si>
  <si>
    <t>536B</t>
  </si>
  <si>
    <t>530D</t>
  </si>
  <si>
    <t>530C</t>
  </si>
  <si>
    <t>589B</t>
  </si>
  <si>
    <t>589AS1</t>
  </si>
  <si>
    <t>551F2B</t>
  </si>
  <si>
    <t>541D</t>
  </si>
  <si>
    <t>519E2</t>
  </si>
  <si>
    <t>568B4</t>
  </si>
  <si>
    <t>568B3</t>
  </si>
  <si>
    <t>520D3</t>
  </si>
  <si>
    <t>520G2</t>
  </si>
  <si>
    <t>520G1</t>
  </si>
  <si>
    <t>550E2A</t>
  </si>
  <si>
    <t>550E2B</t>
  </si>
  <si>
    <t>504A1</t>
  </si>
  <si>
    <t>504A3</t>
  </si>
  <si>
    <t>526B3</t>
  </si>
  <si>
    <t>526B4</t>
  </si>
  <si>
    <t>522B2</t>
  </si>
  <si>
    <t>569C1</t>
  </si>
  <si>
    <t>571E</t>
  </si>
  <si>
    <t>512B1</t>
  </si>
  <si>
    <t>512B2</t>
  </si>
  <si>
    <t>522A</t>
  </si>
  <si>
    <t>522B1</t>
  </si>
  <si>
    <t>526B1</t>
  </si>
  <si>
    <t>526A1</t>
  </si>
  <si>
    <t>579A1B</t>
  </si>
  <si>
    <t>589D7</t>
  </si>
  <si>
    <t>587E</t>
  </si>
  <si>
    <t>569C2</t>
  </si>
  <si>
    <t>567D2</t>
  </si>
  <si>
    <t>506C2</t>
  </si>
  <si>
    <t>505C</t>
  </si>
  <si>
    <t>519F</t>
  </si>
  <si>
    <t>519G</t>
  </si>
  <si>
    <t>513A2</t>
  </si>
  <si>
    <t>513A3</t>
  </si>
  <si>
    <t>539A</t>
  </si>
  <si>
    <t>586B</t>
  </si>
  <si>
    <t>550A2</t>
  </si>
  <si>
    <t>550B1</t>
  </si>
  <si>
    <t>550B2</t>
  </si>
  <si>
    <t>556B1</t>
  </si>
  <si>
    <t>556B3</t>
  </si>
  <si>
    <t>557B</t>
  </si>
  <si>
    <t>557B1</t>
  </si>
  <si>
    <t>557B2</t>
  </si>
  <si>
    <t>548A1</t>
  </si>
  <si>
    <t>548A2</t>
  </si>
  <si>
    <t>557D</t>
  </si>
  <si>
    <t>587A2</t>
  </si>
  <si>
    <t>550D2A</t>
  </si>
  <si>
    <t>550D2B</t>
  </si>
  <si>
    <t>560C2</t>
  </si>
  <si>
    <t>567D1</t>
  </si>
  <si>
    <t>567H</t>
  </si>
  <si>
    <t>567F1</t>
  </si>
  <si>
    <t>567F3</t>
  </si>
  <si>
    <t>565E1</t>
  </si>
  <si>
    <t>565D1</t>
  </si>
  <si>
    <t>565D2</t>
  </si>
  <si>
    <t>554B1B</t>
  </si>
  <si>
    <t>566F1</t>
  </si>
  <si>
    <t>590A1</t>
  </si>
  <si>
    <t>590A2</t>
  </si>
  <si>
    <t>587A1</t>
  </si>
  <si>
    <t>507H3</t>
  </si>
  <si>
    <t>507H6</t>
  </si>
  <si>
    <t>509F</t>
  </si>
  <si>
    <t>504A4</t>
  </si>
  <si>
    <t>584E3</t>
  </si>
  <si>
    <t>506C1</t>
  </si>
  <si>
    <t>507H4</t>
  </si>
  <si>
    <t>505G</t>
  </si>
  <si>
    <t>579F1</t>
  </si>
  <si>
    <t>548G2A</t>
  </si>
  <si>
    <t>548G2B</t>
  </si>
  <si>
    <t>548G2C</t>
  </si>
  <si>
    <t>560B</t>
  </si>
  <si>
    <t>560C1</t>
  </si>
  <si>
    <t>554A2</t>
  </si>
  <si>
    <t>554A3</t>
  </si>
  <si>
    <t>565B1</t>
  </si>
  <si>
    <t>565B2</t>
  </si>
  <si>
    <t>543A1B</t>
  </si>
  <si>
    <t>542E</t>
  </si>
  <si>
    <t>537B2</t>
  </si>
  <si>
    <t>531C3</t>
  </si>
  <si>
    <t>533A</t>
  </si>
  <si>
    <t>546B</t>
  </si>
  <si>
    <t>533G2</t>
  </si>
  <si>
    <t>534C</t>
  </si>
  <si>
    <t>589A1</t>
  </si>
  <si>
    <t>512B3</t>
  </si>
  <si>
    <t>580C1</t>
  </si>
  <si>
    <t>525F2</t>
  </si>
  <si>
    <t>531B2</t>
  </si>
  <si>
    <t>543A1A</t>
  </si>
  <si>
    <t>515A</t>
  </si>
  <si>
    <t>587F</t>
  </si>
  <si>
    <t>546E2</t>
  </si>
  <si>
    <t>543A2A</t>
  </si>
  <si>
    <t>543A2B</t>
  </si>
  <si>
    <t>589A2</t>
  </si>
  <si>
    <t>555D1</t>
  </si>
  <si>
    <t>502A2</t>
  </si>
  <si>
    <t>514C</t>
  </si>
  <si>
    <t>514D</t>
  </si>
  <si>
    <t>518C1</t>
  </si>
  <si>
    <t>518C2</t>
  </si>
  <si>
    <t>527A1</t>
  </si>
  <si>
    <t>527A2</t>
  </si>
  <si>
    <t>521E</t>
  </si>
  <si>
    <t>530B2</t>
  </si>
  <si>
    <t>530B1</t>
  </si>
  <si>
    <t>543F2</t>
  </si>
  <si>
    <t>579B1</t>
  </si>
  <si>
    <t>579B2</t>
  </si>
  <si>
    <t>579E</t>
  </si>
  <si>
    <t>538G</t>
  </si>
  <si>
    <t>554E1A</t>
  </si>
  <si>
    <t>554E1B</t>
  </si>
  <si>
    <t>548D</t>
  </si>
  <si>
    <t>570A</t>
  </si>
  <si>
    <t>555B</t>
  </si>
  <si>
    <t>501C1</t>
  </si>
  <si>
    <t>501C2</t>
  </si>
  <si>
    <t>502A1</t>
  </si>
  <si>
    <t>502E</t>
  </si>
  <si>
    <t>502F1</t>
  </si>
  <si>
    <t>503E</t>
  </si>
  <si>
    <t>507B1</t>
  </si>
  <si>
    <t>507B2</t>
  </si>
  <si>
    <t>507B3</t>
  </si>
  <si>
    <t>507B4</t>
  </si>
  <si>
    <t>509A2</t>
  </si>
  <si>
    <t>509C1</t>
  </si>
  <si>
    <t>509C2</t>
  </si>
  <si>
    <t>509D1</t>
  </si>
  <si>
    <t>509D2</t>
  </si>
  <si>
    <t>511A</t>
  </si>
  <si>
    <t>511I</t>
  </si>
  <si>
    <t>512E</t>
  </si>
  <si>
    <t>512F</t>
  </si>
  <si>
    <t>512G</t>
  </si>
  <si>
    <t>512I</t>
  </si>
  <si>
    <t>513A1</t>
  </si>
  <si>
    <t>513B</t>
  </si>
  <si>
    <t>513C1</t>
  </si>
  <si>
    <t>513C2</t>
  </si>
  <si>
    <t>516C1</t>
  </si>
  <si>
    <t>519A</t>
  </si>
  <si>
    <t>520H</t>
  </si>
  <si>
    <t>521A</t>
  </si>
  <si>
    <t>522C1</t>
  </si>
  <si>
    <t>523A1</t>
  </si>
  <si>
    <t>523A2</t>
  </si>
  <si>
    <t>523A3</t>
  </si>
  <si>
    <t>523G1</t>
  </si>
  <si>
    <t>523G2</t>
  </si>
  <si>
    <t>525A</t>
  </si>
  <si>
    <t>528A</t>
  </si>
  <si>
    <t>528B</t>
  </si>
  <si>
    <t>528C1</t>
  </si>
  <si>
    <t>528E1</t>
  </si>
  <si>
    <t>528E2</t>
  </si>
  <si>
    <t>530A</t>
  </si>
  <si>
    <t>531G7</t>
  </si>
  <si>
    <t>532C</t>
  </si>
  <si>
    <t>533E2</t>
  </si>
  <si>
    <t>533G1</t>
  </si>
  <si>
    <t>533H1</t>
  </si>
  <si>
    <t>535C</t>
  </si>
  <si>
    <t>536D2</t>
  </si>
  <si>
    <t>537A</t>
  </si>
  <si>
    <t>541C1</t>
  </si>
  <si>
    <t>541C2</t>
  </si>
  <si>
    <t>541H</t>
  </si>
  <si>
    <t>541I2</t>
  </si>
  <si>
    <t>542CS</t>
  </si>
  <si>
    <t>543B</t>
  </si>
  <si>
    <t>543E1</t>
  </si>
  <si>
    <t>543E2</t>
  </si>
  <si>
    <t>543F1</t>
  </si>
  <si>
    <t>544C1</t>
  </si>
  <si>
    <t>545A1</t>
  </si>
  <si>
    <t>546A1</t>
  </si>
  <si>
    <t>547A</t>
  </si>
  <si>
    <t>547F1</t>
  </si>
  <si>
    <t>547F2</t>
  </si>
  <si>
    <t>549B3</t>
  </si>
  <si>
    <t>550A1</t>
  </si>
  <si>
    <t>551A</t>
  </si>
  <si>
    <t>551C1</t>
  </si>
  <si>
    <t>551C2</t>
  </si>
  <si>
    <t>552F</t>
  </si>
  <si>
    <t>554B1A</t>
  </si>
  <si>
    <t>554B1C</t>
  </si>
  <si>
    <t>554C1</t>
  </si>
  <si>
    <t>554C2</t>
  </si>
  <si>
    <t>554E2A</t>
  </si>
  <si>
    <t>555D2C</t>
  </si>
  <si>
    <t>556E2</t>
  </si>
  <si>
    <t>558A1</t>
  </si>
  <si>
    <t>558A2</t>
  </si>
  <si>
    <t>558D1</t>
  </si>
  <si>
    <t>559A1</t>
  </si>
  <si>
    <t>559A2</t>
  </si>
  <si>
    <t>559C1</t>
  </si>
  <si>
    <t>559C2</t>
  </si>
  <si>
    <t>560F1</t>
  </si>
  <si>
    <t>561A1</t>
  </si>
  <si>
    <t>562A1</t>
  </si>
  <si>
    <t>562A2</t>
  </si>
  <si>
    <t>562B1</t>
  </si>
  <si>
    <t>562E</t>
  </si>
  <si>
    <t>562F1</t>
  </si>
  <si>
    <t>562F2</t>
  </si>
  <si>
    <t>565A2</t>
  </si>
  <si>
    <t>565E2</t>
  </si>
  <si>
    <t>566C</t>
  </si>
  <si>
    <t>569D2</t>
  </si>
  <si>
    <t>570E</t>
  </si>
  <si>
    <t>572B1</t>
  </si>
  <si>
    <t>572D1</t>
  </si>
  <si>
    <t>573D</t>
  </si>
  <si>
    <t>574D1</t>
  </si>
  <si>
    <t>575A1B</t>
  </si>
  <si>
    <t>575A2</t>
  </si>
  <si>
    <t>576A2</t>
  </si>
  <si>
    <t>577D1</t>
  </si>
  <si>
    <t>578D</t>
  </si>
  <si>
    <t>582A1</t>
  </si>
  <si>
    <t>582A2</t>
  </si>
  <si>
    <t>582C</t>
  </si>
  <si>
    <t>583B</t>
  </si>
  <si>
    <t>586C2</t>
  </si>
  <si>
    <t>588A</t>
  </si>
  <si>
    <t>588D</t>
  </si>
  <si>
    <t>589C2</t>
  </si>
  <si>
    <t>557F1</t>
  </si>
  <si>
    <t>557F2</t>
  </si>
  <si>
    <t>551B3</t>
  </si>
  <si>
    <t>557A1A</t>
  </si>
  <si>
    <t>557A1B</t>
  </si>
  <si>
    <t>557A2</t>
  </si>
  <si>
    <t>551B4</t>
  </si>
  <si>
    <t>588B1</t>
  </si>
  <si>
    <t>588B2</t>
  </si>
  <si>
    <t>549B1A</t>
  </si>
  <si>
    <t>549B2A</t>
  </si>
  <si>
    <t>554E2B</t>
  </si>
  <si>
    <t>549B2B</t>
  </si>
  <si>
    <t>Pasang gorong-2  &lt;prw.drain&gt;</t>
  </si>
  <si>
    <t>Herbisida antar gulud manual</t>
  </si>
  <si>
    <t>567C1B</t>
  </si>
  <si>
    <t>569A1</t>
  </si>
  <si>
    <t>584D1</t>
  </si>
  <si>
    <t>567C1A</t>
  </si>
  <si>
    <t>567C2A</t>
  </si>
  <si>
    <t>567C2B</t>
  </si>
  <si>
    <t>569A2</t>
  </si>
  <si>
    <t>584D2</t>
  </si>
  <si>
    <t>Pasang Pagar Perlindungan Buah</t>
  </si>
  <si>
    <t>575A1A</t>
  </si>
  <si>
    <t>507E2</t>
  </si>
  <si>
    <t>507E1</t>
  </si>
  <si>
    <t>507A1</t>
  </si>
  <si>
    <t>507A2</t>
  </si>
  <si>
    <t>501B3</t>
  </si>
  <si>
    <t>514F1</t>
  </si>
  <si>
    <t>514F2</t>
  </si>
  <si>
    <t>520E1</t>
  </si>
  <si>
    <t>520E2</t>
  </si>
  <si>
    <t>520C2</t>
  </si>
  <si>
    <t>536C1a</t>
  </si>
  <si>
    <t>536C1b</t>
  </si>
  <si>
    <t>536C1c</t>
  </si>
  <si>
    <t>536C2a</t>
  </si>
  <si>
    <t>523C</t>
  </si>
  <si>
    <t>589D4</t>
  </si>
  <si>
    <t>585C</t>
  </si>
  <si>
    <t>560E</t>
  </si>
  <si>
    <t>559D2</t>
  </si>
  <si>
    <t>566E1</t>
  </si>
  <si>
    <t>572B2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</si>
</sst>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-mmm\-yy;@"/>
    <numFmt numFmtId="167" formatCode="d\-mmm;@"/>
    <numFmt numFmtId="168" formatCode="[$-409]d\-mmm;@"/>
    <numFmt numFmtId="169" formatCode="#,##0.0"/>
    <numFmt numFmtId="170" formatCode="dd/mm/yyyy;@"/>
    <numFmt numFmtId="171" formatCode="_(* #,##0.0_);_(* \(#,##0.0\);_(* &quot;-&quot;??_);_(@_)"/>
    <numFmt numFmtId="172" formatCode="_(* #,##0.0_);_(* \(#,##0.0\);_(* &quot;-&quot;??.0_);_(@_)"/>
    <numFmt numFmtId="174" formatCode="_(* #,##0.0000_);_(* \(#,##0.0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 Antiqua"/>
      <family val="1"/>
    </font>
    <font>
      <sz val="10"/>
      <color indexed="8"/>
      <name val="Book Antiqua"/>
      <family val="1"/>
    </font>
    <font>
      <b/>
      <sz val="12"/>
      <color indexed="19"/>
      <name val="Arial Black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9"/>
      <name val="Arial Narrow"/>
      <family val="2"/>
    </font>
    <font>
      <b/>
      <sz val="10"/>
      <color indexed="8"/>
      <name val="Arial Narrow"/>
      <family val="2"/>
    </font>
    <font>
      <sz val="10"/>
      <color indexed="9"/>
      <name val="Arial"/>
      <family val="2"/>
    </font>
    <font>
      <b/>
      <sz val="10"/>
      <color indexed="9"/>
      <name val="Book Antiqua"/>
      <family val="1"/>
    </font>
    <font>
      <b/>
      <sz val="10"/>
      <color indexed="9"/>
      <name val="Arial"/>
      <family val="2"/>
    </font>
    <font>
      <sz val="10"/>
      <color indexed="9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ashed">
        <color indexed="63"/>
      </left>
      <right style="dashed">
        <color indexed="63"/>
      </right>
      <top style="medium">
        <color indexed="63"/>
      </top>
      <bottom/>
      <diagonal/>
    </border>
    <border>
      <left style="dashed">
        <color indexed="63"/>
      </left>
      <right/>
      <top style="medium">
        <color indexed="63"/>
      </top>
      <bottom/>
      <diagonal/>
    </border>
    <border>
      <left/>
      <right style="dashed">
        <color indexed="63"/>
      </right>
      <top style="medium">
        <color indexed="63"/>
      </top>
      <bottom/>
      <diagonal/>
    </border>
    <border>
      <left style="dashed">
        <color indexed="63"/>
      </left>
      <right style="dashed">
        <color indexed="63"/>
      </right>
      <top/>
      <bottom/>
      <diagonal/>
    </border>
    <border>
      <left style="dashed">
        <color indexed="63"/>
      </left>
      <right/>
      <top/>
      <bottom/>
      <diagonal/>
    </border>
    <border>
      <left/>
      <right style="dashed">
        <color indexed="63"/>
      </right>
      <top/>
      <bottom/>
      <diagonal/>
    </border>
    <border>
      <left style="dashed">
        <color indexed="63"/>
      </left>
      <right style="dashed">
        <color indexed="63"/>
      </right>
      <top/>
      <bottom style="medium">
        <color indexed="63"/>
      </bottom>
      <diagonal/>
    </border>
    <border>
      <left style="dashed">
        <color indexed="63"/>
      </left>
      <right/>
      <top/>
      <bottom style="medium">
        <color indexed="63"/>
      </bottom>
      <diagonal/>
    </border>
    <border>
      <left/>
      <right style="dashed">
        <color indexed="63"/>
      </right>
      <top/>
      <bottom style="medium">
        <color indexed="63"/>
      </bottom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medium">
        <color indexed="63"/>
      </bottom>
      <diagonal/>
    </border>
    <border>
      <left style="hair">
        <color indexed="10"/>
      </left>
      <right style="hair">
        <color indexed="10"/>
      </right>
      <top style="hair">
        <color indexed="10"/>
      </top>
      <bottom style="hair">
        <color indexed="10"/>
      </bottom>
      <diagonal/>
    </border>
    <border>
      <left/>
      <right style="hair">
        <color indexed="25"/>
      </right>
      <top style="hair">
        <color indexed="25"/>
      </top>
      <bottom style="hair">
        <color indexed="25"/>
      </bottom>
      <diagonal/>
    </border>
    <border>
      <left style="hair">
        <color indexed="25"/>
      </left>
      <right style="hair">
        <color indexed="25"/>
      </right>
      <top style="hair">
        <color indexed="25"/>
      </top>
      <bottom style="hair">
        <color indexed="25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29"/>
      </left>
      <right style="hair">
        <color indexed="29"/>
      </right>
      <top style="hair">
        <color indexed="29"/>
      </top>
      <bottom style="hair">
        <color indexed="29"/>
      </bottom>
      <diagonal/>
    </border>
    <border>
      <left/>
      <right style="hair">
        <color indexed="20"/>
      </right>
      <top style="hair">
        <color indexed="20"/>
      </top>
      <bottom style="hair">
        <color indexed="20"/>
      </bottom>
      <diagonal/>
    </border>
    <border>
      <left style="hair">
        <color indexed="20"/>
      </left>
      <right style="hair">
        <color indexed="20"/>
      </right>
      <top style="hair">
        <color indexed="20"/>
      </top>
      <bottom style="hair">
        <color indexed="20"/>
      </bottom>
      <diagonal/>
    </border>
    <border>
      <left style="hair">
        <color indexed="57"/>
      </left>
      <right style="hair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39"/>
      </left>
      <right/>
      <top/>
      <bottom style="hair">
        <color indexed="39"/>
      </bottom>
      <diagonal/>
    </border>
    <border>
      <left/>
      <right/>
      <top/>
      <bottom style="hair">
        <color indexed="39"/>
      </bottom>
      <diagonal/>
    </border>
    <border>
      <left style="dashed">
        <color indexed="63"/>
      </left>
      <right style="dashed">
        <color indexed="63"/>
      </right>
      <top style="medium">
        <color indexed="63"/>
      </top>
      <bottom style="dashed">
        <color indexed="63"/>
      </bottom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4" fontId="3" fillId="2" borderId="0" xfId="0" applyNumberFormat="1" applyFont="1" applyFill="1"/>
    <xf numFmtId="4" fontId="4" fillId="0" borderId="0" xfId="0" applyNumberFormat="1" applyFont="1"/>
    <xf numFmtId="0" fontId="0" fillId="0" borderId="0" xfId="0" applyAlignment="1">
      <alignment horizontal="left"/>
    </xf>
    <xf numFmtId="166" fontId="0" fillId="0" borderId="0" xfId="0" applyNumberFormat="1"/>
    <xf numFmtId="167" fontId="0" fillId="2" borderId="0" xfId="0" applyNumberFormat="1" applyFill="1"/>
    <xf numFmtId="43" fontId="0" fillId="2" borderId="0" xfId="1" applyFont="1" applyFill="1" applyBorder="1"/>
    <xf numFmtId="43" fontId="0" fillId="0" borderId="0" xfId="1" applyFont="1" applyFill="1" applyBorder="1"/>
    <xf numFmtId="0" fontId="2" fillId="0" borderId="0" xfId="0" applyFont="1"/>
    <xf numFmtId="167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166" fontId="7" fillId="0" borderId="0" xfId="0" applyNumberFormat="1" applyFont="1"/>
    <xf numFmtId="167" fontId="7" fillId="0" borderId="0" xfId="0" applyNumberFormat="1" applyFont="1"/>
    <xf numFmtId="43" fontId="0" fillId="0" borderId="0" xfId="1" applyFont="1"/>
    <xf numFmtId="0" fontId="6" fillId="0" borderId="1" xfId="0" applyFont="1" applyBorder="1" applyAlignment="1">
      <alignment horizontal="left"/>
    </xf>
    <xf numFmtId="15" fontId="6" fillId="0" borderId="0" xfId="0" applyNumberFormat="1" applyFont="1" applyAlignment="1">
      <alignment horizontal="center"/>
    </xf>
    <xf numFmtId="168" fontId="8" fillId="3" borderId="0" xfId="0" applyNumberFormat="1" applyFont="1" applyFill="1" applyAlignment="1">
      <alignment horizontal="center"/>
    </xf>
    <xf numFmtId="166" fontId="9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/>
    </xf>
    <xf numFmtId="0" fontId="10" fillId="4" borderId="2" xfId="0" applyFont="1" applyFill="1" applyBorder="1"/>
    <xf numFmtId="0" fontId="11" fillId="4" borderId="2" xfId="0" applyFont="1" applyFill="1" applyBorder="1"/>
    <xf numFmtId="167" fontId="10" fillId="4" borderId="2" xfId="0" applyNumberFormat="1" applyFont="1" applyFill="1" applyBorder="1"/>
    <xf numFmtId="0" fontId="11" fillId="4" borderId="5" xfId="0" applyFont="1" applyFill="1" applyBorder="1" applyAlignment="1">
      <alignment horizontal="center"/>
    </xf>
    <xf numFmtId="0" fontId="11" fillId="4" borderId="5" xfId="0" applyFont="1" applyFill="1" applyBorder="1"/>
    <xf numFmtId="0" fontId="11" fillId="4" borderId="6" xfId="0" applyFont="1" applyFill="1" applyBorder="1"/>
    <xf numFmtId="0" fontId="11" fillId="4" borderId="7" xfId="0" applyFont="1" applyFill="1" applyBorder="1"/>
    <xf numFmtId="0" fontId="12" fillId="4" borderId="5" xfId="0" applyFont="1" applyFill="1" applyBorder="1" applyAlignment="1">
      <alignment horizontal="center"/>
    </xf>
    <xf numFmtId="167" fontId="10" fillId="4" borderId="5" xfId="0" applyNumberFormat="1" applyFont="1" applyFill="1" applyBorder="1" applyAlignment="1">
      <alignment horizontal="center"/>
    </xf>
    <xf numFmtId="0" fontId="11" fillId="4" borderId="8" xfId="0" applyFont="1" applyFill="1" applyBorder="1"/>
    <xf numFmtId="0" fontId="11" fillId="5" borderId="8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left"/>
    </xf>
    <xf numFmtId="4" fontId="13" fillId="4" borderId="8" xfId="0" applyNumberFormat="1" applyFont="1" applyFill="1" applyBorder="1"/>
    <xf numFmtId="0" fontId="11" fillId="4" borderId="9" xfId="0" applyFont="1" applyFill="1" applyBorder="1"/>
    <xf numFmtId="0" fontId="11" fillId="4" borderId="10" xfId="0" applyFont="1" applyFill="1" applyBorder="1"/>
    <xf numFmtId="0" fontId="11" fillId="4" borderId="8" xfId="0" applyFont="1" applyFill="1" applyBorder="1" applyAlignment="1">
      <alignment horizontal="right" wrapText="1"/>
    </xf>
    <xf numFmtId="0" fontId="11" fillId="4" borderId="11" xfId="0" applyFont="1" applyFill="1" applyBorder="1" applyAlignment="1">
      <alignment horizontal="left"/>
    </xf>
    <xf numFmtId="0" fontId="10" fillId="4" borderId="8" xfId="0" applyFont="1" applyFill="1" applyBorder="1"/>
    <xf numFmtId="166" fontId="10" fillId="4" borderId="8" xfId="0" applyNumberFormat="1" applyFont="1" applyFill="1" applyBorder="1" applyAlignment="1">
      <alignment horizontal="center"/>
    </xf>
    <xf numFmtId="167" fontId="10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9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70" fontId="4" fillId="0" borderId="0" xfId="0" applyNumberFormat="1" applyFont="1" applyAlignment="1">
      <alignment horizontal="left"/>
    </xf>
    <xf numFmtId="170" fontId="3" fillId="0" borderId="0" xfId="0" applyNumberFormat="1" applyFont="1" applyAlignment="1">
      <alignment horizontal="left"/>
    </xf>
    <xf numFmtId="167" fontId="6" fillId="0" borderId="0" xfId="0" applyNumberFormat="1" applyFont="1"/>
    <xf numFmtId="0" fontId="3" fillId="0" borderId="0" xfId="0" applyFont="1" applyAlignment="1">
      <alignment horizontal="center"/>
    </xf>
    <xf numFmtId="0" fontId="4" fillId="0" borderId="14" xfId="0" applyFont="1" applyBorder="1"/>
    <xf numFmtId="170" fontId="4" fillId="0" borderId="14" xfId="0" applyNumberFormat="1" applyFont="1" applyBorder="1" applyAlignment="1">
      <alignment horizontal="left"/>
    </xf>
    <xf numFmtId="168" fontId="0" fillId="0" borderId="15" xfId="0" applyNumberFormat="1" applyBorder="1"/>
    <xf numFmtId="167" fontId="6" fillId="0" borderId="14" xfId="0" applyNumberFormat="1" applyFont="1" applyBorder="1"/>
    <xf numFmtId="0" fontId="4" fillId="0" borderId="18" xfId="0" applyFont="1" applyBorder="1"/>
    <xf numFmtId="170" fontId="4" fillId="0" borderId="18" xfId="0" applyNumberFormat="1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6" fillId="0" borderId="14" xfId="0" applyFont="1" applyBorder="1"/>
    <xf numFmtId="0" fontId="0" fillId="0" borderId="19" xfId="2" applyFont="1" applyBorder="1" applyAlignment="1">
      <alignment horizontal="left"/>
    </xf>
    <xf numFmtId="0" fontId="3" fillId="0" borderId="19" xfId="0" applyFont="1" applyBorder="1"/>
    <xf numFmtId="2" fontId="3" fillId="0" borderId="19" xfId="0" applyNumberFormat="1" applyFont="1" applyBorder="1" applyAlignment="1">
      <alignment horizontal="right"/>
    </xf>
    <xf numFmtId="170" fontId="3" fillId="0" borderId="19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4" fillId="0" borderId="13" xfId="0" applyFont="1" applyBorder="1" applyAlignment="1">
      <alignment horizontal="left"/>
    </xf>
    <xf numFmtId="0" fontId="0" fillId="0" borderId="15" xfId="0" applyBorder="1"/>
    <xf numFmtId="0" fontId="4" fillId="0" borderId="13" xfId="0" quotePrefix="1" applyFont="1" applyBorder="1" applyAlignment="1">
      <alignment horizontal="left"/>
    </xf>
    <xf numFmtId="0" fontId="0" fillId="0" borderId="19" xfId="0" applyBorder="1"/>
    <xf numFmtId="0" fontId="3" fillId="0" borderId="16" xfId="0" applyFont="1" applyBorder="1"/>
    <xf numFmtId="2" fontId="3" fillId="0" borderId="16" xfId="0" applyNumberFormat="1" applyFont="1" applyBorder="1" applyAlignment="1">
      <alignment horizontal="right"/>
    </xf>
    <xf numFmtId="170" fontId="3" fillId="0" borderId="16" xfId="0" applyNumberFormat="1" applyFont="1" applyBorder="1" applyAlignment="1">
      <alignment horizontal="left"/>
    </xf>
    <xf numFmtId="170" fontId="0" fillId="0" borderId="16" xfId="0" applyNumberFormat="1" applyBorder="1" applyAlignment="1">
      <alignment horizontal="left"/>
    </xf>
    <xf numFmtId="0" fontId="4" fillId="6" borderId="14" xfId="0" applyFont="1" applyFill="1" applyBorder="1"/>
    <xf numFmtId="170" fontId="4" fillId="6" borderId="15" xfId="0" applyNumberFormat="1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4" fillId="6" borderId="18" xfId="0" applyFont="1" applyFill="1" applyBorder="1"/>
    <xf numFmtId="0" fontId="6" fillId="6" borderId="18" xfId="0" applyFont="1" applyFill="1" applyBorder="1" applyAlignment="1">
      <alignment horizontal="left"/>
    </xf>
    <xf numFmtId="0" fontId="3" fillId="6" borderId="19" xfId="0" applyFont="1" applyFill="1" applyBorder="1"/>
    <xf numFmtId="0" fontId="0" fillId="6" borderId="19" xfId="0" applyFill="1" applyBorder="1" applyAlignment="1">
      <alignment horizontal="left"/>
    </xf>
    <xf numFmtId="0" fontId="3" fillId="6" borderId="16" xfId="0" applyFont="1" applyFill="1" applyBorder="1"/>
    <xf numFmtId="0" fontId="0" fillId="6" borderId="16" xfId="0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174" fontId="7" fillId="0" borderId="0" xfId="3" applyNumberFormat="1" applyFont="1" applyFill="1" applyBorder="1" applyAlignment="1"/>
    <xf numFmtId="165" fontId="6" fillId="0" borderId="0" xfId="3" applyNumberFormat="1" applyFont="1" applyFill="1" applyBorder="1" applyAlignment="1">
      <alignment horizontal="center"/>
    </xf>
    <xf numFmtId="164" fontId="10" fillId="4" borderId="2" xfId="3" applyFont="1" applyFill="1" applyBorder="1"/>
    <xf numFmtId="164" fontId="10" fillId="4" borderId="2" xfId="3" applyFont="1" applyFill="1" applyBorder="1" applyAlignment="1">
      <alignment horizontal="center"/>
    </xf>
    <xf numFmtId="164" fontId="10" fillId="4" borderId="5" xfId="3" applyFont="1" applyFill="1" applyBorder="1"/>
    <xf numFmtId="164" fontId="10" fillId="4" borderId="5" xfId="3" applyFont="1" applyFill="1" applyBorder="1" applyAlignment="1">
      <alignment horizontal="center"/>
    </xf>
    <xf numFmtId="164" fontId="10" fillId="4" borderId="8" xfId="3" applyFont="1" applyFill="1" applyBorder="1"/>
    <xf numFmtId="164" fontId="6" fillId="0" borderId="0" xfId="3" applyFont="1" applyFill="1" applyBorder="1"/>
    <xf numFmtId="164" fontId="3" fillId="0" borderId="14" xfId="3" applyFont="1" applyFill="1" applyBorder="1" applyAlignment="1"/>
    <xf numFmtId="164" fontId="4" fillId="0" borderId="14" xfId="3" applyFont="1" applyFill="1" applyBorder="1" applyAlignment="1"/>
    <xf numFmtId="171" fontId="4" fillId="6" borderId="15" xfId="3" applyNumberFormat="1" applyFont="1" applyFill="1" applyBorder="1" applyAlignment="1"/>
    <xf numFmtId="172" fontId="0" fillId="0" borderId="16" xfId="3" applyNumberFormat="1" applyFont="1" applyFill="1" applyBorder="1"/>
    <xf numFmtId="164" fontId="0" fillId="0" borderId="16" xfId="3" applyFont="1" applyFill="1" applyBorder="1"/>
    <xf numFmtId="165" fontId="6" fillId="6" borderId="15" xfId="3" applyNumberFormat="1" applyFont="1" applyFill="1" applyBorder="1"/>
    <xf numFmtId="164" fontId="4" fillId="0" borderId="18" xfId="3" applyFont="1" applyFill="1" applyBorder="1" applyAlignment="1">
      <alignment horizontal="right"/>
    </xf>
    <xf numFmtId="164" fontId="3" fillId="0" borderId="19" xfId="3" applyFont="1" applyFill="1" applyBorder="1" applyAlignment="1"/>
    <xf numFmtId="172" fontId="0" fillId="0" borderId="16" xfId="3" applyNumberFormat="1" applyFont="1" applyFill="1" applyBorder="1" applyAlignment="1">
      <alignment horizontal="right"/>
    </xf>
    <xf numFmtId="164" fontId="0" fillId="0" borderId="16" xfId="3" applyFont="1" applyFill="1" applyBorder="1" applyAlignment="1">
      <alignment horizontal="right"/>
    </xf>
    <xf numFmtId="164" fontId="3" fillId="0" borderId="16" xfId="3" applyFont="1" applyFill="1" applyBorder="1" applyAlignment="1">
      <alignment horizontal="left"/>
    </xf>
    <xf numFmtId="164" fontId="3" fillId="0" borderId="16" xfId="3" applyFont="1" applyFill="1" applyBorder="1" applyAlignment="1"/>
    <xf numFmtId="164" fontId="4" fillId="0" borderId="15" xfId="3" applyFont="1" applyFill="1" applyBorder="1" applyAlignment="1"/>
    <xf numFmtId="164" fontId="0" fillId="0" borderId="0" xfId="0" applyNumberFormat="1"/>
    <xf numFmtId="166" fontId="10" fillId="4" borderId="2" xfId="0" applyNumberFormat="1" applyFont="1" applyFill="1" applyBorder="1" applyAlignment="1">
      <alignment horizontal="left" vertical="center"/>
    </xf>
    <xf numFmtId="166" fontId="10" fillId="4" borderId="5" xfId="0" applyNumberFormat="1" applyFont="1" applyFill="1" applyBorder="1" applyAlignment="1">
      <alignment horizontal="left" vertical="center"/>
    </xf>
    <xf numFmtId="164" fontId="4" fillId="0" borderId="14" xfId="3" quotePrefix="1" applyFont="1" applyFill="1" applyBorder="1" applyAlignment="1"/>
    <xf numFmtId="0" fontId="10" fillId="4" borderId="2" xfId="0" applyFont="1" applyFill="1" applyBorder="1"/>
    <xf numFmtId="0" fontId="10" fillId="4" borderId="5" xfId="0" applyFont="1" applyFill="1" applyBorder="1"/>
    <xf numFmtId="0" fontId="10" fillId="4" borderId="22" xfId="0" applyFont="1" applyFill="1" applyBorder="1"/>
    <xf numFmtId="0" fontId="10" fillId="4" borderId="23" xfId="0" applyFont="1" applyFill="1" applyBorder="1"/>
    <xf numFmtId="0" fontId="10" fillId="5" borderId="2" xfId="0" applyFont="1" applyFill="1" applyBorder="1"/>
    <xf numFmtId="0" fontId="10" fillId="5" borderId="5" xfId="0" applyFont="1" applyFill="1" applyBorder="1"/>
    <xf numFmtId="0" fontId="10" fillId="4" borderId="22" xfId="0" applyFont="1" applyFill="1" applyBorder="1" applyAlignment="1">
      <alignment horizontal="center"/>
    </xf>
    <xf numFmtId="0" fontId="10" fillId="4" borderId="3" xfId="0" applyFont="1" applyFill="1" applyBorder="1"/>
    <xf numFmtId="0" fontId="10" fillId="4" borderId="4" xfId="0" applyFont="1" applyFill="1" applyBorder="1"/>
  </cellXfs>
  <cellStyles count="4">
    <cellStyle name="Comma" xfId="1" builtinId="3"/>
    <cellStyle name="Comma 10" xfId="3" xr:uid="{4F694FB3-1CD9-49A2-9ABB-0B63CAB1C144}"/>
    <cellStyle name="Normal" xfId="0" builtinId="0"/>
    <cellStyle name="Normal_REN MAN WIL_1" xfId="2" xr:uid="{FFE5E445-2165-4F94-B846-CC8445A00D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ri.sulistiono\AppData\Local\Temp\efef60c7-ab3c-44f4-b551-cc7fa43bd755_12%20RENC%20MINGGU%202%20DES%202025.zip.755\12%20RENC%20MINGGU%202%20DES%202025.xls" TargetMode="External"/><Relationship Id="rId1" Type="http://schemas.openxmlformats.org/officeDocument/2006/relationships/externalLinkPath" Target="/Users/etri.sulistiono/AppData/Local/Temp/efef60c7-ab3c-44f4-b551-cc7fa43bd755_12%20RENC%20MINGGU%202%20DES%202025.zip.755/12%20RENC%20MINGGU%202%20DES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sis Cuaca"/>
      <sheetName val="Rekomend"/>
      <sheetName val="Draft"/>
      <sheetName val="d leaf"/>
      <sheetName val="warna daun"/>
      <sheetName val="ANALISA DAUN"/>
      <sheetName val="MSTR AKT"/>
      <sheetName val="Sheet4"/>
      <sheetName val="STS"/>
      <sheetName val="apl sbl"/>
      <sheetName val="BOOM"/>
      <sheetName val="REN MAN WIL"/>
      <sheetName val="Summary Bahan"/>
      <sheetName val="SUMMARY"/>
      <sheetName val="Real SAP"/>
      <sheetName val="Akum Bahan"/>
      <sheetName val="S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C4" t="str">
            <v>Adj. alokasi bibit</v>
          </cell>
          <cell r="D4">
            <v>1116959595</v>
          </cell>
          <cell r="E4">
            <v>0</v>
          </cell>
        </row>
        <row r="5">
          <cell r="C5" t="str">
            <v>Adj. pemanenan</v>
          </cell>
          <cell r="D5">
            <v>1511959595</v>
          </cell>
          <cell r="E5">
            <v>0</v>
          </cell>
        </row>
        <row r="6">
          <cell r="C6" t="str">
            <v>Adj. penanaman</v>
          </cell>
          <cell r="D6">
            <v>1117959595</v>
          </cell>
          <cell r="E6">
            <v>0</v>
          </cell>
        </row>
        <row r="7">
          <cell r="C7" t="str">
            <v>Adj. peny.bbt  &lt;pool.&gt;</v>
          </cell>
          <cell r="D7">
            <v>1115959595</v>
          </cell>
          <cell r="E7">
            <v>0</v>
          </cell>
        </row>
        <row r="8">
          <cell r="C8" t="str">
            <v>Adj. penyiapan lahan</v>
          </cell>
          <cell r="D8">
            <v>1113959595</v>
          </cell>
          <cell r="E8">
            <v>0</v>
          </cell>
        </row>
        <row r="9">
          <cell r="C9" t="str">
            <v>Adj.alokasi umum</v>
          </cell>
          <cell r="D9">
            <v>1911959595</v>
          </cell>
          <cell r="E9">
            <v>0</v>
          </cell>
        </row>
        <row r="10">
          <cell r="C10" t="str">
            <v>Adj.drainase  &lt;prw.drain.&gt;</v>
          </cell>
          <cell r="D10">
            <v>1317959595</v>
          </cell>
          <cell r="E10">
            <v>0</v>
          </cell>
        </row>
        <row r="11">
          <cell r="C11" t="str">
            <v>Adj.forcing</v>
          </cell>
          <cell r="D11">
            <v>1321959595</v>
          </cell>
          <cell r="E11">
            <v>0</v>
          </cell>
        </row>
        <row r="12">
          <cell r="C12" t="str">
            <v>Adj.irigasi/penyiraman</v>
          </cell>
          <cell r="D12">
            <v>1323959595</v>
          </cell>
          <cell r="E12">
            <v>0</v>
          </cell>
        </row>
        <row r="13">
          <cell r="C13" t="str">
            <v>Adj.pemupukan  &lt;ppk&gt;</v>
          </cell>
          <cell r="D13">
            <v>1311959595</v>
          </cell>
          <cell r="E13">
            <v>0</v>
          </cell>
        </row>
        <row r="14">
          <cell r="C14" t="str">
            <v>Adj.pengendalian gulma</v>
          </cell>
          <cell r="D14">
            <v>1315959595</v>
          </cell>
          <cell r="E14">
            <v>0</v>
          </cell>
        </row>
        <row r="15">
          <cell r="C15" t="str">
            <v>Adj.pengendalian Hpt</v>
          </cell>
          <cell r="D15">
            <v>1313959595</v>
          </cell>
          <cell r="E15">
            <v>0</v>
          </cell>
        </row>
        <row r="16">
          <cell r="C16" t="str">
            <v>Adj.ripening (fruit.reg.)</v>
          </cell>
          <cell r="D16">
            <v>1325959595</v>
          </cell>
          <cell r="E16">
            <v>0</v>
          </cell>
        </row>
        <row r="17">
          <cell r="C17" t="str">
            <v>Adj.selek.prw/perb.pertumb. &lt;prw&gt;</v>
          </cell>
          <cell r="D17">
            <v>1319959595</v>
          </cell>
          <cell r="E17">
            <v>0</v>
          </cell>
        </row>
        <row r="18">
          <cell r="C18" t="str">
            <v>Aduk man.bhn pemupukan  &lt;ppk&gt;</v>
          </cell>
          <cell r="D18">
            <v>1311111111</v>
          </cell>
          <cell r="E18" t="str">
            <v>Nugroho</v>
          </cell>
        </row>
        <row r="19">
          <cell r="C19" t="str">
            <v>Aduk mek.bhn pemupukan  &lt;ppk&gt;</v>
          </cell>
          <cell r="D19">
            <v>1311111115</v>
          </cell>
          <cell r="E19">
            <v>0</v>
          </cell>
        </row>
        <row r="20">
          <cell r="C20" t="str">
            <v>Aduk semi mek.bhn pemupukan  &lt;ppk&gt;</v>
          </cell>
          <cell r="D20">
            <v>1311111113</v>
          </cell>
          <cell r="E20">
            <v>0</v>
          </cell>
        </row>
        <row r="21">
          <cell r="C21" t="str">
            <v>Alok. peny.bbt  &lt;pool.&gt;</v>
          </cell>
          <cell r="D21">
            <v>1115919191</v>
          </cell>
          <cell r="E21">
            <v>0</v>
          </cell>
        </row>
        <row r="22">
          <cell r="C22" t="str">
            <v>Alok. penyiapan lahan</v>
          </cell>
          <cell r="D22">
            <v>1113919191</v>
          </cell>
          <cell r="E22">
            <v>0</v>
          </cell>
        </row>
        <row r="23">
          <cell r="C23" t="str">
            <v>Alok.bbt dari alokasi lokasi</v>
          </cell>
          <cell r="D23">
            <v>1116919191</v>
          </cell>
          <cell r="E23">
            <v>0</v>
          </cell>
        </row>
        <row r="24">
          <cell r="C24" t="str">
            <v>Alok.biaya penyiapan bibit</v>
          </cell>
          <cell r="D24">
            <v>1116111111</v>
          </cell>
          <cell r="E24">
            <v>0</v>
          </cell>
        </row>
        <row r="25">
          <cell r="C25" t="str">
            <v>Alok.drainase  &lt;prw.drain.&gt;</v>
          </cell>
          <cell r="D25">
            <v>1317919191</v>
          </cell>
          <cell r="E25">
            <v>0</v>
          </cell>
        </row>
        <row r="26">
          <cell r="C26" t="str">
            <v>Alok.forcing</v>
          </cell>
          <cell r="D26">
            <v>1321919191</v>
          </cell>
          <cell r="E26">
            <v>0</v>
          </cell>
        </row>
        <row r="27">
          <cell r="C27" t="str">
            <v>Alok.investasi  &lt;inv.&gt;</v>
          </cell>
          <cell r="D27">
            <v>5111919191</v>
          </cell>
          <cell r="E27">
            <v>0</v>
          </cell>
        </row>
        <row r="28">
          <cell r="C28" t="str">
            <v>Alok.irigasi/penyiraman</v>
          </cell>
          <cell r="D28">
            <v>1323919191</v>
          </cell>
          <cell r="E28">
            <v>0</v>
          </cell>
        </row>
        <row r="29">
          <cell r="C29" t="str">
            <v>Alok.overhead cost  &lt;OHC&gt;</v>
          </cell>
          <cell r="D29">
            <v>4111919191</v>
          </cell>
          <cell r="E29">
            <v>0</v>
          </cell>
        </row>
        <row r="30">
          <cell r="C30" t="str">
            <v>Alok.pemanenan</v>
          </cell>
          <cell r="D30">
            <v>1511919191</v>
          </cell>
          <cell r="E30">
            <v>0</v>
          </cell>
        </row>
        <row r="31">
          <cell r="C31" t="str">
            <v>Alok.pemupukan  &lt;ppk&gt;</v>
          </cell>
          <cell r="D31">
            <v>1311919191</v>
          </cell>
          <cell r="E31">
            <v>0</v>
          </cell>
        </row>
        <row r="32">
          <cell r="C32" t="str">
            <v>Alok.pengendalian gulma</v>
          </cell>
          <cell r="D32">
            <v>1315919191</v>
          </cell>
          <cell r="E32">
            <v>0</v>
          </cell>
        </row>
        <row r="33">
          <cell r="C33" t="str">
            <v>Alok.pengendalian Hpt</v>
          </cell>
          <cell r="D33">
            <v>1313919191</v>
          </cell>
          <cell r="E33">
            <v>0</v>
          </cell>
        </row>
        <row r="34">
          <cell r="C34" t="str">
            <v>Alok.ripening (fruit.reg.)</v>
          </cell>
          <cell r="D34">
            <v>1325919191</v>
          </cell>
          <cell r="E34">
            <v>0</v>
          </cell>
        </row>
        <row r="35">
          <cell r="C35" t="str">
            <v>Alok.selek.prw/perb.pertumb. &lt;prw&gt;</v>
          </cell>
          <cell r="D35">
            <v>1319919191</v>
          </cell>
          <cell r="E35">
            <v>0</v>
          </cell>
        </row>
        <row r="36">
          <cell r="C36" t="str">
            <v>Alok.umum</v>
          </cell>
          <cell r="D36">
            <v>1911919191</v>
          </cell>
          <cell r="E36">
            <v>0</v>
          </cell>
        </row>
        <row r="37">
          <cell r="C37" t="str">
            <v>Alokasi penanaman</v>
          </cell>
          <cell r="D37">
            <v>1117919191</v>
          </cell>
          <cell r="E37">
            <v>0</v>
          </cell>
        </row>
        <row r="38">
          <cell r="C38" t="str">
            <v>Analisa lab.sampel daun</v>
          </cell>
          <cell r="D38">
            <v>1311511115</v>
          </cell>
          <cell r="E38">
            <v>0</v>
          </cell>
        </row>
        <row r="39">
          <cell r="C39" t="str">
            <v>Analisa lab.sampel tanah</v>
          </cell>
          <cell r="D39">
            <v>1311511119</v>
          </cell>
          <cell r="E39">
            <v>0</v>
          </cell>
        </row>
        <row r="40">
          <cell r="C40" t="str">
            <v>Aplik.fruit.reg. man.</v>
          </cell>
          <cell r="D40">
            <v>1325131315</v>
          </cell>
          <cell r="E40">
            <v>0</v>
          </cell>
        </row>
        <row r="41">
          <cell r="C41" t="str">
            <v>Aplik.fruit.reg. mek.</v>
          </cell>
          <cell r="D41">
            <v>1325131311</v>
          </cell>
          <cell r="E41">
            <v>0</v>
          </cell>
        </row>
        <row r="42">
          <cell r="C42" t="str">
            <v>Aplik.man.limbah organik cair (p.lhn)</v>
          </cell>
          <cell r="D42">
            <v>1113153115</v>
          </cell>
          <cell r="E42">
            <v>0</v>
          </cell>
        </row>
        <row r="43">
          <cell r="C43" t="str">
            <v>Aplik.man.limbah organik cair (prw)</v>
          </cell>
          <cell r="D43">
            <v>1311133115</v>
          </cell>
          <cell r="E43">
            <v>0</v>
          </cell>
        </row>
        <row r="44">
          <cell r="C44" t="str">
            <v>Aplik.man.limbah organik padat (p.lhn)</v>
          </cell>
          <cell r="D44">
            <v>1113153111</v>
          </cell>
          <cell r="E44">
            <v>0</v>
          </cell>
        </row>
        <row r="45">
          <cell r="C45" t="str">
            <v>Aplik.man.limbah organik padat (prw)</v>
          </cell>
          <cell r="D45">
            <v>1311133111</v>
          </cell>
          <cell r="E45">
            <v>0</v>
          </cell>
        </row>
        <row r="46">
          <cell r="C46" t="str">
            <v>Aplik.mek.limbah organik cair (p.lhn)</v>
          </cell>
          <cell r="D46">
            <v>1113153117</v>
          </cell>
          <cell r="E46">
            <v>0</v>
          </cell>
        </row>
        <row r="47">
          <cell r="C47" t="str">
            <v>Aplik.mek.limbah organik cair (prw)</v>
          </cell>
          <cell r="D47">
            <v>1311133117</v>
          </cell>
          <cell r="E47">
            <v>0</v>
          </cell>
        </row>
        <row r="48">
          <cell r="C48" t="str">
            <v>Aplik.mek.limbah organik padat (p.lhn)</v>
          </cell>
          <cell r="D48">
            <v>1113153113</v>
          </cell>
          <cell r="E48">
            <v>0</v>
          </cell>
        </row>
        <row r="49">
          <cell r="C49" t="str">
            <v>Aplik.mek.limbah organik padat (prw)</v>
          </cell>
          <cell r="D49">
            <v>1311133113</v>
          </cell>
          <cell r="E49">
            <v>0</v>
          </cell>
        </row>
        <row r="50">
          <cell r="C50" t="str">
            <v>Babat semak  &lt;p.gulma/weed.&gt;</v>
          </cell>
          <cell r="D50">
            <v>1315111711</v>
          </cell>
          <cell r="E50" t="str">
            <v>Etri 1</v>
          </cell>
        </row>
        <row r="51">
          <cell r="C51" t="str">
            <v>Babat/pangkas eks tnm  &lt;bongkar lhn&gt;</v>
          </cell>
          <cell r="D51">
            <v>1113111313</v>
          </cell>
          <cell r="E51" t="str">
            <v>Etri 1</v>
          </cell>
        </row>
        <row r="52">
          <cell r="C52" t="str">
            <v>Bantu pasang gorong2</v>
          </cell>
          <cell r="D52">
            <v>1317111332</v>
          </cell>
          <cell r="E52" t="str">
            <v>Widi</v>
          </cell>
        </row>
        <row r="53">
          <cell r="C53" t="str">
            <v>Bantu pasang gorong2 (non bahan)</v>
          </cell>
          <cell r="D53">
            <v>1317111333</v>
          </cell>
          <cell r="E53" t="str">
            <v>Widi</v>
          </cell>
        </row>
        <row r="54">
          <cell r="C54" t="str">
            <v>Bajak Cultivator/Rotary/Spading &lt;sd&gt;</v>
          </cell>
          <cell r="D54">
            <v>1113131115</v>
          </cell>
          <cell r="E54">
            <v>0</v>
          </cell>
        </row>
        <row r="55">
          <cell r="C55" t="str">
            <v>Bajak Piringan/Disk Plow &lt;dk&gt;</v>
          </cell>
          <cell r="D55">
            <v>1113131113</v>
          </cell>
          <cell r="E55">
            <v>0</v>
          </cell>
        </row>
        <row r="56">
          <cell r="C56" t="str">
            <v>Bajak Singkal/Moldboard Plow &lt;dl&gt;</v>
          </cell>
          <cell r="D56">
            <v>1113131111</v>
          </cell>
          <cell r="E56">
            <v>0</v>
          </cell>
        </row>
        <row r="57">
          <cell r="C57" t="str">
            <v>Bakar eks Tanaman &lt;bongkar lhn&gt;</v>
          </cell>
          <cell r="D57">
            <v>1113111311</v>
          </cell>
          <cell r="E57">
            <v>0</v>
          </cell>
        </row>
        <row r="58">
          <cell r="C58" t="str">
            <v>Bakar seresah/sampah  &lt;Hpt&gt;</v>
          </cell>
          <cell r="D58">
            <v>1313151911</v>
          </cell>
          <cell r="E58">
            <v>0</v>
          </cell>
        </row>
        <row r="59">
          <cell r="C59" t="str">
            <v>Bending/pembengkokan cabang  &lt;prw&gt;</v>
          </cell>
          <cell r="D59">
            <v>1319111711</v>
          </cell>
          <cell r="E59">
            <v>0</v>
          </cell>
        </row>
        <row r="60">
          <cell r="C60" t="str">
            <v>Bongkar bahan  &lt;pbo&gt;</v>
          </cell>
          <cell r="D60">
            <v>3111131315</v>
          </cell>
          <cell r="E60">
            <v>0</v>
          </cell>
        </row>
        <row r="61">
          <cell r="C61" t="str">
            <v>Bongkar bbt pohonan di lok tanam</v>
          </cell>
          <cell r="D61">
            <v>1117152125</v>
          </cell>
          <cell r="E61">
            <v>0</v>
          </cell>
        </row>
        <row r="62">
          <cell r="C62" t="str">
            <v>Bongkar bhn pemupukan  &lt;ppk&gt;</v>
          </cell>
          <cell r="D62">
            <v>1311111315</v>
          </cell>
          <cell r="E62">
            <v>0</v>
          </cell>
        </row>
        <row r="63">
          <cell r="C63" t="str">
            <v>Bongkar bibit  &lt;pool&gt;</v>
          </cell>
          <cell r="D63">
            <v>1115191115</v>
          </cell>
          <cell r="E63">
            <v>0</v>
          </cell>
        </row>
        <row r="64">
          <cell r="C64" t="str">
            <v>Bongkar Hasil Panen</v>
          </cell>
          <cell r="D64">
            <v>1511151114</v>
          </cell>
          <cell r="E64">
            <v>0</v>
          </cell>
        </row>
        <row r="65">
          <cell r="C65" t="str">
            <v>Bongkar pasang  gearbox/pompa  &lt;ohc&gt;</v>
          </cell>
          <cell r="D65">
            <v>4111112113</v>
          </cell>
          <cell r="E65">
            <v>0</v>
          </cell>
        </row>
        <row r="66">
          <cell r="C66" t="str">
            <v>Bongkar penyangga  &lt;prw&gt;</v>
          </cell>
          <cell r="D66">
            <v>1319151315</v>
          </cell>
          <cell r="E66">
            <v>0</v>
          </cell>
        </row>
        <row r="67">
          <cell r="C67" t="str">
            <v>Bongkar/Muat/Loading Mekanis (OHC)</v>
          </cell>
          <cell r="D67">
            <v>4111113111</v>
          </cell>
          <cell r="E67">
            <v>0</v>
          </cell>
        </row>
        <row r="68">
          <cell r="C68" t="str">
            <v>Brongsong/bagging buah  &lt;prw&gt;</v>
          </cell>
          <cell r="D68">
            <v>1319171113</v>
          </cell>
          <cell r="E68">
            <v>0</v>
          </cell>
        </row>
        <row r="69">
          <cell r="C69" t="str">
            <v>Buang seresah  &lt;p.brom.&gt;</v>
          </cell>
          <cell r="D69">
            <v>3111111717</v>
          </cell>
          <cell r="E69" t="str">
            <v>Etri 1</v>
          </cell>
        </row>
        <row r="70">
          <cell r="C70" t="str">
            <v>Buat &amp; bentuk bed  &lt;ridging-bedding&gt;</v>
          </cell>
          <cell r="D70">
            <v>1113171113</v>
          </cell>
          <cell r="E70">
            <v>0</v>
          </cell>
        </row>
        <row r="71">
          <cell r="C71" t="str">
            <v>Buat bedengan manual  &lt;penyel.p.lhn&gt;</v>
          </cell>
          <cell r="D71">
            <v>1113171119</v>
          </cell>
          <cell r="E71">
            <v>0</v>
          </cell>
        </row>
        <row r="72">
          <cell r="C72" t="str">
            <v>Buat dudukan engine irigasi  &lt;ohc&gt;</v>
          </cell>
          <cell r="D72">
            <v>4111112115</v>
          </cell>
          <cell r="E72">
            <v>0</v>
          </cell>
        </row>
        <row r="73">
          <cell r="C73" t="str">
            <v>Buat gorong-2  &lt;prw.drain.&gt;</v>
          </cell>
          <cell r="D73">
            <v>1317111331</v>
          </cell>
          <cell r="E73" t="str">
            <v>Widi</v>
          </cell>
        </row>
        <row r="74">
          <cell r="C74" t="str">
            <v>Buat jalan  &lt;penyel.p.lhn&gt;</v>
          </cell>
          <cell r="D74">
            <v>1113171315</v>
          </cell>
          <cell r="E74">
            <v>0</v>
          </cell>
        </row>
        <row r="75">
          <cell r="C75" t="str">
            <v>Buat jalan &amp; saluran  &lt;penyel.p.lhn&gt;</v>
          </cell>
          <cell r="D75">
            <v>1113171311</v>
          </cell>
          <cell r="E75">
            <v>0</v>
          </cell>
        </row>
        <row r="76">
          <cell r="C76" t="str">
            <v>Buat jln &amp; sal.mek.  &lt;prw.drain.&gt;</v>
          </cell>
          <cell r="D76">
            <v>1317111325</v>
          </cell>
          <cell r="E76">
            <v>0</v>
          </cell>
        </row>
        <row r="77">
          <cell r="C77" t="str">
            <v>Buat lubang man.utk pemupukan</v>
          </cell>
          <cell r="D77">
            <v>1311131126</v>
          </cell>
          <cell r="E77">
            <v>0</v>
          </cell>
        </row>
        <row r="78">
          <cell r="C78" t="str">
            <v>Buat lubang tiang penyangga tanam</v>
          </cell>
          <cell r="D78">
            <v>1117131311</v>
          </cell>
          <cell r="E78">
            <v>0</v>
          </cell>
        </row>
        <row r="79">
          <cell r="C79" t="str">
            <v>Buat patok tanda  &lt;prw&gt;</v>
          </cell>
          <cell r="D79">
            <v>1319151311</v>
          </cell>
          <cell r="E79" t="str">
            <v>Widi</v>
          </cell>
        </row>
        <row r="80">
          <cell r="C80" t="str">
            <v>Buat patok/ajir/tanda tanam</v>
          </cell>
          <cell r="D80">
            <v>1117131111</v>
          </cell>
          <cell r="E80" t="str">
            <v>Widi</v>
          </cell>
        </row>
        <row r="81">
          <cell r="C81" t="str">
            <v>Buat/pasang patok penahan erosi</v>
          </cell>
          <cell r="D81">
            <v>1317111126</v>
          </cell>
          <cell r="E81">
            <v>0</v>
          </cell>
        </row>
        <row r="82">
          <cell r="C82" t="str">
            <v>Buat saluran  &lt;penyel.p.lhn&gt;</v>
          </cell>
          <cell r="D82">
            <v>1113171313</v>
          </cell>
          <cell r="E82">
            <v>0</v>
          </cell>
        </row>
        <row r="83">
          <cell r="C83" t="str">
            <v>Buat saluran luar mekanis  &lt;peny.lhn&gt;</v>
          </cell>
          <cell r="D83">
            <v>1113231113</v>
          </cell>
          <cell r="E83">
            <v>0</v>
          </cell>
        </row>
        <row r="84">
          <cell r="C84" t="str">
            <v>Bud (tunas bh) injection man.  &lt;Hpt&gt;</v>
          </cell>
          <cell r="D84">
            <v>1313111533</v>
          </cell>
          <cell r="E84">
            <v>0</v>
          </cell>
        </row>
        <row r="85">
          <cell r="C85" t="str">
            <v>Buka/tutup tutup sumur  &lt;ohc&gt;</v>
          </cell>
          <cell r="D85">
            <v>4111112111</v>
          </cell>
          <cell r="E85">
            <v>0</v>
          </cell>
        </row>
        <row r="86">
          <cell r="C86" t="str">
            <v>Bumbun sekitar tanam</v>
          </cell>
          <cell r="D86">
            <v>1117271511</v>
          </cell>
          <cell r="E86">
            <v>0</v>
          </cell>
        </row>
        <row r="87">
          <cell r="C87" t="str">
            <v>Bunch (tandan bh) spray man.  &lt;Hpt&gt;</v>
          </cell>
          <cell r="D87">
            <v>1313111531</v>
          </cell>
          <cell r="E87">
            <v>0</v>
          </cell>
        </row>
        <row r="88">
          <cell r="C88" t="str">
            <v>Buru Hewan Liar</v>
          </cell>
          <cell r="D88">
            <v>1313132111</v>
          </cell>
          <cell r="E88">
            <v>0</v>
          </cell>
        </row>
        <row r="89">
          <cell r="C89" t="str">
            <v>Cabut eks tnm  &lt;bongkar lhn&gt;</v>
          </cell>
          <cell r="D89">
            <v>1113111315</v>
          </cell>
          <cell r="E89" t="str">
            <v>Widi</v>
          </cell>
        </row>
        <row r="90">
          <cell r="C90" t="str">
            <v>Cabut tanaman roughing  &lt;prw&gt;</v>
          </cell>
          <cell r="D90">
            <v>1319111513</v>
          </cell>
          <cell r="E90">
            <v>0</v>
          </cell>
        </row>
        <row r="91">
          <cell r="C91" t="str">
            <v>Cabut tnm liar  &lt;p.gulma/weed.&gt;</v>
          </cell>
          <cell r="D91">
            <v>1315111511</v>
          </cell>
          <cell r="E91" t="str">
            <v>Widi</v>
          </cell>
        </row>
        <row r="92">
          <cell r="C92" t="str">
            <v>Cabut/ambil bakal bbt comb  &lt;pool&gt;</v>
          </cell>
          <cell r="D92">
            <v>1115111511</v>
          </cell>
          <cell r="E92">
            <v>0</v>
          </cell>
        </row>
        <row r="93">
          <cell r="C93" t="str">
            <v>Campur/aduk media semai/tanam</v>
          </cell>
          <cell r="D93">
            <v>1117111111</v>
          </cell>
          <cell r="E93">
            <v>0</v>
          </cell>
        </row>
        <row r="94">
          <cell r="C94" t="str">
            <v>Chopping &lt;bongk.lhn&gt;</v>
          </cell>
          <cell r="D94">
            <v>1113111511</v>
          </cell>
          <cell r="E94">
            <v>0</v>
          </cell>
        </row>
        <row r="95">
          <cell r="C95" t="str">
            <v>Colecting bibit di lok tanam</v>
          </cell>
          <cell r="D95">
            <v>1117271111</v>
          </cell>
          <cell r="E95">
            <v>0</v>
          </cell>
        </row>
        <row r="96">
          <cell r="C96" t="str">
            <v>Colecting bibit pohonan di lok tanam</v>
          </cell>
          <cell r="D96">
            <v>1117271113</v>
          </cell>
          <cell r="E96">
            <v>0</v>
          </cell>
        </row>
        <row r="97">
          <cell r="C97" t="str">
            <v>Colecting seresah/sampah  &lt;Hpt&gt;</v>
          </cell>
          <cell r="D97">
            <v>1313151111</v>
          </cell>
          <cell r="E97" t="str">
            <v>Etri 1</v>
          </cell>
        </row>
        <row r="98">
          <cell r="C98" t="str">
            <v>Collect.seresah/sisa tnm  &lt;p.lhn&gt;</v>
          </cell>
          <cell r="D98">
            <v>1113211111</v>
          </cell>
          <cell r="E98" t="str">
            <v>Etri 1</v>
          </cell>
        </row>
        <row r="99">
          <cell r="C99" t="str">
            <v>Decrowning/potong crw  &lt;prw&gt;</v>
          </cell>
          <cell r="D99">
            <v>1319111319</v>
          </cell>
          <cell r="E99">
            <v>0</v>
          </cell>
        </row>
        <row r="100">
          <cell r="C100" t="str">
            <v>Diping utk hijauan  &lt;konserv.p.lhn&gt;</v>
          </cell>
          <cell r="D100">
            <v>1113151313</v>
          </cell>
          <cell r="E100">
            <v>0</v>
          </cell>
        </row>
        <row r="101">
          <cell r="C101" t="str">
            <v>Dipping bbt asal nursery  &lt;pool.&gt;</v>
          </cell>
          <cell r="D101">
            <v>1115251517</v>
          </cell>
          <cell r="E101">
            <v>0</v>
          </cell>
        </row>
        <row r="102">
          <cell r="C102" t="str">
            <v>Dipping bbt crown  &lt;pool.&gt;</v>
          </cell>
          <cell r="D102">
            <v>1115251511</v>
          </cell>
          <cell r="E102">
            <v>0</v>
          </cell>
        </row>
        <row r="103">
          <cell r="C103" t="str">
            <v>Dipping bbt sucker  &lt;pool.&gt;</v>
          </cell>
          <cell r="D103">
            <v>1115251513</v>
          </cell>
          <cell r="E103">
            <v>0</v>
          </cell>
        </row>
        <row r="104">
          <cell r="C104" t="str">
            <v>Dipping Bibit Asal Nursery Storing</v>
          </cell>
          <cell r="D104">
            <v>1115251515</v>
          </cell>
          <cell r="E104">
            <v>0</v>
          </cell>
        </row>
        <row r="105">
          <cell r="C105" t="str">
            <v>Dipping macro section batang  &lt;pool.&gt;</v>
          </cell>
          <cell r="D105">
            <v>1115251311</v>
          </cell>
          <cell r="E105">
            <v>0</v>
          </cell>
        </row>
        <row r="106">
          <cell r="C106" t="str">
            <v>Dipping micro section crown  &lt;pool.&gt;</v>
          </cell>
          <cell r="D106">
            <v>1115251315</v>
          </cell>
          <cell r="E106">
            <v>0</v>
          </cell>
        </row>
        <row r="107">
          <cell r="C107" t="str">
            <v>Dleafing (pks daun/ranting daun)  &lt;Hpt&gt;</v>
          </cell>
          <cell r="D107">
            <v>1313131113</v>
          </cell>
          <cell r="E107">
            <v>0</v>
          </cell>
        </row>
        <row r="108">
          <cell r="C108" t="str">
            <v>Ecer bbt asal nursery sect. besar</v>
          </cell>
          <cell r="D108">
            <v>1117211713</v>
          </cell>
          <cell r="E108">
            <v>0</v>
          </cell>
        </row>
        <row r="109">
          <cell r="C109" t="str">
            <v>Ecer bbt asal nursery sect. kecil</v>
          </cell>
          <cell r="D109">
            <v>1117211717</v>
          </cell>
          <cell r="E109">
            <v>0</v>
          </cell>
        </row>
        <row r="110">
          <cell r="C110" t="str">
            <v>Ecer bbt asal nursery sect. sedang</v>
          </cell>
          <cell r="D110">
            <v>1117211715</v>
          </cell>
          <cell r="E110">
            <v>0</v>
          </cell>
        </row>
        <row r="111">
          <cell r="C111" t="str">
            <v>Ecer bbt crown besar</v>
          </cell>
          <cell r="D111">
            <v>1117211113</v>
          </cell>
          <cell r="E111">
            <v>0</v>
          </cell>
        </row>
        <row r="112">
          <cell r="C112" t="str">
            <v>Ecer bbt crown kecil</v>
          </cell>
          <cell r="D112">
            <v>1117211117</v>
          </cell>
          <cell r="E112">
            <v>0</v>
          </cell>
        </row>
        <row r="113">
          <cell r="C113" t="str">
            <v>Ecer bbt crown sedang</v>
          </cell>
          <cell r="D113">
            <v>1117211115</v>
          </cell>
          <cell r="E113">
            <v>0</v>
          </cell>
        </row>
        <row r="114">
          <cell r="C114" t="str">
            <v>Ecer bbt kecil utk bed.nurs.storing</v>
          </cell>
          <cell r="D114">
            <v>1117191117</v>
          </cell>
          <cell r="E114">
            <v>0</v>
          </cell>
        </row>
        <row r="115">
          <cell r="C115" t="str">
            <v>Ecer bbt nurs.kcl utk bed.nurs.replant.</v>
          </cell>
          <cell r="D115">
            <v>1117191317</v>
          </cell>
          <cell r="E115">
            <v>0</v>
          </cell>
        </row>
        <row r="116">
          <cell r="C116" t="str">
            <v>Ecer bbt nurs.storing sedang</v>
          </cell>
          <cell r="D116">
            <v>1117211515</v>
          </cell>
          <cell r="E116">
            <v>0</v>
          </cell>
        </row>
        <row r="117">
          <cell r="C117" t="str">
            <v>Ecer bbt pohonan</v>
          </cell>
          <cell r="D117">
            <v>1117212511</v>
          </cell>
          <cell r="E117">
            <v>0</v>
          </cell>
        </row>
        <row r="118">
          <cell r="C118" t="str">
            <v>Ecer bbt stek batang pendek</v>
          </cell>
          <cell r="D118">
            <v>1117212311</v>
          </cell>
          <cell r="E118">
            <v>0</v>
          </cell>
        </row>
        <row r="119">
          <cell r="C119" t="str">
            <v>Ecer bbt sucker besar</v>
          </cell>
          <cell r="D119">
            <v>1117211313</v>
          </cell>
          <cell r="E119">
            <v>0</v>
          </cell>
        </row>
        <row r="120">
          <cell r="C120" t="str">
            <v>Ecer bbt sucker kecil</v>
          </cell>
          <cell r="D120">
            <v>1117211317</v>
          </cell>
          <cell r="E120">
            <v>0</v>
          </cell>
        </row>
        <row r="121">
          <cell r="C121" t="str">
            <v>Ecer bbt sucker sedang</v>
          </cell>
          <cell r="D121">
            <v>1117211315</v>
          </cell>
          <cell r="E121">
            <v>0</v>
          </cell>
        </row>
        <row r="122">
          <cell r="C122" t="str">
            <v>Ecer Bibit Nursery Storing besar</v>
          </cell>
          <cell r="D122">
            <v>1117211513</v>
          </cell>
          <cell r="E122">
            <v>0</v>
          </cell>
        </row>
        <row r="123">
          <cell r="C123" t="str">
            <v>Ecer makro section btg utk bed.nurs.</v>
          </cell>
          <cell r="D123">
            <v>1117191511</v>
          </cell>
          <cell r="E123">
            <v>0</v>
          </cell>
        </row>
        <row r="124">
          <cell r="C124" t="str">
            <v>Ecer man.bhn pemupukan  &lt;ppk&gt;</v>
          </cell>
          <cell r="D124">
            <v>1311111511</v>
          </cell>
          <cell r="E124">
            <v>0</v>
          </cell>
        </row>
        <row r="125">
          <cell r="C125" t="str">
            <v>Eradikasi/cabut tanaman  &lt;Hpt&gt;</v>
          </cell>
          <cell r="D125">
            <v>1313131111</v>
          </cell>
          <cell r="E125" t="str">
            <v>Nugroho</v>
          </cell>
        </row>
        <row r="126">
          <cell r="C126" t="str">
            <v>Forcing 1 (satu) mek.</v>
          </cell>
          <cell r="D126">
            <v>1321111111</v>
          </cell>
          <cell r="E126">
            <v>0</v>
          </cell>
        </row>
        <row r="127">
          <cell r="C127" t="str">
            <v>Forcing 2 (dua) man.</v>
          </cell>
          <cell r="D127">
            <v>1321111315</v>
          </cell>
          <cell r="E127" t="str">
            <v>Nugroho</v>
          </cell>
        </row>
        <row r="128">
          <cell r="C128" t="str">
            <v>Forcing 2 (dua) mek.</v>
          </cell>
          <cell r="D128">
            <v>1321111311</v>
          </cell>
          <cell r="E128">
            <v>0</v>
          </cell>
        </row>
        <row r="129">
          <cell r="C129" t="str">
            <v>Forcing 2 (dua) semi.mek.</v>
          </cell>
          <cell r="D129">
            <v>1321111313</v>
          </cell>
          <cell r="E129" t="str">
            <v>Nugroho</v>
          </cell>
        </row>
        <row r="130">
          <cell r="C130" t="str">
            <v>Forcing 3 ! (tiga) … man.</v>
          </cell>
          <cell r="D130">
            <v>1321111515</v>
          </cell>
          <cell r="E130" t="str">
            <v>Nugroho</v>
          </cell>
        </row>
        <row r="131">
          <cell r="C131" t="str">
            <v>Forcing 3 ! (tiga) … mek.</v>
          </cell>
          <cell r="D131">
            <v>1321111511</v>
          </cell>
          <cell r="E131">
            <v>0</v>
          </cell>
        </row>
        <row r="132">
          <cell r="C132" t="str">
            <v>Forcing 3 ! (tiga) … semi.mek.</v>
          </cell>
          <cell r="D132">
            <v>1321111513</v>
          </cell>
          <cell r="E132" t="str">
            <v>Nugroho</v>
          </cell>
        </row>
        <row r="133">
          <cell r="C133" t="str">
            <v>Gali jalur pipa irigasi</v>
          </cell>
          <cell r="D133">
            <v>1323131311</v>
          </cell>
          <cell r="E133">
            <v>0</v>
          </cell>
        </row>
        <row r="134">
          <cell r="C134" t="str">
            <v>Gali mek. buat sal.primer  &lt;inv.&gt;</v>
          </cell>
          <cell r="D134">
            <v>5111211111</v>
          </cell>
          <cell r="E134">
            <v>0</v>
          </cell>
        </row>
        <row r="135">
          <cell r="C135" t="str">
            <v>Gali mek. prw sal.primer  &lt;inv.&gt;</v>
          </cell>
          <cell r="D135">
            <v>5111211113</v>
          </cell>
          <cell r="E135">
            <v>0</v>
          </cell>
        </row>
        <row r="136">
          <cell r="C136" t="str">
            <v>Gali pendalaman lebung/bendungan  &lt;inv.&gt;</v>
          </cell>
          <cell r="D136">
            <v>5111211131</v>
          </cell>
          <cell r="E136">
            <v>0</v>
          </cell>
        </row>
        <row r="137">
          <cell r="C137" t="str">
            <v>Gali saluran man.  &lt;prw.drain.&gt;</v>
          </cell>
          <cell r="D137">
            <v>1317111311</v>
          </cell>
          <cell r="E137" t="str">
            <v>Widi</v>
          </cell>
        </row>
        <row r="138">
          <cell r="C138" t="str">
            <v>Gali saluran mek.  &lt;prw.drain.&gt;</v>
          </cell>
          <cell r="D138">
            <v>1317111315</v>
          </cell>
          <cell r="E138">
            <v>0</v>
          </cell>
        </row>
        <row r="139">
          <cell r="C139" t="str">
            <v>Gali/ambil mat.timbun mek. &lt;prw.drain.&gt;</v>
          </cell>
          <cell r="D139">
            <v>1317131111</v>
          </cell>
          <cell r="E139">
            <v>0</v>
          </cell>
        </row>
        <row r="140">
          <cell r="C140" t="str">
            <v>Gali/buat lubang tanam man.</v>
          </cell>
          <cell r="D140">
            <v>1117131511</v>
          </cell>
          <cell r="E140">
            <v>0</v>
          </cell>
        </row>
        <row r="141">
          <cell r="C141" t="str">
            <v>Gali/Perataan Material Mekanis (OHC)</v>
          </cell>
          <cell r="D141">
            <v>4111113113</v>
          </cell>
          <cell r="E141">
            <v>0</v>
          </cell>
        </row>
        <row r="142">
          <cell r="C142" t="str">
            <v>Herb.border/perimeter man.</v>
          </cell>
          <cell r="D142">
            <v>1315131517</v>
          </cell>
          <cell r="E142" t="str">
            <v>Etri 2</v>
          </cell>
        </row>
        <row r="143">
          <cell r="C143" t="str">
            <v>Herb.border/perimeter mek.</v>
          </cell>
          <cell r="D143">
            <v>1315131117</v>
          </cell>
          <cell r="E143">
            <v>0</v>
          </cell>
        </row>
        <row r="144">
          <cell r="C144" t="str">
            <v>Herb.border/perimeter semi mek.</v>
          </cell>
          <cell r="D144">
            <v>1315131317</v>
          </cell>
          <cell r="E144" t="str">
            <v>Etri 2</v>
          </cell>
        </row>
        <row r="145">
          <cell r="C145" t="str">
            <v>Herb.post plant./emerg. mek.</v>
          </cell>
          <cell r="D145">
            <v>1315131113</v>
          </cell>
          <cell r="E145">
            <v>0</v>
          </cell>
        </row>
        <row r="146">
          <cell r="C146" t="str">
            <v>Herb.post plant./emerg. semi mek.</v>
          </cell>
          <cell r="D146">
            <v>1315131313</v>
          </cell>
          <cell r="E146" t="str">
            <v>Nugroho</v>
          </cell>
        </row>
        <row r="147">
          <cell r="C147" t="str">
            <v>Herb.pre plant./emerg. mek.</v>
          </cell>
          <cell r="D147">
            <v>1315131111</v>
          </cell>
          <cell r="E147">
            <v>0</v>
          </cell>
        </row>
        <row r="148">
          <cell r="C148" t="str">
            <v>Herb.pre plant./emerg. semi mek.</v>
          </cell>
          <cell r="D148">
            <v>1315131311</v>
          </cell>
          <cell r="E148" t="str">
            <v>Nugroho</v>
          </cell>
        </row>
        <row r="149">
          <cell r="C149" t="str">
            <v>Herbisida bongkar man./spot</v>
          </cell>
          <cell r="D149">
            <v>1113111113</v>
          </cell>
          <cell r="E149" t="str">
            <v>Etri 2</v>
          </cell>
        </row>
        <row r="150">
          <cell r="C150" t="str">
            <v>Herbisida bongkar spray</v>
          </cell>
          <cell r="D150">
            <v>1113111111</v>
          </cell>
          <cell r="E150" t="str">
            <v>Etri 2</v>
          </cell>
        </row>
        <row r="151">
          <cell r="C151" t="str">
            <v>Herbisida booster Mekanis</v>
          </cell>
          <cell r="D151">
            <v>1315131123</v>
          </cell>
          <cell r="E151">
            <v>0</v>
          </cell>
        </row>
        <row r="152">
          <cell r="C152" t="str">
            <v>Herbisida jalan mek.</v>
          </cell>
          <cell r="D152">
            <v>1315131115</v>
          </cell>
          <cell r="E152" t="str">
            <v>Etri 2</v>
          </cell>
        </row>
        <row r="153">
          <cell r="C153" t="str">
            <v>Herbisida jalan semi mek.</v>
          </cell>
          <cell r="D153">
            <v>1315131315</v>
          </cell>
          <cell r="E153" t="str">
            <v>Etri 2</v>
          </cell>
        </row>
        <row r="154">
          <cell r="C154" t="str">
            <v>Herbisida antar gulud manual</v>
          </cell>
          <cell r="D154">
            <v>1315131515</v>
          </cell>
          <cell r="E154" t="str">
            <v>Etri 2</v>
          </cell>
        </row>
        <row r="155">
          <cell r="C155" t="str">
            <v>Herbisida lebung mek.</v>
          </cell>
          <cell r="D155">
            <v>1315131119</v>
          </cell>
          <cell r="E155">
            <v>0</v>
          </cell>
        </row>
        <row r="156">
          <cell r="C156" t="str">
            <v>Herbisida Pre Plant. man. spray</v>
          </cell>
          <cell r="D156">
            <v>1315131511</v>
          </cell>
          <cell r="E156" t="str">
            <v>Etri 2</v>
          </cell>
        </row>
        <row r="157">
          <cell r="C157" t="str">
            <v>Herb. Luar perimeter semi mekanik</v>
          </cell>
          <cell r="D157">
            <v>1315131319</v>
          </cell>
          <cell r="E157" t="str">
            <v>Etri 2</v>
          </cell>
        </row>
        <row r="158">
          <cell r="C158" t="str">
            <v>Herbisida spot man.</v>
          </cell>
          <cell r="D158">
            <v>1315131513</v>
          </cell>
          <cell r="E158" t="str">
            <v>Etri 2</v>
          </cell>
        </row>
        <row r="159">
          <cell r="C159" t="str">
            <v>Instalasi pipa irigasi</v>
          </cell>
          <cell r="D159">
            <v>1323131315</v>
          </cell>
          <cell r="E159" t="str">
            <v>Irwan</v>
          </cell>
        </row>
        <row r="160">
          <cell r="C160" t="str">
            <v>Isi polibag/media semai/tanam</v>
          </cell>
          <cell r="D160">
            <v>1117111315</v>
          </cell>
          <cell r="E160">
            <v>0</v>
          </cell>
        </row>
        <row r="161">
          <cell r="C161" t="str">
            <v>Jaga dan pengawasan ops.irigasi</v>
          </cell>
          <cell r="D161">
            <v>1323171111</v>
          </cell>
          <cell r="E161" t="str">
            <v>Irwan</v>
          </cell>
        </row>
        <row r="162">
          <cell r="C162" t="str">
            <v>Jaga pengamanan peralatan irigasi</v>
          </cell>
          <cell r="D162">
            <v>1323171113</v>
          </cell>
          <cell r="E162" t="str">
            <v>Irwan</v>
          </cell>
        </row>
        <row r="163">
          <cell r="C163" t="str">
            <v>Kawal/tarik labita  &lt;umum&gt;</v>
          </cell>
          <cell r="D163">
            <v>1911211111</v>
          </cell>
          <cell r="E163">
            <v>0</v>
          </cell>
        </row>
        <row r="164">
          <cell r="C164" t="str">
            <v>Kawal/tarik pemanenan  &lt;umum&gt;</v>
          </cell>
          <cell r="D164">
            <v>1911211511</v>
          </cell>
          <cell r="E164">
            <v>0</v>
          </cell>
        </row>
        <row r="165">
          <cell r="C165" t="str">
            <v>Kawal/tarik perawatan  &lt;umum&gt;</v>
          </cell>
          <cell r="D165">
            <v>1911211311</v>
          </cell>
          <cell r="E165">
            <v>0</v>
          </cell>
        </row>
        <row r="166">
          <cell r="C166" t="str">
            <v>Kolekt.bbt crown di lok.bbt  &lt;pool.&gt;</v>
          </cell>
          <cell r="D166">
            <v>1115171311</v>
          </cell>
          <cell r="E166">
            <v>0</v>
          </cell>
        </row>
        <row r="167">
          <cell r="C167" t="str">
            <v>Koret pinggiran jln plot  &lt;prw&gt;</v>
          </cell>
          <cell r="D167">
            <v>1315111314</v>
          </cell>
          <cell r="E167" t="str">
            <v>Etri 1</v>
          </cell>
        </row>
        <row r="168">
          <cell r="C168" t="str">
            <v>Koret sekitar tanam</v>
          </cell>
          <cell r="D168">
            <v>1117271711</v>
          </cell>
          <cell r="E168">
            <v>0</v>
          </cell>
        </row>
        <row r="169">
          <cell r="C169" t="str">
            <v>Kupas bonggol  &lt;p.brom.&gt;</v>
          </cell>
          <cell r="D169">
            <v>3111111113</v>
          </cell>
          <cell r="E169">
            <v>0</v>
          </cell>
        </row>
        <row r="170">
          <cell r="C170" t="str">
            <v>Loading Hasil Panen (Shovel)</v>
          </cell>
          <cell r="D170">
            <v>1511151315</v>
          </cell>
          <cell r="E170">
            <v>0</v>
          </cell>
        </row>
        <row r="171">
          <cell r="C171" t="str">
            <v>Mengeluarkan bibit crown  &lt;pool&gt;</v>
          </cell>
          <cell r="D171">
            <v>1115151115</v>
          </cell>
          <cell r="E171">
            <v>0</v>
          </cell>
        </row>
        <row r="172">
          <cell r="C172" t="str">
            <v>Muat &amp; bongkar bibit  &lt;pool&gt;</v>
          </cell>
          <cell r="D172">
            <v>1115191113</v>
          </cell>
          <cell r="E172">
            <v>0</v>
          </cell>
        </row>
        <row r="173">
          <cell r="C173" t="str">
            <v>Muat &amp; bongkar bonggol  &lt;p.brom.&gt;</v>
          </cell>
          <cell r="D173">
            <v>3111111313</v>
          </cell>
          <cell r="E173">
            <v>0</v>
          </cell>
        </row>
        <row r="174">
          <cell r="C174" t="str">
            <v>Muat &amp; bongkar hasil panen</v>
          </cell>
          <cell r="D174">
            <v>1511151113</v>
          </cell>
          <cell r="E174" t="str">
            <v>Etri 1</v>
          </cell>
        </row>
        <row r="175">
          <cell r="C175" t="str">
            <v>Muat &amp; bongkar seresah/sampah  &lt;Hpt&gt;</v>
          </cell>
          <cell r="D175">
            <v>1313151513</v>
          </cell>
          <cell r="E175" t="str">
            <v>Nugroho</v>
          </cell>
        </row>
        <row r="176">
          <cell r="C176" t="str">
            <v>Muat bahan  &lt;pbo&gt;</v>
          </cell>
          <cell r="D176">
            <v>3111131311</v>
          </cell>
          <cell r="E176">
            <v>0</v>
          </cell>
        </row>
        <row r="177">
          <cell r="C177" t="str">
            <v>Muat bbt pohonan ke lok tanam</v>
          </cell>
          <cell r="D177">
            <v>1117152121</v>
          </cell>
          <cell r="E177">
            <v>0</v>
          </cell>
        </row>
        <row r="178">
          <cell r="C178" t="str">
            <v>Muat bhn pemupukan  &lt;ppk&gt;</v>
          </cell>
          <cell r="D178">
            <v>1311111311</v>
          </cell>
          <cell r="E178" t="str">
            <v>Irwan</v>
          </cell>
        </row>
        <row r="179">
          <cell r="C179" t="str">
            <v>Muat bibit  &lt;pool&gt;</v>
          </cell>
          <cell r="D179">
            <v>1115191111</v>
          </cell>
          <cell r="E179">
            <v>0</v>
          </cell>
        </row>
        <row r="180">
          <cell r="C180" t="str">
            <v>Muat bongk.bakal bbt bonggol  &lt;pool&gt;</v>
          </cell>
          <cell r="D180">
            <v>1115191123</v>
          </cell>
          <cell r="E180">
            <v>0</v>
          </cell>
        </row>
        <row r="181">
          <cell r="C181" t="str">
            <v>Muat bongk.bbt hijauan  &lt;konserv.p.lhn&gt;</v>
          </cell>
          <cell r="D181">
            <v>1113151315</v>
          </cell>
          <cell r="E181">
            <v>0</v>
          </cell>
        </row>
        <row r="182">
          <cell r="C182" t="str">
            <v>Muat bongk.bbt pohonan  &lt;pool&gt;</v>
          </cell>
          <cell r="D182">
            <v>1115192123</v>
          </cell>
          <cell r="E182">
            <v>0</v>
          </cell>
        </row>
        <row r="183">
          <cell r="C183" t="str">
            <v>Muat bongk.pnn hijauan  &lt;konserv.p.lhn&gt;</v>
          </cell>
          <cell r="D183">
            <v>1113152115</v>
          </cell>
          <cell r="E183">
            <v>0</v>
          </cell>
        </row>
        <row r="184">
          <cell r="C184" t="str">
            <v>Muat bongkar bbt bsr ke lok.tanam</v>
          </cell>
          <cell r="D184">
            <v>1117151113</v>
          </cell>
          <cell r="E184">
            <v>0</v>
          </cell>
        </row>
        <row r="185">
          <cell r="C185" t="str">
            <v>Muat bongkar bbt btg pjg ke lok tanam</v>
          </cell>
          <cell r="D185">
            <v>1117152113</v>
          </cell>
          <cell r="E185">
            <v>0</v>
          </cell>
        </row>
        <row r="186">
          <cell r="C186" t="str">
            <v>Muat bongkar bbt kcl ke lok.tanam</v>
          </cell>
          <cell r="D186">
            <v>1117151117</v>
          </cell>
          <cell r="E186">
            <v>0</v>
          </cell>
        </row>
        <row r="187">
          <cell r="C187" t="str">
            <v>Muat bongkar bbt non kls ke lok.tanam</v>
          </cell>
          <cell r="D187">
            <v>1117151119</v>
          </cell>
          <cell r="E187">
            <v>0</v>
          </cell>
        </row>
        <row r="188">
          <cell r="C188" t="str">
            <v>Muat bongkar bbt pohonan ke lok tanam</v>
          </cell>
          <cell r="D188">
            <v>1117152123</v>
          </cell>
          <cell r="E188">
            <v>0</v>
          </cell>
        </row>
        <row r="189">
          <cell r="C189" t="str">
            <v>Muat bongkar bbt sdg ke lok.tanam</v>
          </cell>
          <cell r="D189">
            <v>1117151115</v>
          </cell>
          <cell r="E189">
            <v>0</v>
          </cell>
        </row>
        <row r="190">
          <cell r="C190" t="str">
            <v>Muat bongkar bhn pemupukan  &lt;ppk&gt;</v>
          </cell>
          <cell r="D190">
            <v>1311111313</v>
          </cell>
          <cell r="E190">
            <v>0</v>
          </cell>
        </row>
        <row r="191">
          <cell r="C191" t="str">
            <v>Muat dan bongkar bahan  &lt;pbo&gt;</v>
          </cell>
          <cell r="D191">
            <v>3111131313</v>
          </cell>
          <cell r="E191">
            <v>0</v>
          </cell>
        </row>
        <row r="192">
          <cell r="C192" t="str">
            <v>Muat dan bongkar pipa irigasi</v>
          </cell>
          <cell r="D192">
            <v>1323111113</v>
          </cell>
          <cell r="E192" t="str">
            <v>Irwan</v>
          </cell>
        </row>
        <row r="193">
          <cell r="C193" t="str">
            <v>Muat Hasil Panen</v>
          </cell>
          <cell r="D193">
            <v>1511151112</v>
          </cell>
          <cell r="E193" t="str">
            <v>Etri 1</v>
          </cell>
        </row>
        <row r="194">
          <cell r="C194" t="str">
            <v>Muat/buang seresah/sisa tnm  &lt;p.lhn&gt;</v>
          </cell>
          <cell r="D194">
            <v>1113211115</v>
          </cell>
          <cell r="E194" t="str">
            <v>Etri 1</v>
          </cell>
        </row>
        <row r="195">
          <cell r="C195" t="str">
            <v>Panen hijauan   &lt;konserv.lhn&gt;</v>
          </cell>
          <cell r="D195">
            <v>1113152111</v>
          </cell>
          <cell r="E195">
            <v>0</v>
          </cell>
        </row>
        <row r="196">
          <cell r="C196" t="str">
            <v>Panen man.alami</v>
          </cell>
          <cell r="D196">
            <v>1511111519</v>
          </cell>
          <cell r="E196" t="str">
            <v>Etri 1</v>
          </cell>
        </row>
        <row r="197">
          <cell r="C197" t="str">
            <v>Panen Manual Pinggiran</v>
          </cell>
          <cell r="D197">
            <v>1511111533</v>
          </cell>
          <cell r="E197" t="str">
            <v>Etri 1</v>
          </cell>
        </row>
        <row r="198">
          <cell r="C198" t="str">
            <v>Panen man.kolekting</v>
          </cell>
          <cell r="D198">
            <v>1511111517</v>
          </cell>
          <cell r="E198">
            <v>0</v>
          </cell>
        </row>
        <row r="199">
          <cell r="C199" t="str">
            <v>Panen man.rampet</v>
          </cell>
          <cell r="D199">
            <v>1511111511</v>
          </cell>
          <cell r="E199" t="str">
            <v>Etri 1</v>
          </cell>
        </row>
        <row r="200">
          <cell r="C200" t="str">
            <v>Panen man.selek. bh segar (fresh.fr.)</v>
          </cell>
          <cell r="D200">
            <v>1511111515</v>
          </cell>
          <cell r="E200">
            <v>0</v>
          </cell>
        </row>
        <row r="201">
          <cell r="C201" t="str">
            <v>Panen man.selektif</v>
          </cell>
          <cell r="D201">
            <v>1511111513</v>
          </cell>
          <cell r="E201" t="str">
            <v>Etri 1</v>
          </cell>
        </row>
        <row r="202">
          <cell r="C202" t="str">
            <v>Panen mek.rampet</v>
          </cell>
          <cell r="D202">
            <v>1511111111</v>
          </cell>
          <cell r="E202">
            <v>0</v>
          </cell>
        </row>
        <row r="203">
          <cell r="C203" t="str">
            <v>Panen mek.selektif pertama</v>
          </cell>
          <cell r="D203">
            <v>1511111113</v>
          </cell>
          <cell r="E203">
            <v>0</v>
          </cell>
        </row>
        <row r="204">
          <cell r="C204" t="str">
            <v>Panen mek.selektif rampet</v>
          </cell>
          <cell r="D204">
            <v>1511111115</v>
          </cell>
          <cell r="E204">
            <v>0</v>
          </cell>
        </row>
        <row r="205">
          <cell r="C205" t="str">
            <v>Panen mek.selektif ulang</v>
          </cell>
          <cell r="D205">
            <v>1511111117</v>
          </cell>
          <cell r="E205">
            <v>0</v>
          </cell>
        </row>
        <row r="206">
          <cell r="C206" t="str">
            <v>Pangkas bbt sucker besar  &lt;pool&gt;</v>
          </cell>
          <cell r="D206">
            <v>1115231311</v>
          </cell>
          <cell r="E206">
            <v>0</v>
          </cell>
        </row>
        <row r="207">
          <cell r="C207" t="str">
            <v>Pangkas bentuk (cabang/ranting)  &lt;prw&gt;</v>
          </cell>
          <cell r="D207">
            <v>1319111315</v>
          </cell>
          <cell r="E207">
            <v>0</v>
          </cell>
        </row>
        <row r="208">
          <cell r="C208" t="str">
            <v>Pangkas daun/pelepah  &lt;prw&gt;</v>
          </cell>
          <cell r="D208">
            <v>1319111311</v>
          </cell>
          <cell r="E208">
            <v>0</v>
          </cell>
        </row>
        <row r="209">
          <cell r="C209" t="str">
            <v>Pangkas penjarangan rumpun/pohon  &lt;prw&gt;</v>
          </cell>
          <cell r="D209">
            <v>1319111115</v>
          </cell>
          <cell r="E209">
            <v>0</v>
          </cell>
        </row>
        <row r="210">
          <cell r="C210" t="str">
            <v>Pangkas tanaman roughing  &lt;prw&gt;</v>
          </cell>
          <cell r="D210">
            <v>1319111515</v>
          </cell>
          <cell r="E210">
            <v>0</v>
          </cell>
        </row>
        <row r="211">
          <cell r="C211" t="str">
            <v>Pasang mulsa man.  &lt;peny.lhn&gt;</v>
          </cell>
          <cell r="D211">
            <v>1113231915</v>
          </cell>
          <cell r="E211">
            <v>0</v>
          </cell>
        </row>
        <row r="212">
          <cell r="C212" t="str">
            <v>Pasang patok/ajir/tanda tanam</v>
          </cell>
          <cell r="D212">
            <v>1117131113</v>
          </cell>
          <cell r="E212" t="str">
            <v>Widi</v>
          </cell>
        </row>
        <row r="213">
          <cell r="C213" t="str">
            <v>Pasang ram penyangga tanam</v>
          </cell>
          <cell r="D213">
            <v>1117131317</v>
          </cell>
          <cell r="E213">
            <v>0</v>
          </cell>
        </row>
        <row r="214">
          <cell r="C214" t="str">
            <v>Pasang tiang penyangga tanam</v>
          </cell>
          <cell r="D214">
            <v>1117131313</v>
          </cell>
          <cell r="E214">
            <v>0</v>
          </cell>
        </row>
        <row r="215">
          <cell r="C215" t="str">
            <v>Pemadatan jalan mek.  &lt;prw.drain.&gt;</v>
          </cell>
          <cell r="D215">
            <v>1317111125</v>
          </cell>
          <cell r="E215">
            <v>0</v>
          </cell>
        </row>
        <row r="216">
          <cell r="C216" t="str">
            <v>Pemadatan jalan seksi  &lt;peny.lhn&gt;</v>
          </cell>
          <cell r="D216">
            <v>1113231513</v>
          </cell>
          <cell r="E216">
            <v>0</v>
          </cell>
        </row>
        <row r="217">
          <cell r="C217" t="str">
            <v>Pemanenan dan Trasnport Customer</v>
          </cell>
          <cell r="D217">
            <v>1511211313</v>
          </cell>
          <cell r="E217">
            <v>0</v>
          </cell>
        </row>
        <row r="218">
          <cell r="C218" t="str">
            <v>Pematokan Jalan dan Saluran &lt;peny.lhn&gt;</v>
          </cell>
          <cell r="D218">
            <v>1113191113</v>
          </cell>
          <cell r="E218">
            <v>0</v>
          </cell>
        </row>
        <row r="219">
          <cell r="C219" t="str">
            <v>Pembelian bbt  &lt;pool.&gt;</v>
          </cell>
          <cell r="D219">
            <v>1115812911</v>
          </cell>
          <cell r="E219">
            <v>0</v>
          </cell>
        </row>
        <row r="220">
          <cell r="C220" t="str">
            <v>Pembentukan bed  &lt;bedding&gt;</v>
          </cell>
          <cell r="D220">
            <v>1113171115</v>
          </cell>
          <cell r="E220">
            <v>0</v>
          </cell>
        </row>
        <row r="221">
          <cell r="C221" t="str">
            <v>Pembentukan Kontur/Land Form  &lt;inv.&gt;</v>
          </cell>
          <cell r="D221">
            <v>5111151313</v>
          </cell>
          <cell r="E221">
            <v>0</v>
          </cell>
        </row>
        <row r="222">
          <cell r="C222" t="str">
            <v>Pembuatan bendungan  &lt;inv.&gt;</v>
          </cell>
          <cell r="D222">
            <v>5111211133</v>
          </cell>
          <cell r="E222">
            <v>0</v>
          </cell>
        </row>
        <row r="223">
          <cell r="C223" t="str">
            <v>Pembuatan Gulud &lt;Ridging&gt;</v>
          </cell>
          <cell r="D223">
            <v>1113171111</v>
          </cell>
          <cell r="E223">
            <v>0</v>
          </cell>
        </row>
        <row r="224">
          <cell r="C224" t="str">
            <v>Pembuatan Gulud dan Pupuk Palir</v>
          </cell>
          <cell r="D224">
            <v>1113171112</v>
          </cell>
          <cell r="E224">
            <v>0</v>
          </cell>
        </row>
        <row r="225">
          <cell r="C225" t="str">
            <v>Pembuatan peta luas  &lt;peny.lhn&gt;</v>
          </cell>
          <cell r="D225">
            <v>1113191517</v>
          </cell>
          <cell r="E225">
            <v>0</v>
          </cell>
        </row>
        <row r="226">
          <cell r="C226" t="str">
            <v>Pembuatan peta topografi  &lt;peny.lhn&gt;</v>
          </cell>
          <cell r="D226">
            <v>1113191515</v>
          </cell>
          <cell r="E226">
            <v>0</v>
          </cell>
        </row>
        <row r="227">
          <cell r="C227" t="str">
            <v>Penandaan panen  &lt;prw&gt;</v>
          </cell>
          <cell r="D227">
            <v>1319151313</v>
          </cell>
          <cell r="E227">
            <v>0</v>
          </cell>
        </row>
        <row r="228">
          <cell r="C228" t="str">
            <v>Penandaan sarang semut  &lt;Hpt&gt;</v>
          </cell>
          <cell r="D228">
            <v>1313211111</v>
          </cell>
          <cell r="E228">
            <v>0</v>
          </cell>
        </row>
        <row r="229">
          <cell r="C229" t="str">
            <v>Pengadukan bahan  &lt;pbo&gt;</v>
          </cell>
          <cell r="D229">
            <v>3111131111</v>
          </cell>
          <cell r="E229">
            <v>0</v>
          </cell>
        </row>
        <row r="230">
          <cell r="C230" t="str">
            <v>Pengadukan/Pencampuran Mekanis (OHC)</v>
          </cell>
          <cell r="D230">
            <v>4111113115</v>
          </cell>
          <cell r="E230">
            <v>0</v>
          </cell>
        </row>
        <row r="231">
          <cell r="C231" t="str">
            <v>Pengam.aplik.(p.gulma) spray</v>
          </cell>
          <cell r="D231">
            <v>1315511511</v>
          </cell>
          <cell r="E231">
            <v>0</v>
          </cell>
        </row>
        <row r="232">
          <cell r="C232" t="str">
            <v>Pengam.aplik.(p.hpt) spray</v>
          </cell>
          <cell r="D232">
            <v>1313511311</v>
          </cell>
          <cell r="E232">
            <v>0</v>
          </cell>
        </row>
        <row r="233">
          <cell r="C233" t="str">
            <v>Pengam.aplik.(pemupukan) spray</v>
          </cell>
          <cell r="D233">
            <v>1311511111</v>
          </cell>
          <cell r="E233">
            <v>0</v>
          </cell>
        </row>
        <row r="234">
          <cell r="C234" t="str">
            <v>Pengam.bbt tertinggal di lok.</v>
          </cell>
          <cell r="D234">
            <v>1115511115</v>
          </cell>
          <cell r="E234">
            <v>0</v>
          </cell>
        </row>
        <row r="235">
          <cell r="C235" t="str">
            <v>Pengam.dist.bh/kematangan</v>
          </cell>
          <cell r="D235">
            <v>1511511113</v>
          </cell>
          <cell r="E235">
            <v>0</v>
          </cell>
        </row>
        <row r="236">
          <cell r="C236" t="str">
            <v>Pengam.jln dan saluran  &lt;p.lhn&gt;</v>
          </cell>
          <cell r="D236">
            <v>1113512511</v>
          </cell>
          <cell r="E236">
            <v>0</v>
          </cell>
        </row>
        <row r="237">
          <cell r="C237" t="str">
            <v>Pengam.kebersihan pnn (bh/crw)</v>
          </cell>
          <cell r="D237">
            <v>1511511111</v>
          </cell>
          <cell r="E237">
            <v>0</v>
          </cell>
        </row>
        <row r="238">
          <cell r="C238" t="str">
            <v>Pengam.kematangan dalam</v>
          </cell>
          <cell r="D238">
            <v>1511511115</v>
          </cell>
          <cell r="E238">
            <v>0</v>
          </cell>
        </row>
        <row r="239">
          <cell r="C239" t="str">
            <v>Pengam.kualitas drop bbt</v>
          </cell>
          <cell r="D239">
            <v>1117511311</v>
          </cell>
          <cell r="E239">
            <v>0</v>
          </cell>
        </row>
        <row r="240">
          <cell r="C240" t="str">
            <v>Pengam.kualitas ecer bbt</v>
          </cell>
          <cell r="D240">
            <v>1117511313</v>
          </cell>
          <cell r="E240">
            <v>0</v>
          </cell>
        </row>
        <row r="241">
          <cell r="C241" t="str">
            <v>Pengam.kualitas tanam</v>
          </cell>
          <cell r="D241">
            <v>1117511315</v>
          </cell>
          <cell r="E241">
            <v>0</v>
          </cell>
        </row>
        <row r="242">
          <cell r="C242" t="str">
            <v>Pengam.mortalitas dipping bbt</v>
          </cell>
          <cell r="D242">
            <v>1115511713</v>
          </cell>
          <cell r="E242">
            <v>0</v>
          </cell>
        </row>
        <row r="243">
          <cell r="C243" t="str">
            <v>Pengam.pengend.gulma man./weed.</v>
          </cell>
          <cell r="D243">
            <v>1315511513</v>
          </cell>
          <cell r="E243">
            <v>0</v>
          </cell>
        </row>
        <row r="244">
          <cell r="C244" t="str">
            <v>Pengam.pop.setlh tanam</v>
          </cell>
          <cell r="D244">
            <v>1117511711</v>
          </cell>
          <cell r="E244">
            <v>0</v>
          </cell>
        </row>
        <row r="245">
          <cell r="C245" t="str">
            <v>Pengam.populasi tanaman  &lt;prw&gt;</v>
          </cell>
          <cell r="D245">
            <v>1319511111</v>
          </cell>
          <cell r="E245">
            <v>0</v>
          </cell>
        </row>
        <row r="246">
          <cell r="C246" t="str">
            <v>Pengamamatan Finishing Harrow</v>
          </cell>
          <cell r="D246">
            <v>1113511713</v>
          </cell>
          <cell r="E246">
            <v>0</v>
          </cell>
        </row>
        <row r="247">
          <cell r="C247" t="str">
            <v>Pengamatan % bunga pop.forcing</v>
          </cell>
          <cell r="D247">
            <v>1321512111</v>
          </cell>
          <cell r="E247">
            <v>0</v>
          </cell>
        </row>
        <row r="248">
          <cell r="C248" t="str">
            <v>Pengamatan Bajak Cultv./Rty./Spad. &lt;sd&gt;</v>
          </cell>
          <cell r="D248">
            <v>1113511515</v>
          </cell>
          <cell r="E248">
            <v>0</v>
          </cell>
        </row>
        <row r="249">
          <cell r="C249" t="str">
            <v>Pengamatan Bajak Piringan/Diskplow &lt;dk&gt;</v>
          </cell>
          <cell r="D249">
            <v>1113511513</v>
          </cell>
          <cell r="E249">
            <v>0</v>
          </cell>
        </row>
        <row r="250">
          <cell r="C250" t="str">
            <v>Pengamatan Bajak Singkal/Moldboard &lt;dl&gt;</v>
          </cell>
          <cell r="D250">
            <v>1113511511</v>
          </cell>
          <cell r="E250">
            <v>0</v>
          </cell>
        </row>
        <row r="251">
          <cell r="C251" t="str">
            <v>Pengamatan Bedder (dr)</v>
          </cell>
          <cell r="D251">
            <v>1113512113</v>
          </cell>
          <cell r="E251">
            <v>0</v>
          </cell>
        </row>
        <row r="252">
          <cell r="C252" t="str">
            <v>Pengamatan brt tnm  &lt;prw&gt;</v>
          </cell>
          <cell r="D252">
            <v>1319511311</v>
          </cell>
          <cell r="E252">
            <v>0</v>
          </cell>
        </row>
        <row r="253">
          <cell r="C253" t="str">
            <v>Pengamatan Chopper eks tnm &lt;p.lhn&gt;</v>
          </cell>
          <cell r="D253">
            <v>1113511311</v>
          </cell>
          <cell r="E253">
            <v>0</v>
          </cell>
        </row>
        <row r="254">
          <cell r="C254" t="str">
            <v>Pengamatan kondisi lok. &lt;prw&gt;</v>
          </cell>
          <cell r="D254">
            <v>1319512111</v>
          </cell>
          <cell r="E254" t="str">
            <v>Nugroho</v>
          </cell>
        </row>
        <row r="255">
          <cell r="C255" t="str">
            <v>Pengamatan kualitas bibit</v>
          </cell>
          <cell r="D255">
            <v>1115511311</v>
          </cell>
          <cell r="E255">
            <v>0</v>
          </cell>
        </row>
        <row r="256">
          <cell r="C256" t="str">
            <v>Pengamatan kulaitas bibit &lt;p.bbt&gt;</v>
          </cell>
          <cell r="D256">
            <v>131951113</v>
          </cell>
          <cell r="E256">
            <v>0</v>
          </cell>
        </row>
        <row r="257">
          <cell r="C257" t="str">
            <v>Pengamatan pop akan pnn  &lt;prw&gt;</v>
          </cell>
          <cell r="D257">
            <v>1319511113</v>
          </cell>
          <cell r="E257">
            <v>0</v>
          </cell>
        </row>
        <row r="258">
          <cell r="C258" t="str">
            <v>Pengamatan pop penyakit</v>
          </cell>
          <cell r="D258">
            <v>1313511313</v>
          </cell>
          <cell r="E258">
            <v>0</v>
          </cell>
        </row>
        <row r="259">
          <cell r="C259" t="str">
            <v>Pengamatan rendeman</v>
          </cell>
          <cell r="D259">
            <v>1511511119</v>
          </cell>
          <cell r="E259">
            <v>0</v>
          </cell>
        </row>
        <row r="260">
          <cell r="C260" t="str">
            <v>Pengamatan Ridger (sr)</v>
          </cell>
          <cell r="D260">
            <v>1113512111</v>
          </cell>
          <cell r="E260">
            <v>0</v>
          </cell>
        </row>
        <row r="261">
          <cell r="C261" t="str">
            <v>Pengamatan roughing  &lt;prw&gt;</v>
          </cell>
          <cell r="D261">
            <v>1319511911</v>
          </cell>
          <cell r="E261">
            <v>0</v>
          </cell>
        </row>
        <row r="262">
          <cell r="C262" t="str">
            <v>Pengamatan Sub soiler</v>
          </cell>
          <cell r="D262">
            <v>1113511911</v>
          </cell>
          <cell r="E262">
            <v>0</v>
          </cell>
        </row>
        <row r="263">
          <cell r="C263" t="str">
            <v>Pengamb.bbt hijauan  &lt;konserv.p.lhn&gt;</v>
          </cell>
          <cell r="D263">
            <v>1113151311</v>
          </cell>
          <cell r="E263">
            <v>0</v>
          </cell>
        </row>
        <row r="264">
          <cell r="C264" t="str">
            <v>Pengambilan sampel daun</v>
          </cell>
          <cell r="D264">
            <v>1311511113</v>
          </cell>
          <cell r="E264">
            <v>0</v>
          </cell>
        </row>
        <row r="265">
          <cell r="C265" t="str">
            <v>Pengambilan sampel tanah</v>
          </cell>
          <cell r="D265">
            <v>1311511117</v>
          </cell>
          <cell r="E265">
            <v>0</v>
          </cell>
        </row>
        <row r="266">
          <cell r="C266" t="str">
            <v>Pengayakan media semai/tanam</v>
          </cell>
          <cell r="D266">
            <v>1117111113</v>
          </cell>
          <cell r="E266">
            <v>0</v>
          </cell>
        </row>
        <row r="267">
          <cell r="C267" t="str">
            <v>Pengemasan karung  &lt;pbo&gt;</v>
          </cell>
          <cell r="D267">
            <v>3111131211</v>
          </cell>
          <cell r="E267">
            <v>0</v>
          </cell>
        </row>
        <row r="268">
          <cell r="C268" t="str">
            <v>Pengemasan pasca panen  &lt;umum&gt;</v>
          </cell>
          <cell r="D268">
            <v>1911251115</v>
          </cell>
          <cell r="E268">
            <v>0</v>
          </cell>
        </row>
        <row r="269">
          <cell r="C269" t="str">
            <v>Penggaruan Akhir/Finishing Harrow</v>
          </cell>
          <cell r="D269">
            <v>1113131313</v>
          </cell>
          <cell r="E269">
            <v>0</v>
          </cell>
        </row>
        <row r="270">
          <cell r="C270" t="str">
            <v>Penggaruan Lahan/Harrowing</v>
          </cell>
          <cell r="D270">
            <v>1113131311</v>
          </cell>
          <cell r="E270">
            <v>0</v>
          </cell>
        </row>
        <row r="271">
          <cell r="C271" t="str">
            <v>Pengukuran luas  &lt;peny.lhn&gt;</v>
          </cell>
          <cell r="D271">
            <v>1113191317</v>
          </cell>
          <cell r="E271">
            <v>0</v>
          </cell>
        </row>
        <row r="272">
          <cell r="C272" t="str">
            <v>Pengukuran topografi  &lt;peny.lhn&gt;</v>
          </cell>
          <cell r="D272">
            <v>1113191315</v>
          </cell>
          <cell r="E272">
            <v>0</v>
          </cell>
        </row>
        <row r="273">
          <cell r="C273" t="str">
            <v>Penimb.&amp; prw jln utama/strategis  &lt;inv.&gt;</v>
          </cell>
          <cell r="D273">
            <v>5111211121</v>
          </cell>
          <cell r="E273">
            <v>0</v>
          </cell>
        </row>
        <row r="274">
          <cell r="C274" t="str">
            <v>Penjagaan buah  &lt;prw&gt;</v>
          </cell>
          <cell r="D274">
            <v>1319172111</v>
          </cell>
          <cell r="E274">
            <v>0</v>
          </cell>
        </row>
        <row r="275">
          <cell r="C275" t="str">
            <v>Penjarangan tnm/pohon  &lt;prw&gt;</v>
          </cell>
          <cell r="D275">
            <v>1319111113</v>
          </cell>
          <cell r="E275">
            <v>0</v>
          </cell>
        </row>
        <row r="276">
          <cell r="C276" t="str">
            <v>Penyangkokan  &lt;pool&gt;</v>
          </cell>
          <cell r="D276">
            <v>1115131513</v>
          </cell>
          <cell r="E276">
            <v>0</v>
          </cell>
        </row>
        <row r="277">
          <cell r="C277" t="str">
            <v>Penyerbukan manual  &lt;prw&gt;</v>
          </cell>
          <cell r="D277">
            <v>1319191111</v>
          </cell>
          <cell r="E277">
            <v>0</v>
          </cell>
        </row>
        <row r="278">
          <cell r="C278" t="str">
            <v>Penyetekan  &lt;pool&gt;</v>
          </cell>
          <cell r="D278">
            <v>1115131511</v>
          </cell>
          <cell r="E278">
            <v>0</v>
          </cell>
        </row>
        <row r="279">
          <cell r="C279" t="str">
            <v>Penyiapan transp.irrigator/engine</v>
          </cell>
          <cell r="D279">
            <v>1323111125</v>
          </cell>
          <cell r="E279" t="str">
            <v>Irwan</v>
          </cell>
        </row>
        <row r="280">
          <cell r="C280" t="str">
            <v>Perataan mat.timbun mek.  &lt;prw.drain&gt;</v>
          </cell>
          <cell r="D280">
            <v>1317131511</v>
          </cell>
          <cell r="E280">
            <v>0</v>
          </cell>
        </row>
        <row r="281">
          <cell r="C281" t="str">
            <v>Perb.bed/gld/bumbun man.  &lt;p.lhn&gt;</v>
          </cell>
          <cell r="D281">
            <v>1113231711</v>
          </cell>
          <cell r="E281" t="str">
            <v>Widi</v>
          </cell>
        </row>
        <row r="282">
          <cell r="C282" t="str">
            <v>Perb.manual saluran seksi  &lt;peny.lhn&gt;</v>
          </cell>
          <cell r="D282">
            <v>1113231111</v>
          </cell>
          <cell r="E282" t="str">
            <v>Widi</v>
          </cell>
        </row>
        <row r="283">
          <cell r="C283" t="str">
            <v>Perb.sal.antar gld man.  &lt;prw.drain.&gt;</v>
          </cell>
          <cell r="D283">
            <v>1317111111</v>
          </cell>
          <cell r="E283" t="str">
            <v>NO</v>
          </cell>
        </row>
        <row r="284">
          <cell r="C284" t="str">
            <v>Perbaikan jalan mek.  &lt;prw.drain.&gt;</v>
          </cell>
          <cell r="D284">
            <v>1317111119</v>
          </cell>
          <cell r="E284">
            <v>0</v>
          </cell>
        </row>
        <row r="285">
          <cell r="C285" t="str">
            <v>Perbaikan jln &amp; sal.mek.  &lt;prw.drain.&gt;</v>
          </cell>
          <cell r="D285">
            <v>1317111121</v>
          </cell>
          <cell r="E285">
            <v>0</v>
          </cell>
        </row>
        <row r="286">
          <cell r="C286" t="str">
            <v>Perbaikan jln man.  &lt;prw.drain.&gt;</v>
          </cell>
          <cell r="D286">
            <v>1317111115</v>
          </cell>
          <cell r="E286" t="str">
            <v>Widi</v>
          </cell>
        </row>
        <row r="287">
          <cell r="C287" t="str">
            <v>Perbaikan saluran man.  &lt;prw.drain.&gt;</v>
          </cell>
          <cell r="D287">
            <v>1317111113</v>
          </cell>
          <cell r="E287" t="str">
            <v>Widi</v>
          </cell>
        </row>
        <row r="288">
          <cell r="C288" t="str">
            <v>Perbaikan saluran mek.  &lt;prw.drain.&gt;</v>
          </cell>
          <cell r="D288">
            <v>1317111117</v>
          </cell>
          <cell r="E288">
            <v>0</v>
          </cell>
        </row>
        <row r="289">
          <cell r="C289" t="str">
            <v>Perbaikan tegakan tanaman &lt;prw.drain&gt;</v>
          </cell>
          <cell r="D289">
            <v>0</v>
          </cell>
          <cell r="E289" t="str">
            <v>Widi</v>
          </cell>
        </row>
        <row r="290">
          <cell r="C290" t="str">
            <v>Perbaikan tegakan tanam</v>
          </cell>
          <cell r="D290">
            <v>1117271311</v>
          </cell>
          <cell r="E290" t="str">
            <v>Widi</v>
          </cell>
        </row>
        <row r="291">
          <cell r="C291" t="str">
            <v>Perlind.bh/tutup bh dgn daun  &lt;prw&gt;</v>
          </cell>
          <cell r="D291">
            <v>1319171111</v>
          </cell>
          <cell r="E291" t="str">
            <v>Etri 1</v>
          </cell>
        </row>
        <row r="292">
          <cell r="C292" t="str">
            <v>Perobohan Pohon/Land Clearing  &lt;inv.&gt;</v>
          </cell>
          <cell r="D292">
            <v>5111131313</v>
          </cell>
          <cell r="E292">
            <v>0</v>
          </cell>
        </row>
        <row r="293">
          <cell r="C293" t="str">
            <v>Pest.border spray man.  &lt;Hpt&gt;</v>
          </cell>
          <cell r="D293">
            <v>1313111517</v>
          </cell>
          <cell r="E293" t="str">
            <v>Nugroho</v>
          </cell>
        </row>
        <row r="294">
          <cell r="C294" t="str">
            <v>Pest.border spray mek.  &lt;Hpt&gt;</v>
          </cell>
          <cell r="D294">
            <v>1313111117</v>
          </cell>
          <cell r="E294">
            <v>0</v>
          </cell>
        </row>
        <row r="295">
          <cell r="C295" t="str">
            <v>Pest.spot spray man.  &lt;Hpt&gt;</v>
          </cell>
          <cell r="D295">
            <v>1313111513</v>
          </cell>
          <cell r="E295" t="str">
            <v>Etri 2</v>
          </cell>
        </row>
        <row r="296">
          <cell r="C296" t="str">
            <v>Pest.spray proteksi/isolasi man.  &lt;Hpt&gt;</v>
          </cell>
          <cell r="D296">
            <v>1313111511</v>
          </cell>
          <cell r="E296" t="str">
            <v>Nugroho</v>
          </cell>
        </row>
        <row r="297">
          <cell r="C297" t="str">
            <v>Pestisida spray mek.  &lt;Hpt&gt;</v>
          </cell>
          <cell r="D297">
            <v>1313111111</v>
          </cell>
          <cell r="E297" t="str">
            <v>Nugroho</v>
          </cell>
        </row>
        <row r="298">
          <cell r="C298" t="str">
            <v>Pestisida Spray Mekanis &lt;Konserv.lhn&gt;</v>
          </cell>
          <cell r="D298">
            <v>1113151733</v>
          </cell>
          <cell r="E298">
            <v>0</v>
          </cell>
        </row>
        <row r="299">
          <cell r="C299" t="str">
            <v>Pestisida spray semi mek.  &lt;Hpt&gt;</v>
          </cell>
          <cell r="D299">
            <v>1313111311</v>
          </cell>
          <cell r="E299" t="str">
            <v>Nugroho</v>
          </cell>
        </row>
        <row r="300">
          <cell r="C300" t="str">
            <v>Pestisida tabur man.  &lt;Hpt&gt;</v>
          </cell>
          <cell r="D300">
            <v>1313111521</v>
          </cell>
          <cell r="E300">
            <v>0</v>
          </cell>
        </row>
        <row r="301">
          <cell r="C301" t="str">
            <v>Petik &amp; mengeluarkan bbt sucker  &lt;pool&gt;</v>
          </cell>
          <cell r="D301">
            <v>1115151313</v>
          </cell>
          <cell r="E301">
            <v>0</v>
          </cell>
        </row>
        <row r="302">
          <cell r="C302" t="str">
            <v>Pindah/unjal man.bbt phn di lok tnm</v>
          </cell>
          <cell r="D302">
            <v>1117152119</v>
          </cell>
          <cell r="E302">
            <v>0</v>
          </cell>
        </row>
        <row r="303">
          <cell r="C303" t="str">
            <v>Pks/teb.bakal bbt btg pjg  &lt;pool&gt;</v>
          </cell>
          <cell r="D303">
            <v>1115111311</v>
          </cell>
          <cell r="E303">
            <v>0</v>
          </cell>
        </row>
        <row r="304">
          <cell r="C304" t="str">
            <v>Preparasi pasca panen  &lt;umum&gt;</v>
          </cell>
          <cell r="D304">
            <v>1911251111</v>
          </cell>
          <cell r="E304">
            <v>0</v>
          </cell>
        </row>
        <row r="305">
          <cell r="C305" t="str">
            <v>Preparasi utk bagging buah  &lt;prw&gt;</v>
          </cell>
          <cell r="D305">
            <v>1319171112</v>
          </cell>
          <cell r="E305">
            <v>0</v>
          </cell>
        </row>
        <row r="306">
          <cell r="C306" t="str">
            <v>Proping tnm  &lt;prw&gt;</v>
          </cell>
          <cell r="D306">
            <v>1319151111</v>
          </cell>
          <cell r="E306">
            <v>0</v>
          </cell>
        </row>
        <row r="307">
          <cell r="C307" t="str">
            <v>Psg umpan hama  &lt;Hpt&gt;</v>
          </cell>
          <cell r="D307">
            <v>1313111527</v>
          </cell>
          <cell r="E307" t="str">
            <v>Nugroho</v>
          </cell>
        </row>
        <row r="308">
          <cell r="C308" t="str">
            <v>Psg umpan serangga/semut  &lt;Hpt&gt;</v>
          </cell>
          <cell r="D308">
            <v>1313111525</v>
          </cell>
          <cell r="E308" t="str">
            <v>Nugroho</v>
          </cell>
        </row>
        <row r="309">
          <cell r="C309" t="str">
            <v>Pasang Pagar Perlindungan Buah</v>
          </cell>
          <cell r="D309">
            <v>1319111110</v>
          </cell>
          <cell r="E309">
            <v>0</v>
          </cell>
        </row>
        <row r="310">
          <cell r="C310" t="str">
            <v>Ptk/pnn bbt nurs.u.tn.prod.  &lt;pool&gt;</v>
          </cell>
          <cell r="D310">
            <v>1115151511</v>
          </cell>
          <cell r="E310">
            <v>0</v>
          </cell>
        </row>
        <row r="311">
          <cell r="C311" t="str">
            <v>Ptk/pnn bbt nurs.u.tn.replant. &lt;pool&gt;</v>
          </cell>
          <cell r="D311">
            <v>1115151711</v>
          </cell>
          <cell r="E311">
            <v>0</v>
          </cell>
        </row>
        <row r="312">
          <cell r="C312" t="str">
            <v>Pupuk (spot) spray man.  &lt;ppk&gt;</v>
          </cell>
          <cell r="D312">
            <v>1311131511</v>
          </cell>
          <cell r="E312" t="str">
            <v>Nugroho</v>
          </cell>
        </row>
        <row r="313">
          <cell r="C313" t="str">
            <v>Pupuk cor /semi mek.  &lt;ppk&gt;</v>
          </cell>
          <cell r="D313">
            <v>1311131311</v>
          </cell>
          <cell r="E313" t="str">
            <v>Nugroho</v>
          </cell>
        </row>
        <row r="314">
          <cell r="C314" t="str">
            <v>Pupuk dasar daun tabur man.  &lt;ppk&gt;</v>
          </cell>
          <cell r="D314">
            <v>1311131113</v>
          </cell>
          <cell r="E314" t="str">
            <v>Nugroho</v>
          </cell>
        </row>
        <row r="315">
          <cell r="C315" t="str">
            <v>Pupuk dasar palir man.  &lt;ppk&gt;</v>
          </cell>
          <cell r="D315">
            <v>1311131117</v>
          </cell>
          <cell r="E315" t="str">
            <v>Nugroho</v>
          </cell>
        </row>
        <row r="316">
          <cell r="C316" t="str">
            <v>Pupuk dasar palir mek.  &lt;ppk&gt;</v>
          </cell>
          <cell r="D316">
            <v>1311131121</v>
          </cell>
          <cell r="E316" t="str">
            <v>NO</v>
          </cell>
        </row>
        <row r="317">
          <cell r="C317" t="str">
            <v>Pupuk dasar palir semi mek.  &lt;ppk&gt;</v>
          </cell>
          <cell r="D317">
            <v>1311131119</v>
          </cell>
          <cell r="E317">
            <v>0</v>
          </cell>
        </row>
        <row r="318">
          <cell r="C318" t="str">
            <v>Pupuk dasar ring lubang man.  &lt;ppk&gt;</v>
          </cell>
          <cell r="D318">
            <v>1311131127</v>
          </cell>
          <cell r="E318" t="str">
            <v>Nugroho</v>
          </cell>
        </row>
        <row r="319">
          <cell r="C319" t="str">
            <v>Pupuk dasar tabur man.  &lt;ppk&gt;</v>
          </cell>
          <cell r="D319">
            <v>1311131111</v>
          </cell>
          <cell r="E319" t="str">
            <v>Nugroho</v>
          </cell>
        </row>
        <row r="320">
          <cell r="C320" t="str">
            <v>Pupuk dasar tugal man.  &lt;ppk&gt;</v>
          </cell>
          <cell r="D320">
            <v>1311131123</v>
          </cell>
          <cell r="E320" t="str">
            <v>Nugroho</v>
          </cell>
        </row>
        <row r="321">
          <cell r="C321" t="str">
            <v>Pupuk daun tabur man.  &lt;ppk&gt;</v>
          </cell>
          <cell r="D321">
            <v>1311131115</v>
          </cell>
          <cell r="E321" t="str">
            <v>Nugroho</v>
          </cell>
        </row>
        <row r="322">
          <cell r="C322" t="str">
            <v>Pupuk spray mek.  &lt;ppk&gt;</v>
          </cell>
          <cell r="D322">
            <v>1311131711</v>
          </cell>
          <cell r="E322">
            <v>0</v>
          </cell>
        </row>
        <row r="323">
          <cell r="C323" t="str">
            <v>Pupuk Spray Mekanis  &lt;Konserv.lhn&gt;</v>
          </cell>
          <cell r="D323">
            <v>1113151731</v>
          </cell>
          <cell r="E323">
            <v>0</v>
          </cell>
        </row>
        <row r="324">
          <cell r="C324" t="str">
            <v>Reforcing 1 (satu) man.</v>
          </cell>
          <cell r="D324">
            <v>1321131115</v>
          </cell>
          <cell r="E324">
            <v>0</v>
          </cell>
        </row>
        <row r="325">
          <cell r="C325" t="str">
            <v>Reforcing 1 (satu) mek.</v>
          </cell>
          <cell r="D325">
            <v>1321131111</v>
          </cell>
          <cell r="E325">
            <v>0</v>
          </cell>
        </row>
        <row r="326">
          <cell r="C326" t="str">
            <v>Reforcing 1 (satu) semi.mek.</v>
          </cell>
          <cell r="D326">
            <v>1321131113</v>
          </cell>
          <cell r="E326" t="str">
            <v>Nugroho</v>
          </cell>
        </row>
        <row r="327">
          <cell r="C327" t="str">
            <v>Reforcing 2 ! (dua) … man.</v>
          </cell>
          <cell r="D327">
            <v>1321131315</v>
          </cell>
          <cell r="E327">
            <v>0</v>
          </cell>
        </row>
        <row r="328">
          <cell r="C328" t="str">
            <v>Reforcing 2 ! (dua) … mek.</v>
          </cell>
          <cell r="D328">
            <v>1321131311</v>
          </cell>
          <cell r="E328">
            <v>0</v>
          </cell>
        </row>
        <row r="329">
          <cell r="C329" t="str">
            <v>Reforcing 2 ! (dua) … semi.mek.</v>
          </cell>
          <cell r="D329">
            <v>1321131313</v>
          </cell>
          <cell r="E329">
            <v>0</v>
          </cell>
        </row>
        <row r="330">
          <cell r="C330" t="str">
            <v>Ring weeding</v>
          </cell>
          <cell r="D330">
            <v>1315111311</v>
          </cell>
          <cell r="E330">
            <v>0</v>
          </cell>
        </row>
        <row r="331">
          <cell r="C331" t="str">
            <v>Ripening man.</v>
          </cell>
          <cell r="D331">
            <v>1325111115</v>
          </cell>
          <cell r="E331">
            <v>0</v>
          </cell>
        </row>
        <row r="332">
          <cell r="C332" t="str">
            <v>Ripening mek.</v>
          </cell>
          <cell r="D332">
            <v>1325111111</v>
          </cell>
          <cell r="E332">
            <v>0</v>
          </cell>
        </row>
        <row r="333">
          <cell r="C333" t="str">
            <v>Ripening semi.mek.</v>
          </cell>
          <cell r="D333">
            <v>1325111113</v>
          </cell>
          <cell r="E333">
            <v>0</v>
          </cell>
        </row>
        <row r="334">
          <cell r="C334" t="str">
            <v>Roughing bibit  &lt;prw&gt;</v>
          </cell>
          <cell r="D334">
            <v>1319111511</v>
          </cell>
          <cell r="E334">
            <v>0</v>
          </cell>
        </row>
        <row r="335">
          <cell r="C335" t="str">
            <v>Sanitasi pool  &lt;pbo&gt;</v>
          </cell>
          <cell r="D335">
            <v>3111131711</v>
          </cell>
          <cell r="E335">
            <v>0</v>
          </cell>
        </row>
        <row r="336">
          <cell r="C336" t="str">
            <v>Section macro batang  &lt;pool&gt;</v>
          </cell>
          <cell r="D336">
            <v>1115131111</v>
          </cell>
          <cell r="E336">
            <v>0</v>
          </cell>
        </row>
        <row r="337">
          <cell r="C337" t="str">
            <v>Section micro batang  &lt;pool&gt;</v>
          </cell>
          <cell r="D337">
            <v>1115131115</v>
          </cell>
          <cell r="E337">
            <v>0</v>
          </cell>
        </row>
        <row r="338">
          <cell r="C338" t="str">
            <v>Section micro crown  &lt;pool&gt;</v>
          </cell>
          <cell r="D338">
            <v>1115131315</v>
          </cell>
          <cell r="E338">
            <v>0</v>
          </cell>
        </row>
        <row r="339">
          <cell r="C339" t="str">
            <v>Section super micro crown  &lt;pool&gt;</v>
          </cell>
          <cell r="D339">
            <v>1115131317</v>
          </cell>
          <cell r="E339">
            <v>0</v>
          </cell>
        </row>
        <row r="340">
          <cell r="C340" t="str">
            <v>Seleksi bibit asal nurs.storing  &lt;pool&gt;</v>
          </cell>
          <cell r="D340">
            <v>1115231115</v>
          </cell>
          <cell r="E340">
            <v>0</v>
          </cell>
        </row>
        <row r="341">
          <cell r="C341" t="str">
            <v>Seleksi bibit asal nursery  &lt;pool&gt;</v>
          </cell>
          <cell r="D341">
            <v>1115231117</v>
          </cell>
          <cell r="E341">
            <v>0</v>
          </cell>
        </row>
        <row r="342">
          <cell r="C342" t="str">
            <v>Seleksi bibit crown  &lt;pool&gt;</v>
          </cell>
          <cell r="D342">
            <v>1115231111</v>
          </cell>
          <cell r="E342">
            <v>0</v>
          </cell>
        </row>
        <row r="343">
          <cell r="C343" t="str">
            <v>Seleksi bibit di lok tanam</v>
          </cell>
          <cell r="D343">
            <v>1117171111</v>
          </cell>
          <cell r="E343">
            <v>0</v>
          </cell>
        </row>
        <row r="344">
          <cell r="C344" t="str">
            <v>Seleksi bibit pohonan  &lt;pool&gt;</v>
          </cell>
          <cell r="D344">
            <v>1115231123</v>
          </cell>
          <cell r="E344">
            <v>0</v>
          </cell>
        </row>
        <row r="345">
          <cell r="C345" t="str">
            <v>Seleksi bibit sucker  &lt;pool&gt;</v>
          </cell>
          <cell r="D345">
            <v>1115231113</v>
          </cell>
          <cell r="E345">
            <v>0</v>
          </cell>
        </row>
        <row r="346">
          <cell r="C346" t="str">
            <v>Seleksi bunga  &lt;prw&gt;</v>
          </cell>
          <cell r="D346">
            <v>1319131111</v>
          </cell>
          <cell r="E346">
            <v>0</v>
          </cell>
        </row>
        <row r="347">
          <cell r="C347" t="str">
            <v>Slasher perimeter mekanis</v>
          </cell>
          <cell r="D347">
            <v>1315111201</v>
          </cell>
          <cell r="E347" t="str">
            <v>Field Support</v>
          </cell>
        </row>
        <row r="348">
          <cell r="C348" t="str">
            <v>Seleksi tnm/sucker/pks anakan  &lt;prw&gt;</v>
          </cell>
          <cell r="D348">
            <v>1319111111</v>
          </cell>
          <cell r="E348">
            <v>0</v>
          </cell>
        </row>
        <row r="349">
          <cell r="C349" t="str">
            <v>Semai benih/biji</v>
          </cell>
          <cell r="D349">
            <v>1117111511</v>
          </cell>
          <cell r="E349">
            <v>0</v>
          </cell>
        </row>
        <row r="350">
          <cell r="C350" t="str">
            <v>Seset bakal bbt btg/bgl  &lt;pool&gt;</v>
          </cell>
          <cell r="D350">
            <v>1115111111</v>
          </cell>
          <cell r="E350">
            <v>0</v>
          </cell>
        </row>
        <row r="351">
          <cell r="C351" t="str">
            <v>Seset bonggol  &lt;p.brom.&gt;</v>
          </cell>
          <cell r="D351">
            <v>3111111111</v>
          </cell>
          <cell r="E351">
            <v>0</v>
          </cell>
        </row>
        <row r="352">
          <cell r="C352" t="str">
            <v>Sewa Lahan  &lt;inv.&gt;</v>
          </cell>
          <cell r="D352">
            <v>5111111111</v>
          </cell>
          <cell r="E352">
            <v>0</v>
          </cell>
        </row>
        <row r="353">
          <cell r="C353" t="str">
            <v>Simpan/curing bbt di lok.  &lt;pool.&gt;</v>
          </cell>
          <cell r="D353">
            <v>1115171111</v>
          </cell>
          <cell r="E353">
            <v>0</v>
          </cell>
        </row>
        <row r="354">
          <cell r="C354" t="str">
            <v>Siram cor (semi.mek.)</v>
          </cell>
          <cell r="D354">
            <v>1323151313</v>
          </cell>
          <cell r="E354">
            <v>0</v>
          </cell>
        </row>
        <row r="355">
          <cell r="C355" t="str">
            <v>Siram gelontor</v>
          </cell>
          <cell r="D355">
            <v>1323151113</v>
          </cell>
          <cell r="E355">
            <v>0</v>
          </cell>
        </row>
        <row r="356">
          <cell r="C356" t="str">
            <v>Siram Manual</v>
          </cell>
          <cell r="D356">
            <v>1323151315</v>
          </cell>
          <cell r="E356">
            <v>0</v>
          </cell>
        </row>
        <row r="357">
          <cell r="C357" t="str">
            <v>Siram spray (mek.)</v>
          </cell>
          <cell r="D357">
            <v>1323151311</v>
          </cell>
          <cell r="E357">
            <v>0</v>
          </cell>
        </row>
        <row r="358">
          <cell r="C358" t="str">
            <v>Siram Spray Elektrik</v>
          </cell>
          <cell r="D358">
            <v>1323151317</v>
          </cell>
          <cell r="E358">
            <v>0</v>
          </cell>
        </row>
        <row r="359">
          <cell r="C359" t="str">
            <v>Siram springkle</v>
          </cell>
          <cell r="D359">
            <v>1323151111</v>
          </cell>
          <cell r="E359" t="str">
            <v>Irwan</v>
          </cell>
        </row>
        <row r="360">
          <cell r="C360" t="str">
            <v>Sub Soiling</v>
          </cell>
          <cell r="D360">
            <v>1113131511</v>
          </cell>
          <cell r="E360">
            <v>0</v>
          </cell>
        </row>
        <row r="361">
          <cell r="C361" t="str">
            <v>Sulam bbt besar asal nurs.storing</v>
          </cell>
          <cell r="D361">
            <v>1117271923</v>
          </cell>
          <cell r="E361">
            <v>0</v>
          </cell>
        </row>
        <row r="362">
          <cell r="C362" t="str">
            <v>Sulam bbt besar asal nursery</v>
          </cell>
          <cell r="D362">
            <v>1117271933</v>
          </cell>
          <cell r="E362">
            <v>0</v>
          </cell>
        </row>
        <row r="363">
          <cell r="C363" t="str">
            <v>Sulam bbt stek batang</v>
          </cell>
          <cell r="D363">
            <v>1117271941</v>
          </cell>
          <cell r="E363" t="str">
            <v>Etri CSV</v>
          </cell>
        </row>
        <row r="364">
          <cell r="C364" t="str">
            <v>Sulam bibit besar</v>
          </cell>
          <cell r="D364">
            <v>1117271913</v>
          </cell>
          <cell r="E364" t="str">
            <v>Planting</v>
          </cell>
        </row>
        <row r="365">
          <cell r="C365" t="str">
            <v>Sulam bibit pohonan</v>
          </cell>
          <cell r="D365">
            <v>1117271951</v>
          </cell>
          <cell r="E365">
            <v>0</v>
          </cell>
        </row>
        <row r="366">
          <cell r="C366" t="str">
            <v>Suplay air  &lt;ohc&gt;</v>
          </cell>
          <cell r="D366">
            <v>4111111121</v>
          </cell>
          <cell r="E366">
            <v>0</v>
          </cell>
        </row>
        <row r="367">
          <cell r="C367" t="str">
            <v>Suplay air dipping  &lt;pool.&gt;</v>
          </cell>
          <cell r="D367">
            <v>1115251111</v>
          </cell>
          <cell r="E367">
            <v>0</v>
          </cell>
        </row>
        <row r="368">
          <cell r="C368" t="str">
            <v>Suplay air dipping man. &lt;pool.&gt;</v>
          </cell>
          <cell r="D368">
            <v>1115251115</v>
          </cell>
          <cell r="E368">
            <v>0</v>
          </cell>
        </row>
        <row r="369">
          <cell r="C369" t="str">
            <v>Suplay air dipping semi mek. &lt;pool.&gt;</v>
          </cell>
          <cell r="D369">
            <v>1115251113</v>
          </cell>
          <cell r="E369">
            <v>0</v>
          </cell>
        </row>
        <row r="370">
          <cell r="C370" t="str">
            <v>Suplay Air Forcing 3 (tiga) Mekanis</v>
          </cell>
          <cell r="D370">
            <v>1321111512</v>
          </cell>
          <cell r="E370">
            <v>0</v>
          </cell>
        </row>
        <row r="371">
          <cell r="C371" t="str">
            <v>Suplay air Herb.pre plant./emerg. mek.</v>
          </cell>
          <cell r="D371">
            <v>1315131112</v>
          </cell>
          <cell r="E371">
            <v>0</v>
          </cell>
        </row>
        <row r="372">
          <cell r="C372" t="str">
            <v>Suplay air herbisida bongkar spray</v>
          </cell>
          <cell r="D372">
            <v>1113111112</v>
          </cell>
          <cell r="E372">
            <v>0</v>
          </cell>
        </row>
        <row r="373">
          <cell r="C373" t="str">
            <v>Suplay air mek.</v>
          </cell>
          <cell r="D373">
            <v>1323111311</v>
          </cell>
          <cell r="E373">
            <v>0</v>
          </cell>
        </row>
        <row r="374">
          <cell r="C374" t="str">
            <v>Suplay Air Reforcing 1 (satu) Mekanis</v>
          </cell>
          <cell r="D374">
            <v>1321131112</v>
          </cell>
          <cell r="E374">
            <v>0</v>
          </cell>
        </row>
        <row r="375">
          <cell r="C375" t="str">
            <v>Suplay air semi.mek.</v>
          </cell>
          <cell r="D375">
            <v>1323111313</v>
          </cell>
          <cell r="E375">
            <v>0</v>
          </cell>
        </row>
        <row r="376">
          <cell r="C376" t="str">
            <v>Suplay solar  &lt;ohc&gt;</v>
          </cell>
          <cell r="D376">
            <v>4111111111</v>
          </cell>
          <cell r="E376">
            <v>0</v>
          </cell>
        </row>
        <row r="377">
          <cell r="C377" t="str">
            <v>Supplay Air Mekanis &lt;Pest sp Konsrv.lhn&gt;</v>
          </cell>
          <cell r="D377">
            <v>1113151734</v>
          </cell>
          <cell r="E377">
            <v>0</v>
          </cell>
        </row>
        <row r="378">
          <cell r="C378" t="str">
            <v>Supplay Air Mekanis &lt;Ppk sp Konserv.lhn&gt;</v>
          </cell>
          <cell r="D378">
            <v>1113151732</v>
          </cell>
          <cell r="E378">
            <v>0</v>
          </cell>
        </row>
        <row r="379">
          <cell r="C379" t="str">
            <v>Supply Air Aplikasi Fruit Reg. Mekanis</v>
          </cell>
          <cell r="D379">
            <v>1325131312</v>
          </cell>
          <cell r="E379">
            <v>0</v>
          </cell>
        </row>
        <row r="380">
          <cell r="C380" t="str">
            <v>Supply Air Forcing 1 (Satu) Mekanis</v>
          </cell>
          <cell r="D380">
            <v>1321111112</v>
          </cell>
          <cell r="E380">
            <v>0</v>
          </cell>
        </row>
        <row r="381">
          <cell r="C381" t="str">
            <v>Supply Air Forcing 2 (dua) Mekanis</v>
          </cell>
          <cell r="D381">
            <v>1321111312</v>
          </cell>
          <cell r="E381">
            <v>0</v>
          </cell>
        </row>
        <row r="382">
          <cell r="C382" t="str">
            <v>Supply Air Herb. Border/Perimeter Mek.</v>
          </cell>
          <cell r="D382">
            <v>1315131118</v>
          </cell>
          <cell r="E382">
            <v>0</v>
          </cell>
        </row>
        <row r="383">
          <cell r="C383" t="str">
            <v>Supply Air Herb.Post Plant/Emerg Mek.</v>
          </cell>
          <cell r="D383">
            <v>1315131114</v>
          </cell>
          <cell r="E383">
            <v>0</v>
          </cell>
        </row>
        <row r="384">
          <cell r="C384" t="str">
            <v>Supply Air Herbisida Jalan Mekanis</v>
          </cell>
          <cell r="D384">
            <v>1315131116</v>
          </cell>
          <cell r="E384">
            <v>0</v>
          </cell>
        </row>
        <row r="385">
          <cell r="C385" t="str">
            <v>Supply Air Herbisida Lebung Mekanik</v>
          </cell>
          <cell r="D385">
            <v>1315131120</v>
          </cell>
          <cell r="E385">
            <v>0</v>
          </cell>
        </row>
        <row r="386">
          <cell r="C386" t="str">
            <v>Supply Air mek Herb.booster</v>
          </cell>
          <cell r="D386">
            <v>1315131124</v>
          </cell>
          <cell r="E386">
            <v>0</v>
          </cell>
        </row>
        <row r="387">
          <cell r="C387" t="str">
            <v>Supply Air Pestisida Border Spray Mek.</v>
          </cell>
          <cell r="D387">
            <v>1313111118</v>
          </cell>
          <cell r="E387">
            <v>0</v>
          </cell>
        </row>
        <row r="388">
          <cell r="C388" t="str">
            <v>Supply Air Pestisida Spray Mekanis</v>
          </cell>
          <cell r="D388">
            <v>1313111112</v>
          </cell>
          <cell r="E388">
            <v>0</v>
          </cell>
        </row>
        <row r="389">
          <cell r="C389" t="str">
            <v>Supply Air Pupuk Spray Mekanis</v>
          </cell>
          <cell r="D389">
            <v>1311131712</v>
          </cell>
          <cell r="E389">
            <v>0</v>
          </cell>
        </row>
        <row r="390">
          <cell r="C390" t="str">
            <v>Supply Air Reforcing 2 (dua) Mekanis</v>
          </cell>
          <cell r="D390">
            <v>1321131312</v>
          </cell>
          <cell r="E390">
            <v>0</v>
          </cell>
        </row>
        <row r="391">
          <cell r="C391" t="str">
            <v>Supply Air Ripening Mekanis</v>
          </cell>
          <cell r="D391">
            <v>1325111112</v>
          </cell>
          <cell r="E391">
            <v>0</v>
          </cell>
        </row>
        <row r="392">
          <cell r="C392" t="str">
            <v>Susun polibag/semaian</v>
          </cell>
          <cell r="D392">
            <v>1117111513</v>
          </cell>
          <cell r="E392">
            <v>0</v>
          </cell>
        </row>
        <row r="393">
          <cell r="C393" t="str">
            <v>Tabur/Tebar Pupuk Manual &lt;konserv.lhn&gt;</v>
          </cell>
          <cell r="D393">
            <v>1113151721</v>
          </cell>
          <cell r="E393" t="str">
            <v>Nugroho</v>
          </cell>
        </row>
        <row r="394">
          <cell r="C394" t="str">
            <v>Tabur/Tebar Pupuk Mekanis &lt;konserv.lhn&gt;</v>
          </cell>
          <cell r="D394">
            <v>1113151723</v>
          </cell>
          <cell r="E394">
            <v>0</v>
          </cell>
        </row>
        <row r="395">
          <cell r="C395" t="str">
            <v>Tabur/Tebar Pupuk Semi Mek.&lt;konserv.lhn&gt;</v>
          </cell>
          <cell r="D395">
            <v>1113151722</v>
          </cell>
          <cell r="E395">
            <v>0</v>
          </cell>
        </row>
        <row r="396">
          <cell r="C396" t="str">
            <v>Tanam bbt asal nurs.storing sedang</v>
          </cell>
          <cell r="D396">
            <v>1117231515</v>
          </cell>
          <cell r="E396">
            <v>0</v>
          </cell>
        </row>
        <row r="397">
          <cell r="C397" t="str">
            <v>Tanam bbt asal nursery besar</v>
          </cell>
          <cell r="D397">
            <v>1117231713</v>
          </cell>
          <cell r="E397">
            <v>0</v>
          </cell>
        </row>
        <row r="398">
          <cell r="C398" t="str">
            <v>Tanam bbt asal nursery kecil</v>
          </cell>
          <cell r="D398">
            <v>1117231717</v>
          </cell>
          <cell r="E398">
            <v>0</v>
          </cell>
        </row>
        <row r="399">
          <cell r="C399" t="str">
            <v>Tanam bbt asal nursery sedang</v>
          </cell>
          <cell r="D399">
            <v>1117231715</v>
          </cell>
          <cell r="E399">
            <v>0</v>
          </cell>
        </row>
        <row r="400">
          <cell r="C400" t="str">
            <v>Tanam bbt kecil utk bed.nurs.storing</v>
          </cell>
          <cell r="D400">
            <v>1117251117</v>
          </cell>
          <cell r="E400">
            <v>0</v>
          </cell>
        </row>
        <row r="401">
          <cell r="C401" t="str">
            <v>Tanam bbt nurs.kcl u.bed.nurs.replant.</v>
          </cell>
          <cell r="D401">
            <v>1117251317</v>
          </cell>
          <cell r="E401">
            <v>0</v>
          </cell>
        </row>
        <row r="402">
          <cell r="C402" t="str">
            <v>Tanam bbt pohonan</v>
          </cell>
          <cell r="D402">
            <v>1117232511</v>
          </cell>
          <cell r="E402">
            <v>0</v>
          </cell>
        </row>
        <row r="403">
          <cell r="C403" t="str">
            <v>Tanam bbt stek batang pendek</v>
          </cell>
          <cell r="D403">
            <v>1117232311</v>
          </cell>
          <cell r="E403">
            <v>0</v>
          </cell>
        </row>
        <row r="404">
          <cell r="C404" t="str">
            <v>Tanam crown besar</v>
          </cell>
          <cell r="D404">
            <v>1117231113</v>
          </cell>
          <cell r="E404">
            <v>0</v>
          </cell>
        </row>
        <row r="405">
          <cell r="C405" t="str">
            <v>Tanam crown kecil</v>
          </cell>
          <cell r="D405">
            <v>1117231117</v>
          </cell>
          <cell r="E405">
            <v>0</v>
          </cell>
        </row>
        <row r="406">
          <cell r="C406" t="str">
            <v>Tanam crown sedang</v>
          </cell>
          <cell r="D406">
            <v>1117231115</v>
          </cell>
          <cell r="E406">
            <v>0</v>
          </cell>
        </row>
        <row r="407">
          <cell r="C407" t="str">
            <v>Tanam hijauan  &lt;konserv.p.lhn&gt;</v>
          </cell>
          <cell r="D407">
            <v>1113151323</v>
          </cell>
          <cell r="E407">
            <v>0</v>
          </cell>
        </row>
        <row r="408">
          <cell r="C408" t="str">
            <v>Tanam macro section utk bed.nursery</v>
          </cell>
          <cell r="D408">
            <v>1117251511</v>
          </cell>
          <cell r="E408">
            <v>0</v>
          </cell>
        </row>
        <row r="409">
          <cell r="C409" t="str">
            <v>Tanam micro section utk bed.nursery</v>
          </cell>
          <cell r="D409">
            <v>1117251515</v>
          </cell>
          <cell r="E409">
            <v>0</v>
          </cell>
        </row>
        <row r="410">
          <cell r="C410" t="str">
            <v>Tanam sucker besar</v>
          </cell>
          <cell r="D410">
            <v>1117231313</v>
          </cell>
          <cell r="E410">
            <v>0</v>
          </cell>
        </row>
        <row r="411">
          <cell r="C411" t="str">
            <v>Tanam sucker kecil</v>
          </cell>
          <cell r="D411">
            <v>1117231317</v>
          </cell>
          <cell r="E411">
            <v>0</v>
          </cell>
        </row>
        <row r="412">
          <cell r="C412" t="str">
            <v>Tanam sucker sedang</v>
          </cell>
          <cell r="D412">
            <v>1117231315</v>
          </cell>
          <cell r="E412">
            <v>0</v>
          </cell>
        </row>
        <row r="413">
          <cell r="C413" t="str">
            <v>Tanam super micro section u.bed.nurs.</v>
          </cell>
          <cell r="D413">
            <v>1117251517</v>
          </cell>
          <cell r="E413">
            <v>0</v>
          </cell>
        </row>
        <row r="414">
          <cell r="C414" t="str">
            <v>Transfer biaya bbt  &lt;pool.&gt;</v>
          </cell>
          <cell r="D414">
            <v>1115811911</v>
          </cell>
          <cell r="E414">
            <v>0</v>
          </cell>
        </row>
        <row r="415">
          <cell r="C415" t="str">
            <v>Transp alat berat  &lt;ohc&gt;</v>
          </cell>
          <cell r="D415">
            <v>4111111113</v>
          </cell>
          <cell r="E415">
            <v>0</v>
          </cell>
        </row>
        <row r="416">
          <cell r="C416" t="str">
            <v>Transp material  &lt;ohc&gt;</v>
          </cell>
          <cell r="D416">
            <v>4111111117</v>
          </cell>
          <cell r="E416">
            <v>0</v>
          </cell>
        </row>
        <row r="417">
          <cell r="C417" t="str">
            <v>Transp peralatan/perlengkapan  &lt;ohc&gt;</v>
          </cell>
          <cell r="D417">
            <v>4111111115</v>
          </cell>
          <cell r="E417">
            <v>0</v>
          </cell>
        </row>
        <row r="418">
          <cell r="C418" t="str">
            <v>Transp,material penunj.  &lt;umum&gt;</v>
          </cell>
          <cell r="D418">
            <v>1911132111</v>
          </cell>
          <cell r="E418">
            <v>0</v>
          </cell>
        </row>
        <row r="419">
          <cell r="C419" t="str">
            <v>Transp.a.j.operator/pelaksana  &lt;ohc&gt;</v>
          </cell>
          <cell r="D419">
            <v>4111111119</v>
          </cell>
          <cell r="E419">
            <v>0</v>
          </cell>
        </row>
        <row r="420">
          <cell r="C420" t="str">
            <v>Transp.a.j.TK labita  &lt;umum&gt;</v>
          </cell>
          <cell r="D420">
            <v>1911111111</v>
          </cell>
          <cell r="E420">
            <v>0</v>
          </cell>
        </row>
        <row r="421">
          <cell r="C421" t="str">
            <v>Transp.a.j.TK pemanenan  &lt;umum&gt;</v>
          </cell>
          <cell r="D421">
            <v>1911111511</v>
          </cell>
          <cell r="E421">
            <v>0</v>
          </cell>
        </row>
        <row r="422">
          <cell r="C422" t="str">
            <v>Transp.a.j.TK perawatan  &lt;umum&gt;</v>
          </cell>
          <cell r="D422">
            <v>1911111311</v>
          </cell>
          <cell r="E422">
            <v>0</v>
          </cell>
        </row>
        <row r="423">
          <cell r="C423" t="str">
            <v>Transp.antar jemp.TK  &lt;p.brom.&gt;</v>
          </cell>
          <cell r="D423">
            <v>3111111511</v>
          </cell>
          <cell r="E423">
            <v>0</v>
          </cell>
        </row>
        <row r="424">
          <cell r="C424" t="str">
            <v>Transp.antar jemput TK  &lt;pbo&gt;</v>
          </cell>
          <cell r="D424">
            <v>3111131511</v>
          </cell>
          <cell r="E424">
            <v>0</v>
          </cell>
        </row>
        <row r="425">
          <cell r="C425" t="str">
            <v>Transp.bbt pohonan ke lok tanam</v>
          </cell>
          <cell r="D425">
            <v>1117152327</v>
          </cell>
          <cell r="E425">
            <v>0</v>
          </cell>
        </row>
        <row r="426">
          <cell r="C426" t="str">
            <v>Transp.bbt stek btg pjg  &lt;pool&gt;</v>
          </cell>
          <cell r="D426">
            <v>1115192517</v>
          </cell>
          <cell r="E426">
            <v>0</v>
          </cell>
        </row>
        <row r="427">
          <cell r="C427" t="str">
            <v>Transp.bonggol ke pool/pab.  &lt;p.brom.&gt;</v>
          </cell>
          <cell r="D427">
            <v>3111111317</v>
          </cell>
          <cell r="E427">
            <v>0</v>
          </cell>
        </row>
        <row r="428">
          <cell r="C428" t="str">
            <v>Transp.panen hijauan  &lt;konserv.lhn&gt;</v>
          </cell>
          <cell r="D428">
            <v>1113152119</v>
          </cell>
          <cell r="E428">
            <v>0</v>
          </cell>
        </row>
        <row r="429">
          <cell r="C429" t="str">
            <v>Transp.perlengk./alat penunj.  &lt;umum&gt;</v>
          </cell>
          <cell r="D429">
            <v>1911132311</v>
          </cell>
          <cell r="E429">
            <v>0</v>
          </cell>
        </row>
        <row r="430">
          <cell r="C430" t="str">
            <v>Transp.pindah bbt pohonan di lok tanam</v>
          </cell>
          <cell r="D430">
            <v>1117152329</v>
          </cell>
          <cell r="E430">
            <v>0</v>
          </cell>
        </row>
        <row r="431">
          <cell r="C431" t="str">
            <v>Transp.seresah/sisa tnm  &lt;p.lhn&gt;</v>
          </cell>
          <cell r="D431">
            <v>1113211117</v>
          </cell>
          <cell r="E431">
            <v>0</v>
          </cell>
        </row>
        <row r="432">
          <cell r="C432" t="str">
            <v>Transp/dump mat.timbun mek. &lt;prw.drain&gt;</v>
          </cell>
          <cell r="D432">
            <v>1317131311</v>
          </cell>
          <cell r="E432">
            <v>0</v>
          </cell>
        </row>
        <row r="433">
          <cell r="C433" t="str">
            <v>Transport bahan ke pool  &lt;pbo&gt;</v>
          </cell>
          <cell r="D433">
            <v>3111131319</v>
          </cell>
          <cell r="E433">
            <v>0</v>
          </cell>
        </row>
        <row r="434">
          <cell r="C434" t="str">
            <v>Transport bbt  &lt;pool&gt;</v>
          </cell>
          <cell r="D434">
            <v>1115191317</v>
          </cell>
          <cell r="E434">
            <v>0</v>
          </cell>
        </row>
        <row r="435">
          <cell r="C435" t="str">
            <v>Transport bbt hijauan  &lt;konserv.p.lhn&gt;</v>
          </cell>
          <cell r="D435">
            <v>1113151319</v>
          </cell>
          <cell r="E435">
            <v>0</v>
          </cell>
        </row>
        <row r="436">
          <cell r="C436" t="str">
            <v>Transport bbt ke lok.tanam</v>
          </cell>
          <cell r="D436">
            <v>1117151317</v>
          </cell>
          <cell r="E436">
            <v>0</v>
          </cell>
        </row>
        <row r="437">
          <cell r="C437" t="str">
            <v>Transport bbt pohonan  &lt;pool&gt;</v>
          </cell>
          <cell r="D437">
            <v>1115192527</v>
          </cell>
          <cell r="E437">
            <v>0</v>
          </cell>
        </row>
        <row r="438">
          <cell r="C438" t="str">
            <v>Transport bhn pemupukan  &lt;ppk&gt;</v>
          </cell>
          <cell r="D438">
            <v>1311111319</v>
          </cell>
          <cell r="E438">
            <v>0</v>
          </cell>
        </row>
        <row r="439">
          <cell r="C439" t="str">
            <v>Transport hasil panen</v>
          </cell>
          <cell r="D439">
            <v>1511151317</v>
          </cell>
          <cell r="E439">
            <v>0</v>
          </cell>
        </row>
        <row r="440">
          <cell r="C440" t="str">
            <v>Transport irrigator</v>
          </cell>
          <cell r="D440">
            <v>1323111127</v>
          </cell>
          <cell r="E440">
            <v>0</v>
          </cell>
        </row>
        <row r="441">
          <cell r="C441" t="str">
            <v>Transport Panen Customer</v>
          </cell>
          <cell r="D441">
            <v>1511211713</v>
          </cell>
          <cell r="E441">
            <v>0</v>
          </cell>
        </row>
        <row r="442">
          <cell r="C442" t="str">
            <v>Transport panen lokasi ke pabrik</v>
          </cell>
          <cell r="D442">
            <v>1511151323</v>
          </cell>
          <cell r="E442">
            <v>0</v>
          </cell>
        </row>
        <row r="443">
          <cell r="C443" t="str">
            <v>Transport panen lokasi ke pool</v>
          </cell>
          <cell r="D443">
            <v>1511151321</v>
          </cell>
          <cell r="E443">
            <v>0</v>
          </cell>
        </row>
        <row r="444">
          <cell r="C444" t="str">
            <v>Transport panen pool ke pabrik</v>
          </cell>
          <cell r="D444">
            <v>1511151327</v>
          </cell>
          <cell r="E444">
            <v>0</v>
          </cell>
        </row>
        <row r="445">
          <cell r="C445" t="str">
            <v>Transport panen pool ke pool</v>
          </cell>
          <cell r="D445">
            <v>1511151325</v>
          </cell>
          <cell r="E445">
            <v>0</v>
          </cell>
        </row>
        <row r="446">
          <cell r="C446" t="str">
            <v>Transport Pipa Irigasi</v>
          </cell>
          <cell r="D446">
            <v>1323111117</v>
          </cell>
          <cell r="E446">
            <v>0</v>
          </cell>
        </row>
        <row r="447">
          <cell r="C447" t="str">
            <v>Transport Pupuk &lt;konserv.lhn&gt;</v>
          </cell>
          <cell r="D447">
            <v>1113151717</v>
          </cell>
          <cell r="E447">
            <v>0</v>
          </cell>
        </row>
        <row r="448">
          <cell r="C448" t="str">
            <v>Transport seresah/sampah  &lt;Hpt&gt;</v>
          </cell>
          <cell r="D448">
            <v>1313151517</v>
          </cell>
          <cell r="E448">
            <v>0</v>
          </cell>
        </row>
        <row r="449">
          <cell r="C449" t="str">
            <v>Treatment pasca panen  &lt;umum&gt;</v>
          </cell>
          <cell r="D449">
            <v>1911251113</v>
          </cell>
          <cell r="E449">
            <v>0</v>
          </cell>
        </row>
        <row r="450">
          <cell r="C450" t="str">
            <v>Uncek (matikan ttk tumb.) tnm  &lt;prw&gt;</v>
          </cell>
          <cell r="D450">
            <v>1319111517</v>
          </cell>
          <cell r="E450">
            <v>0</v>
          </cell>
        </row>
        <row r="451">
          <cell r="C451" t="str">
            <v>Unjal/pindah bibit man.  &lt;pool&gt;</v>
          </cell>
          <cell r="D451">
            <v>1115191119</v>
          </cell>
          <cell r="E451">
            <v>0</v>
          </cell>
        </row>
        <row r="452">
          <cell r="C452" t="str">
            <v>Unjal/pindah man. hasil panen</v>
          </cell>
          <cell r="D452">
            <v>1511151711</v>
          </cell>
          <cell r="E452">
            <v>0</v>
          </cell>
        </row>
        <row r="453">
          <cell r="C453" t="str">
            <v>Unjal/pindah manual bahan  &lt;pbo&gt;</v>
          </cell>
          <cell r="D453">
            <v>3111131317</v>
          </cell>
          <cell r="E453">
            <v>0</v>
          </cell>
        </row>
        <row r="454">
          <cell r="C454" t="str">
            <v>Weeding man.</v>
          </cell>
          <cell r="D454">
            <v>1315111111</v>
          </cell>
          <cell r="E454" t="str">
            <v>Etri 1</v>
          </cell>
        </row>
        <row r="455">
          <cell r="C455" t="str">
            <v>Weeding spot man.</v>
          </cell>
          <cell r="D455">
            <v>1315111113</v>
          </cell>
          <cell r="E455">
            <v>0</v>
          </cell>
        </row>
        <row r="456">
          <cell r="C456" t="str">
            <v>Wiwil buah  &lt;prw&gt;</v>
          </cell>
          <cell r="D456">
            <v>1319131113</v>
          </cell>
          <cell r="E456">
            <v>0</v>
          </cell>
        </row>
        <row r="457">
          <cell r="C457" t="str">
            <v>Service gorong-2  &lt;prw.drain&gt;</v>
          </cell>
          <cell r="D457">
            <v>0</v>
          </cell>
          <cell r="E457" t="str">
            <v>Widi</v>
          </cell>
        </row>
        <row r="458">
          <cell r="C458" t="str">
            <v>Pasang gorong-2  &lt;prw.drain&gt;</v>
          </cell>
          <cell r="D458">
            <v>0</v>
          </cell>
          <cell r="E458" t="str">
            <v>Widi</v>
          </cell>
        </row>
        <row r="459">
          <cell r="C459" t="str">
            <v>Buat patok/ajir/tanda tanam &lt;prw.drain&gt;</v>
          </cell>
          <cell r="D459">
            <v>0</v>
          </cell>
          <cell r="E459" t="str">
            <v>Widi</v>
          </cell>
        </row>
        <row r="460">
          <cell r="C460" t="str">
            <v>Wiwil/pks cabang tnm  &lt;prw&gt;</v>
          </cell>
          <cell r="D460">
            <v>1319111313</v>
          </cell>
          <cell r="E460" t="str">
            <v>Karno</v>
          </cell>
        </row>
      </sheetData>
      <sheetData sheetId="7" refreshError="1"/>
      <sheetData sheetId="8">
        <row r="9">
          <cell r="A9" t="str">
            <v>501A</v>
          </cell>
          <cell r="B9" t="str">
            <v>3</v>
          </cell>
          <cell r="C9" t="str">
            <v>05</v>
          </cell>
          <cell r="D9">
            <v>16</v>
          </cell>
          <cell r="E9" t="str">
            <v>501A</v>
          </cell>
          <cell r="F9">
            <v>9.94</v>
          </cell>
          <cell r="G9">
            <v>7.89</v>
          </cell>
          <cell r="H9">
            <v>7.89</v>
          </cell>
          <cell r="I9" t="str">
            <v>SC</v>
          </cell>
          <cell r="J9" t="str">
            <v>BB</v>
          </cell>
          <cell r="K9">
            <v>8</v>
          </cell>
          <cell r="L9">
            <v>45884</v>
          </cell>
          <cell r="M9">
            <v>45884</v>
          </cell>
          <cell r="N9">
            <v>110</v>
          </cell>
          <cell r="O9" t="str">
            <v>NS</v>
          </cell>
          <cell r="P9" t="str">
            <v/>
          </cell>
          <cell r="Q9">
            <v>46128</v>
          </cell>
          <cell r="R9" t="str">
            <v/>
          </cell>
          <cell r="S9" t="str">
            <v/>
          </cell>
          <cell r="T9" t="str">
            <v/>
          </cell>
          <cell r="U9">
            <v>65395</v>
          </cell>
          <cell r="V9">
            <v>65968</v>
          </cell>
          <cell r="W9" t="str">
            <v/>
          </cell>
          <cell r="X9" t="str">
            <v>Lokasi Produksi 501A</v>
          </cell>
          <cell r="Z9">
            <v>8</v>
          </cell>
          <cell r="AA9">
            <v>46128</v>
          </cell>
          <cell r="AB9">
            <v>69.597336111110053</v>
          </cell>
          <cell r="AC9">
            <v>2.3199112037036684</v>
          </cell>
          <cell r="AD9">
            <v>-11.680088796296332</v>
          </cell>
          <cell r="AE9">
            <v>8.75</v>
          </cell>
          <cell r="AF9">
            <v>0</v>
          </cell>
          <cell r="AG9">
            <v>-1372.3666666666666</v>
          </cell>
          <cell r="AM9" t="str">
            <v>OK</v>
          </cell>
          <cell r="AO9">
            <v>3.6785184413580283</v>
          </cell>
          <cell r="AP9">
            <v>-4.3214815586419721</v>
          </cell>
          <cell r="AQ9">
            <v>0</v>
          </cell>
          <cell r="AR9">
            <v>3.6785184413580283</v>
          </cell>
          <cell r="AS9">
            <v>0</v>
          </cell>
          <cell r="AT9">
            <v>46128</v>
          </cell>
          <cell r="AU9">
            <v>-4.3214815586419721</v>
          </cell>
          <cell r="AV9">
            <v>110.35555324074085</v>
          </cell>
          <cell r="AW9">
            <v>-4.3214815586419721</v>
          </cell>
          <cell r="AY9">
            <v>115.46369178241002</v>
          </cell>
          <cell r="AZ9" t="str">
            <v>F18</v>
          </cell>
          <cell r="BA9">
            <v>7.89</v>
          </cell>
          <cell r="BB9" t="str">
            <v>NSSC</v>
          </cell>
          <cell r="BC9" t="str">
            <v>F18</v>
          </cell>
        </row>
        <row r="10">
          <cell r="A10" t="str">
            <v>501B1</v>
          </cell>
          <cell r="B10" t="str">
            <v>3</v>
          </cell>
          <cell r="C10" t="str">
            <v>05</v>
          </cell>
          <cell r="D10">
            <v>16</v>
          </cell>
          <cell r="E10" t="str">
            <v>501B1</v>
          </cell>
          <cell r="F10">
            <v>8.5299999999999994</v>
          </cell>
          <cell r="G10">
            <v>6.62</v>
          </cell>
          <cell r="H10">
            <v>6.76</v>
          </cell>
          <cell r="I10" t="str">
            <v>ST</v>
          </cell>
          <cell r="J10" t="str">
            <v>BK</v>
          </cell>
          <cell r="K10">
            <v>0</v>
          </cell>
          <cell r="L10">
            <v>45986</v>
          </cell>
          <cell r="M10">
            <v>45986</v>
          </cell>
          <cell r="N10">
            <v>8</v>
          </cell>
          <cell r="O10" t="str">
            <v>NS</v>
          </cell>
          <cell r="P10" t="str">
            <v/>
          </cell>
          <cell r="Q10">
            <v>45986</v>
          </cell>
          <cell r="R10" t="str">
            <v/>
          </cell>
          <cell r="S10" t="str">
            <v/>
          </cell>
          <cell r="T10" t="str">
            <v/>
          </cell>
          <cell r="U10">
            <v>70273</v>
          </cell>
          <cell r="V10">
            <v>49593</v>
          </cell>
          <cell r="W10">
            <v>43654</v>
          </cell>
          <cell r="X10" t="str">
            <v>Lokasi Produksi 501B1</v>
          </cell>
          <cell r="Z10">
            <v>0</v>
          </cell>
          <cell r="AA10">
            <v>45986</v>
          </cell>
          <cell r="AB10">
            <v>149.59733611111005</v>
          </cell>
          <cell r="AC10">
            <v>4.9865778703703354</v>
          </cell>
          <cell r="AD10">
            <v>-3.0134221296296646</v>
          </cell>
          <cell r="AE10">
            <v>22.34</v>
          </cell>
          <cell r="AF10">
            <v>0</v>
          </cell>
          <cell r="AG10">
            <v>-1369.7</v>
          </cell>
          <cell r="AM10" t="str">
            <v>OK</v>
          </cell>
          <cell r="AO10">
            <v>0.27851844135802822</v>
          </cell>
          <cell r="AP10">
            <v>0.27851844135802822</v>
          </cell>
          <cell r="AQ10">
            <v>0</v>
          </cell>
          <cell r="AR10">
            <v>0.27851844135802822</v>
          </cell>
          <cell r="AS10">
            <v>0</v>
          </cell>
          <cell r="AT10">
            <v>45986</v>
          </cell>
          <cell r="AU10">
            <v>0.27851844135802822</v>
          </cell>
          <cell r="AV10">
            <v>8.3555532407408464</v>
          </cell>
          <cell r="AW10">
            <v>0.27851844135802822</v>
          </cell>
          <cell r="AY10">
            <v>13.463691782410024</v>
          </cell>
          <cell r="AZ10" t="str">
            <v>F18</v>
          </cell>
          <cell r="BA10">
            <v>0</v>
          </cell>
          <cell r="BB10" t="str">
            <v>NSST</v>
          </cell>
          <cell r="BC10" t="str">
            <v>F18</v>
          </cell>
        </row>
        <row r="11">
          <cell r="A11" t="str">
            <v>501B2</v>
          </cell>
          <cell r="B11" t="str">
            <v>3</v>
          </cell>
          <cell r="C11" t="str">
            <v>05</v>
          </cell>
          <cell r="D11">
            <v>16</v>
          </cell>
          <cell r="E11" t="str">
            <v>501B2</v>
          </cell>
          <cell r="F11">
            <v>8.68</v>
          </cell>
          <cell r="G11">
            <v>6.95</v>
          </cell>
          <cell r="H11">
            <v>6.95</v>
          </cell>
          <cell r="I11" t="str">
            <v>ST</v>
          </cell>
          <cell r="J11" t="str">
            <v>BK</v>
          </cell>
          <cell r="K11">
            <v>0</v>
          </cell>
          <cell r="L11">
            <v>45986</v>
          </cell>
          <cell r="M11">
            <v>45986</v>
          </cell>
          <cell r="N11">
            <v>8</v>
          </cell>
          <cell r="O11" t="str">
            <v>NS</v>
          </cell>
          <cell r="P11" t="str">
            <v/>
          </cell>
          <cell r="Q11">
            <v>45986</v>
          </cell>
          <cell r="R11" t="str">
            <v/>
          </cell>
          <cell r="S11" t="str">
            <v/>
          </cell>
          <cell r="T11" t="str">
            <v/>
          </cell>
          <cell r="U11">
            <v>69629</v>
          </cell>
          <cell r="V11">
            <v>50660</v>
          </cell>
          <cell r="W11">
            <v>43654</v>
          </cell>
          <cell r="X11" t="str">
            <v>Lokasi Produksi 501B2</v>
          </cell>
          <cell r="Z11">
            <v>0</v>
          </cell>
          <cell r="AA11">
            <v>45986</v>
          </cell>
          <cell r="AB11">
            <v>389.59733611111005</v>
          </cell>
          <cell r="AC11">
            <v>12.986577870370335</v>
          </cell>
          <cell r="AD11">
            <v>-1.0134221296296655</v>
          </cell>
          <cell r="AE11">
            <v>21.29</v>
          </cell>
          <cell r="AF11">
            <v>0</v>
          </cell>
          <cell r="AG11">
            <v>-1361.7</v>
          </cell>
          <cell r="AM11" t="str">
            <v>OK</v>
          </cell>
          <cell r="AO11">
            <v>0.27851844135802822</v>
          </cell>
          <cell r="AP11">
            <v>0.27851844135802822</v>
          </cell>
          <cell r="AQ11">
            <v>0</v>
          </cell>
          <cell r="AR11">
            <v>0.27851844135802822</v>
          </cell>
          <cell r="AS11">
            <v>0</v>
          </cell>
          <cell r="AT11">
            <v>45986</v>
          </cell>
          <cell r="AU11">
            <v>0.27851844135802822</v>
          </cell>
          <cell r="AV11">
            <v>8.3555532407408464</v>
          </cell>
          <cell r="AW11">
            <v>0.27851844135802822</v>
          </cell>
          <cell r="AY11">
            <v>13.463691782410024</v>
          </cell>
          <cell r="AZ11" t="str">
            <v>F18</v>
          </cell>
          <cell r="BA11">
            <v>0</v>
          </cell>
          <cell r="BB11" t="str">
            <v>NSST</v>
          </cell>
          <cell r="BC11" t="str">
            <v>F18</v>
          </cell>
        </row>
        <row r="12">
          <cell r="A12" t="str">
            <v>501B3</v>
          </cell>
          <cell r="B12" t="str">
            <v>3</v>
          </cell>
          <cell r="C12" t="str">
            <v>05</v>
          </cell>
          <cell r="D12">
            <v>16</v>
          </cell>
          <cell r="E12" t="str">
            <v>501B3</v>
          </cell>
          <cell r="F12">
            <v>9.26</v>
          </cell>
          <cell r="G12">
            <v>7.49</v>
          </cell>
          <cell r="H12">
            <v>7.49</v>
          </cell>
          <cell r="I12" t="str">
            <v>ST</v>
          </cell>
          <cell r="J12" t="str">
            <v>BK</v>
          </cell>
          <cell r="K12">
            <v>0</v>
          </cell>
          <cell r="L12">
            <v>45986</v>
          </cell>
          <cell r="M12">
            <v>45986</v>
          </cell>
          <cell r="N12">
            <v>8</v>
          </cell>
          <cell r="O12" t="str">
            <v>NS</v>
          </cell>
          <cell r="P12" t="str">
            <v/>
          </cell>
          <cell r="Q12">
            <v>45986</v>
          </cell>
          <cell r="R12" t="str">
            <v/>
          </cell>
          <cell r="S12" t="str">
            <v/>
          </cell>
          <cell r="T12" t="str">
            <v/>
          </cell>
          <cell r="U12">
            <v>71902</v>
          </cell>
          <cell r="V12">
            <v>51465</v>
          </cell>
          <cell r="W12">
            <v>43642</v>
          </cell>
          <cell r="X12" t="str">
            <v>Lokasi Produksi 501B3</v>
          </cell>
          <cell r="Z12">
            <v>0</v>
          </cell>
          <cell r="AA12">
            <v>45986</v>
          </cell>
          <cell r="AB12">
            <v>388.59733611111005</v>
          </cell>
          <cell r="AC12">
            <v>12.953244537037001</v>
          </cell>
          <cell r="AD12">
            <v>-1.0467554629629987</v>
          </cell>
          <cell r="AE12">
            <v>11</v>
          </cell>
          <cell r="AF12">
            <v>0</v>
          </cell>
          <cell r="AG12">
            <v>-1361.7333333333333</v>
          </cell>
          <cell r="AM12" t="str">
            <v>OK</v>
          </cell>
          <cell r="AO12">
            <v>0.27851844135802822</v>
          </cell>
          <cell r="AP12">
            <v>0.27851844135802822</v>
          </cell>
          <cell r="AQ12">
            <v>0</v>
          </cell>
          <cell r="AR12">
            <v>0.27851844135802822</v>
          </cell>
          <cell r="AS12">
            <v>0</v>
          </cell>
          <cell r="AT12">
            <v>45986</v>
          </cell>
          <cell r="AU12">
            <v>0.27851844135802822</v>
          </cell>
          <cell r="AV12">
            <v>8.3555532407408464</v>
          </cell>
          <cell r="AW12">
            <v>0.27851844135802822</v>
          </cell>
          <cell r="AY12">
            <v>13.463691782410024</v>
          </cell>
          <cell r="AZ12" t="str">
            <v>F18</v>
          </cell>
          <cell r="BA12">
            <v>0</v>
          </cell>
          <cell r="BB12" t="str">
            <v>NSST</v>
          </cell>
          <cell r="BC12" t="str">
            <v>F18</v>
          </cell>
        </row>
        <row r="13">
          <cell r="A13" t="str">
            <v>501C1</v>
          </cell>
          <cell r="B13" t="str">
            <v>3</v>
          </cell>
          <cell r="C13" t="str">
            <v>05</v>
          </cell>
          <cell r="D13">
            <v>16</v>
          </cell>
          <cell r="E13" t="str">
            <v>501C1</v>
          </cell>
          <cell r="F13">
            <v>13.75</v>
          </cell>
          <cell r="G13">
            <v>11.51</v>
          </cell>
          <cell r="H13">
            <v>11.51</v>
          </cell>
          <cell r="I13" t="str">
            <v>FC</v>
          </cell>
          <cell r="J13" t="str">
            <v>ST</v>
          </cell>
          <cell r="K13">
            <v>10</v>
          </cell>
          <cell r="L13">
            <v>45788</v>
          </cell>
          <cell r="M13">
            <v>45788</v>
          </cell>
          <cell r="N13">
            <v>206</v>
          </cell>
          <cell r="O13" t="str">
            <v>NS</v>
          </cell>
          <cell r="P13" t="str">
            <v>NSGP3SB3</v>
          </cell>
          <cell r="Q13">
            <v>46093</v>
          </cell>
          <cell r="R13" t="str">
            <v/>
          </cell>
          <cell r="S13" t="str">
            <v/>
          </cell>
          <cell r="T13" t="str">
            <v/>
          </cell>
          <cell r="U13">
            <v>70519</v>
          </cell>
          <cell r="V13">
            <v>71710</v>
          </cell>
          <cell r="W13">
            <v>44543</v>
          </cell>
          <cell r="X13" t="str">
            <v>Lokasi Produksi 501C1 ( pecahan 501C )</v>
          </cell>
          <cell r="Z13">
            <v>10</v>
          </cell>
          <cell r="AA13">
            <v>46093</v>
          </cell>
          <cell r="AB13">
            <v>496.59733611111005</v>
          </cell>
          <cell r="AC13">
            <v>16.553244537037003</v>
          </cell>
          <cell r="AD13">
            <v>2.5532445370370027</v>
          </cell>
          <cell r="AE13">
            <v>5.21</v>
          </cell>
          <cell r="AF13">
            <v>0</v>
          </cell>
          <cell r="AG13">
            <v>-1358.1333333333334</v>
          </cell>
          <cell r="AM13" t="str">
            <v>OK</v>
          </cell>
          <cell r="AO13">
            <v>6.878518441358028</v>
          </cell>
          <cell r="AP13">
            <v>-3.121481558641972</v>
          </cell>
          <cell r="AQ13">
            <v>0</v>
          </cell>
          <cell r="AR13">
            <v>6.878518441358028</v>
          </cell>
          <cell r="AS13">
            <v>0</v>
          </cell>
          <cell r="AT13">
            <v>46093</v>
          </cell>
          <cell r="AU13">
            <v>-3.121481558641972</v>
          </cell>
          <cell r="AV13">
            <v>206.35555324074085</v>
          </cell>
          <cell r="AW13">
            <v>-3.121481558641972</v>
          </cell>
          <cell r="AY13">
            <v>211.46369178241002</v>
          </cell>
          <cell r="AZ13" t="str">
            <v>GP3</v>
          </cell>
          <cell r="BA13">
            <v>11.51</v>
          </cell>
          <cell r="BB13" t="str">
            <v>NSFC</v>
          </cell>
          <cell r="BC13" t="str">
            <v>GP3SB</v>
          </cell>
        </row>
        <row r="14">
          <cell r="A14" t="str">
            <v>501C2</v>
          </cell>
          <cell r="B14" t="str">
            <v>3</v>
          </cell>
          <cell r="C14" t="str">
            <v>05</v>
          </cell>
          <cell r="D14">
            <v>16</v>
          </cell>
          <cell r="E14" t="str">
            <v>501C2</v>
          </cell>
          <cell r="F14">
            <v>10.61</v>
          </cell>
          <cell r="G14">
            <v>8.92</v>
          </cell>
          <cell r="H14">
            <v>8.92</v>
          </cell>
          <cell r="I14" t="str">
            <v>FC</v>
          </cell>
          <cell r="J14" t="str">
            <v>ST</v>
          </cell>
          <cell r="K14">
            <v>10</v>
          </cell>
          <cell r="L14">
            <v>45803</v>
          </cell>
          <cell r="M14">
            <v>45803</v>
          </cell>
          <cell r="N14">
            <v>191</v>
          </cell>
          <cell r="O14" t="str">
            <v>NS</v>
          </cell>
          <cell r="P14" t="str">
            <v>NSGP3SB3</v>
          </cell>
          <cell r="Q14">
            <v>46108</v>
          </cell>
          <cell r="R14" t="str">
            <v/>
          </cell>
          <cell r="S14" t="str">
            <v/>
          </cell>
          <cell r="T14" t="str">
            <v/>
          </cell>
          <cell r="U14">
            <v>68324</v>
          </cell>
          <cell r="V14">
            <v>72580</v>
          </cell>
          <cell r="W14">
            <v>44543</v>
          </cell>
          <cell r="X14" t="str">
            <v>Lokasi Produksi 501C2 ( pecahan 501C )</v>
          </cell>
          <cell r="Z14">
            <v>10</v>
          </cell>
          <cell r="AA14">
            <v>46108</v>
          </cell>
          <cell r="AB14">
            <v>5441.5973361111101</v>
          </cell>
          <cell r="AC14">
            <v>181.38657787037033</v>
          </cell>
          <cell r="AD14">
            <v>-20</v>
          </cell>
          <cell r="AE14">
            <v>0</v>
          </cell>
          <cell r="AF14">
            <v>0</v>
          </cell>
          <cell r="AG14">
            <v>-1193.3</v>
          </cell>
          <cell r="AM14" t="str">
            <v>OK</v>
          </cell>
          <cell r="AO14">
            <v>6.378518441358028</v>
          </cell>
          <cell r="AP14">
            <v>-3.621481558641972</v>
          </cell>
          <cell r="AQ14">
            <v>0</v>
          </cell>
          <cell r="AR14">
            <v>6.378518441358028</v>
          </cell>
          <cell r="AS14">
            <v>0</v>
          </cell>
          <cell r="AT14">
            <v>46108</v>
          </cell>
          <cell r="AU14">
            <v>-3.621481558641972</v>
          </cell>
          <cell r="AV14">
            <v>191.35555324074085</v>
          </cell>
          <cell r="AW14">
            <v>-3.621481558641972</v>
          </cell>
          <cell r="AY14">
            <v>196.46369178241002</v>
          </cell>
          <cell r="AZ14" t="str">
            <v>GP3</v>
          </cell>
          <cell r="BA14">
            <v>8.92</v>
          </cell>
          <cell r="BB14" t="str">
            <v>NSFC</v>
          </cell>
          <cell r="BC14" t="str">
            <v>GP3SB</v>
          </cell>
        </row>
        <row r="15">
          <cell r="A15" t="str">
            <v>501E</v>
          </cell>
          <cell r="B15" t="str">
            <v>3</v>
          </cell>
          <cell r="C15" t="str">
            <v>05</v>
          </cell>
          <cell r="D15">
            <v>16</v>
          </cell>
          <cell r="E15" t="str">
            <v>501E</v>
          </cell>
          <cell r="F15">
            <v>12.44</v>
          </cell>
          <cell r="G15">
            <v>9.7799999999999994</v>
          </cell>
          <cell r="H15">
            <v>9.7799999999999994</v>
          </cell>
          <cell r="I15" t="str">
            <v>SC</v>
          </cell>
          <cell r="J15" t="str">
            <v>FC</v>
          </cell>
          <cell r="K15">
            <v>8</v>
          </cell>
          <cell r="L15">
            <v>45849</v>
          </cell>
          <cell r="M15">
            <v>45849</v>
          </cell>
          <cell r="N15">
            <v>145</v>
          </cell>
          <cell r="O15" t="str">
            <v>NS</v>
          </cell>
          <cell r="P15" t="str">
            <v/>
          </cell>
          <cell r="Q15">
            <v>46093</v>
          </cell>
          <cell r="R15" t="str">
            <v/>
          </cell>
          <cell r="S15" t="str">
            <v/>
          </cell>
          <cell r="T15" t="str">
            <v/>
          </cell>
          <cell r="U15">
            <v>70335</v>
          </cell>
          <cell r="V15">
            <v>69641</v>
          </cell>
          <cell r="W15">
            <v>43559</v>
          </cell>
          <cell r="X15" t="str">
            <v>Lokasi Produksi 501E</v>
          </cell>
          <cell r="Z15">
            <v>8</v>
          </cell>
          <cell r="AA15">
            <v>46093</v>
          </cell>
          <cell r="AB15">
            <v>322.59733611111005</v>
          </cell>
          <cell r="AC15">
            <v>10.753244537037002</v>
          </cell>
          <cell r="AD15">
            <v>-1.246755462962998</v>
          </cell>
          <cell r="AE15">
            <v>15.66</v>
          </cell>
          <cell r="AF15">
            <v>0</v>
          </cell>
          <cell r="AG15">
            <v>-1363.9333333333334</v>
          </cell>
          <cell r="AM15" t="str">
            <v>OK</v>
          </cell>
          <cell r="AO15">
            <v>4.8451851080246948</v>
          </cell>
          <cell r="AP15">
            <v>-3.1548148919753052</v>
          </cell>
          <cell r="AQ15">
            <v>0</v>
          </cell>
          <cell r="AR15">
            <v>4.8451851080246948</v>
          </cell>
          <cell r="AS15">
            <v>0</v>
          </cell>
          <cell r="AT15">
            <v>46093</v>
          </cell>
          <cell r="AU15">
            <v>-3.1548148919753052</v>
          </cell>
          <cell r="AV15">
            <v>145.35555324074085</v>
          </cell>
          <cell r="AW15">
            <v>-3.1548148919753052</v>
          </cell>
          <cell r="AX15">
            <v>-2.1548148919753052</v>
          </cell>
          <cell r="AY15">
            <v>150.46369178241002</v>
          </cell>
          <cell r="AZ15" t="str">
            <v>F18</v>
          </cell>
          <cell r="BA15">
            <v>9.7799999999999994</v>
          </cell>
          <cell r="BB15" t="str">
            <v>NSSC</v>
          </cell>
          <cell r="BC15" t="str">
            <v>F18</v>
          </cell>
        </row>
        <row r="16">
          <cell r="A16" t="str">
            <v>501F</v>
          </cell>
          <cell r="B16" t="str">
            <v>3</v>
          </cell>
          <cell r="C16" t="str">
            <v>05</v>
          </cell>
          <cell r="D16">
            <v>16</v>
          </cell>
          <cell r="E16" t="str">
            <v>501F</v>
          </cell>
          <cell r="F16">
            <v>5.99</v>
          </cell>
          <cell r="G16">
            <v>4.74</v>
          </cell>
          <cell r="H16">
            <v>4.7699999999999996</v>
          </cell>
          <cell r="I16" t="str">
            <v>BB</v>
          </cell>
          <cell r="J16" t="str">
            <v>FC</v>
          </cell>
          <cell r="K16">
            <v>0</v>
          </cell>
          <cell r="L16">
            <v>45777</v>
          </cell>
          <cell r="M16">
            <v>45777</v>
          </cell>
          <cell r="N16">
            <v>217</v>
          </cell>
          <cell r="O16" t="str">
            <v>NS</v>
          </cell>
          <cell r="P16" t="str">
            <v/>
          </cell>
          <cell r="Q16">
            <v>45777</v>
          </cell>
          <cell r="R16" t="str">
            <v/>
          </cell>
          <cell r="S16" t="str">
            <v/>
          </cell>
          <cell r="T16" t="str">
            <v/>
          </cell>
          <cell r="U16">
            <v>67576</v>
          </cell>
          <cell r="V16">
            <v>69307</v>
          </cell>
          <cell r="W16">
            <v>43559</v>
          </cell>
          <cell r="X16" t="str">
            <v>Lokasi Produksi 501F</v>
          </cell>
          <cell r="Z16">
            <v>0</v>
          </cell>
          <cell r="AA16">
            <v>45777</v>
          </cell>
          <cell r="AB16">
            <v>313.59733611111005</v>
          </cell>
          <cell r="AC16">
            <v>10.453244537037001</v>
          </cell>
          <cell r="AD16">
            <v>-1.5467554629629987</v>
          </cell>
          <cell r="AE16">
            <v>12.91</v>
          </cell>
          <cell r="AF16">
            <v>0</v>
          </cell>
          <cell r="AG16">
            <v>-1364.2333333333333</v>
          </cell>
          <cell r="AM16" t="str">
            <v>OK</v>
          </cell>
          <cell r="AO16">
            <v>7.2451851080246952</v>
          </cell>
          <cell r="AP16">
            <v>7.2451851080246952</v>
          </cell>
          <cell r="AQ16">
            <v>0</v>
          </cell>
          <cell r="AR16">
            <v>7.2451851080246952</v>
          </cell>
          <cell r="AS16">
            <v>0</v>
          </cell>
          <cell r="AT16">
            <v>45777</v>
          </cell>
          <cell r="AU16">
            <v>7.2451851080246952</v>
          </cell>
          <cell r="AV16">
            <v>217.35555324074085</v>
          </cell>
          <cell r="AW16">
            <v>7.2451851080246952</v>
          </cell>
          <cell r="AY16">
            <v>222.46369178241002</v>
          </cell>
          <cell r="AZ16" t="str">
            <v>F18</v>
          </cell>
          <cell r="BA16">
            <v>0</v>
          </cell>
          <cell r="BB16" t="str">
            <v>NSBB</v>
          </cell>
          <cell r="BC16" t="str">
            <v>F18</v>
          </cell>
        </row>
        <row r="17">
          <cell r="A17" t="str">
            <v>502A1</v>
          </cell>
          <cell r="B17" t="str">
            <v>3</v>
          </cell>
          <cell r="C17" t="str">
            <v>05</v>
          </cell>
          <cell r="D17">
            <v>16</v>
          </cell>
          <cell r="E17" t="str">
            <v>502A1</v>
          </cell>
          <cell r="F17">
            <v>7.25</v>
          </cell>
          <cell r="G17">
            <v>6.12</v>
          </cell>
          <cell r="H17">
            <v>6.12</v>
          </cell>
          <cell r="I17" t="str">
            <v>FC</v>
          </cell>
          <cell r="J17" t="str">
            <v>ST</v>
          </cell>
          <cell r="K17">
            <v>10</v>
          </cell>
          <cell r="L17">
            <v>45855</v>
          </cell>
          <cell r="M17">
            <v>45855</v>
          </cell>
          <cell r="N17">
            <v>139</v>
          </cell>
          <cell r="O17" t="str">
            <v>NS</v>
          </cell>
          <cell r="P17" t="str">
            <v>NSF18SB3</v>
          </cell>
          <cell r="Q17">
            <v>46160</v>
          </cell>
          <cell r="R17" t="str">
            <v/>
          </cell>
          <cell r="S17" t="str">
            <v/>
          </cell>
          <cell r="T17" t="str">
            <v/>
          </cell>
          <cell r="U17">
            <v>68894</v>
          </cell>
          <cell r="V17">
            <v>72005</v>
          </cell>
          <cell r="W17">
            <v>45646</v>
          </cell>
          <cell r="X17" t="str">
            <v>Lokasi Produksi 502A1 ( pecahan 502A )</v>
          </cell>
          <cell r="Z17">
            <v>10</v>
          </cell>
          <cell r="AA17">
            <v>46160</v>
          </cell>
          <cell r="AB17">
            <v>21.597336111110053</v>
          </cell>
          <cell r="AC17">
            <v>0.71991120370366846</v>
          </cell>
          <cell r="AD17">
            <v>-20</v>
          </cell>
          <cell r="AE17">
            <v>0</v>
          </cell>
          <cell r="AF17">
            <v>0</v>
          </cell>
          <cell r="AG17">
            <v>-1373.9666666666667</v>
          </cell>
          <cell r="AM17" t="str">
            <v>OK</v>
          </cell>
          <cell r="AO17">
            <v>4.6451851080246946</v>
          </cell>
          <cell r="AP17">
            <v>-5.3548148919753054</v>
          </cell>
          <cell r="AQ17">
            <v>0</v>
          </cell>
          <cell r="AR17">
            <v>4.6451851080246946</v>
          </cell>
          <cell r="AS17">
            <v>0</v>
          </cell>
          <cell r="AT17">
            <v>46160</v>
          </cell>
          <cell r="AU17">
            <v>-5.3548148919753054</v>
          </cell>
          <cell r="AV17">
            <v>139.35555324074085</v>
          </cell>
          <cell r="AW17">
            <v>-5.3548148919753054</v>
          </cell>
          <cell r="AY17">
            <v>144.46369178241002</v>
          </cell>
          <cell r="AZ17" t="str">
            <v>F18</v>
          </cell>
          <cell r="BA17">
            <v>6.12</v>
          </cell>
          <cell r="BB17" t="str">
            <v>NSFC</v>
          </cell>
          <cell r="BC17" t="str">
            <v>F18SB</v>
          </cell>
        </row>
        <row r="18">
          <cell r="A18" t="str">
            <v>502A2</v>
          </cell>
          <cell r="B18" t="str">
            <v>3</v>
          </cell>
          <cell r="C18" t="str">
            <v>05</v>
          </cell>
          <cell r="D18">
            <v>16</v>
          </cell>
          <cell r="E18" t="str">
            <v>502A2</v>
          </cell>
          <cell r="F18">
            <v>11.44</v>
          </cell>
          <cell r="G18">
            <v>9.69</v>
          </cell>
          <cell r="H18">
            <v>9.69</v>
          </cell>
          <cell r="I18" t="str">
            <v>FC</v>
          </cell>
          <cell r="J18" t="str">
            <v>ST</v>
          </cell>
          <cell r="K18">
            <v>14</v>
          </cell>
          <cell r="L18">
            <v>45853</v>
          </cell>
          <cell r="M18">
            <v>45853</v>
          </cell>
          <cell r="N18">
            <v>141</v>
          </cell>
          <cell r="O18" t="str">
            <v>NS</v>
          </cell>
          <cell r="P18" t="str">
            <v>NSF18CK3</v>
          </cell>
          <cell r="Q18">
            <v>46280</v>
          </cell>
          <cell r="R18" t="str">
            <v/>
          </cell>
          <cell r="S18" t="str">
            <v/>
          </cell>
          <cell r="T18" t="str">
            <v/>
          </cell>
          <cell r="U18">
            <v>70237</v>
          </cell>
          <cell r="V18" t="str">
            <v/>
          </cell>
          <cell r="W18">
            <v>45646</v>
          </cell>
          <cell r="X18" t="str">
            <v>Lokasi Produksi 502A1 ( pecahan 502A )</v>
          </cell>
          <cell r="Z18">
            <v>14</v>
          </cell>
          <cell r="AA18">
            <v>46280</v>
          </cell>
          <cell r="AB18">
            <v>434.59733611111005</v>
          </cell>
          <cell r="AC18">
            <v>14.486577870370335</v>
          </cell>
          <cell r="AD18">
            <v>-1.5134221296296655</v>
          </cell>
          <cell r="AE18">
            <v>7.92</v>
          </cell>
          <cell r="AF18">
            <v>0</v>
          </cell>
          <cell r="AG18">
            <v>-1360.2</v>
          </cell>
          <cell r="AM18" t="str">
            <v>OK</v>
          </cell>
          <cell r="AO18">
            <v>4.711851774691362</v>
          </cell>
          <cell r="AP18">
            <v>-9.2881482253086389</v>
          </cell>
          <cell r="AQ18">
            <v>0</v>
          </cell>
          <cell r="AR18">
            <v>4.711851774691362</v>
          </cell>
          <cell r="AS18">
            <v>0</v>
          </cell>
          <cell r="AT18">
            <v>46280</v>
          </cell>
          <cell r="AU18">
            <v>-9.2881482253086389</v>
          </cell>
          <cell r="AV18">
            <v>141.35555324074085</v>
          </cell>
          <cell r="AW18">
            <v>-9.2881482253086389</v>
          </cell>
          <cell r="AY18">
            <v>146.46369178241002</v>
          </cell>
          <cell r="AZ18" t="str">
            <v>F18</v>
          </cell>
          <cell r="BA18">
            <v>9.69</v>
          </cell>
          <cell r="BB18" t="str">
            <v>NSFC</v>
          </cell>
          <cell r="BC18" t="str">
            <v>F18CK</v>
          </cell>
        </row>
        <row r="19">
          <cell r="A19" t="str">
            <v>502B1</v>
          </cell>
          <cell r="B19" t="str">
            <v>3</v>
          </cell>
          <cell r="C19" t="str">
            <v>05</v>
          </cell>
          <cell r="D19">
            <v>16</v>
          </cell>
          <cell r="E19" t="str">
            <v>502B1</v>
          </cell>
          <cell r="F19">
            <v>6.02</v>
          </cell>
          <cell r="G19">
            <v>5.05</v>
          </cell>
          <cell r="H19">
            <v>5.05</v>
          </cell>
          <cell r="I19" t="str">
            <v>FC</v>
          </cell>
          <cell r="J19" t="str">
            <v>ST</v>
          </cell>
          <cell r="K19">
            <v>14</v>
          </cell>
          <cell r="L19">
            <v>45721</v>
          </cell>
          <cell r="M19">
            <v>45721</v>
          </cell>
          <cell r="N19">
            <v>273</v>
          </cell>
          <cell r="O19" t="str">
            <v>NS</v>
          </cell>
          <cell r="P19" t="str">
            <v>NSGP3CK3</v>
          </cell>
          <cell r="Q19">
            <v>46148</v>
          </cell>
          <cell r="R19" t="str">
            <v/>
          </cell>
          <cell r="S19" t="str">
            <v/>
          </cell>
          <cell r="T19" t="str">
            <v/>
          </cell>
          <cell r="U19">
            <v>65179</v>
          </cell>
          <cell r="V19">
            <v>68523</v>
          </cell>
          <cell r="W19">
            <v>45573</v>
          </cell>
          <cell r="X19" t="str">
            <v>Lokasi Produksi 502B1 ( pecahan 502B )</v>
          </cell>
          <cell r="Z19">
            <v>14</v>
          </cell>
          <cell r="AA19">
            <v>46148</v>
          </cell>
          <cell r="AB19">
            <v>735.59733611111005</v>
          </cell>
          <cell r="AC19">
            <v>24.519911203703668</v>
          </cell>
          <cell r="AD19">
            <v>8.5199112037036677</v>
          </cell>
          <cell r="AE19">
            <v>23.43</v>
          </cell>
          <cell r="AF19">
            <v>0</v>
          </cell>
          <cell r="AG19">
            <v>-1350.1666666666667</v>
          </cell>
          <cell r="AM19" t="str">
            <v>OK</v>
          </cell>
          <cell r="AO19">
            <v>9.1118517746913614</v>
          </cell>
          <cell r="AP19">
            <v>-4.8881482253086386</v>
          </cell>
          <cell r="AQ19">
            <v>0</v>
          </cell>
          <cell r="AR19">
            <v>9.1118517746913614</v>
          </cell>
          <cell r="AS19">
            <v>0</v>
          </cell>
          <cell r="AT19">
            <v>46148</v>
          </cell>
          <cell r="AU19">
            <v>-4.8881482253086386</v>
          </cell>
          <cell r="AV19">
            <v>273.35555324074085</v>
          </cell>
          <cell r="AW19">
            <v>-4.8881482253086386</v>
          </cell>
          <cell r="AY19">
            <v>278.46369178241002</v>
          </cell>
          <cell r="AZ19" t="str">
            <v>GP3</v>
          </cell>
          <cell r="BA19">
            <v>5.05</v>
          </cell>
          <cell r="BB19" t="str">
            <v>NSFC</v>
          </cell>
          <cell r="BC19" t="str">
            <v>GP3CK</v>
          </cell>
        </row>
        <row r="20">
          <cell r="A20" t="str">
            <v>502B2</v>
          </cell>
          <cell r="B20" t="str">
            <v>3</v>
          </cell>
          <cell r="C20" t="str">
            <v>05</v>
          </cell>
          <cell r="D20">
            <v>16</v>
          </cell>
          <cell r="E20" t="str">
            <v>502B2</v>
          </cell>
          <cell r="F20">
            <v>9.7200000000000006</v>
          </cell>
          <cell r="G20">
            <v>8.24</v>
          </cell>
          <cell r="H20">
            <v>8.24</v>
          </cell>
          <cell r="I20" t="str">
            <v>FC</v>
          </cell>
          <cell r="J20" t="str">
            <v>ST</v>
          </cell>
          <cell r="K20">
            <v>14</v>
          </cell>
          <cell r="L20">
            <v>45716</v>
          </cell>
          <cell r="M20">
            <v>45716</v>
          </cell>
          <cell r="N20">
            <v>278</v>
          </cell>
          <cell r="O20" t="str">
            <v>NS</v>
          </cell>
          <cell r="P20" t="str">
            <v>NSGP3CK3</v>
          </cell>
          <cell r="Q20">
            <v>46143</v>
          </cell>
          <cell r="R20" t="str">
            <v/>
          </cell>
          <cell r="S20" t="str">
            <v/>
          </cell>
          <cell r="T20" t="str">
            <v/>
          </cell>
          <cell r="U20">
            <v>65627</v>
          </cell>
          <cell r="V20">
            <v>68279</v>
          </cell>
          <cell r="W20">
            <v>45573</v>
          </cell>
          <cell r="X20" t="str">
            <v>Lokasi Produksi 502B2 ( pecahan 502B )</v>
          </cell>
          <cell r="Z20">
            <v>14</v>
          </cell>
          <cell r="AA20">
            <v>46143</v>
          </cell>
          <cell r="AB20">
            <v>732.59733611111005</v>
          </cell>
          <cell r="AC20">
            <v>24.41991120370367</v>
          </cell>
          <cell r="AD20">
            <v>6.4199112037036699</v>
          </cell>
          <cell r="AE20">
            <v>8.41</v>
          </cell>
          <cell r="AF20">
            <v>0</v>
          </cell>
          <cell r="AG20">
            <v>-1350.2666666666667</v>
          </cell>
          <cell r="AM20" t="str">
            <v>OK</v>
          </cell>
          <cell r="AO20">
            <v>9.2785184413580275</v>
          </cell>
          <cell r="AP20">
            <v>-4.7214815586419725</v>
          </cell>
          <cell r="AQ20">
            <v>0</v>
          </cell>
          <cell r="AR20">
            <v>9.2785184413580275</v>
          </cell>
          <cell r="AS20">
            <v>0</v>
          </cell>
          <cell r="AT20">
            <v>46143</v>
          </cell>
          <cell r="AU20">
            <v>-4.7214815586419725</v>
          </cell>
          <cell r="AV20">
            <v>278.35555324074085</v>
          </cell>
          <cell r="AW20">
            <v>-4.7214815586419725</v>
          </cell>
          <cell r="AY20">
            <v>283.46369178241002</v>
          </cell>
          <cell r="AZ20" t="str">
            <v>GP3</v>
          </cell>
          <cell r="BA20">
            <v>8.24</v>
          </cell>
          <cell r="BB20" t="str">
            <v>NSFC</v>
          </cell>
          <cell r="BC20" t="str">
            <v>GP3CK</v>
          </cell>
        </row>
        <row r="21">
          <cell r="A21" t="str">
            <v>502D1</v>
          </cell>
          <cell r="B21" t="str">
            <v>3</v>
          </cell>
          <cell r="C21" t="str">
            <v>05</v>
          </cell>
          <cell r="D21">
            <v>16</v>
          </cell>
          <cell r="E21" t="str">
            <v>502D1</v>
          </cell>
          <cell r="F21">
            <v>13.44</v>
          </cell>
          <cell r="G21">
            <v>11.29</v>
          </cell>
          <cell r="H21">
            <v>11.29</v>
          </cell>
          <cell r="I21" t="str">
            <v>SC</v>
          </cell>
          <cell r="J21" t="str">
            <v>FC</v>
          </cell>
          <cell r="K21">
            <v>8</v>
          </cell>
          <cell r="L21">
            <v>45978</v>
          </cell>
          <cell r="M21">
            <v>45978</v>
          </cell>
          <cell r="N21">
            <v>16</v>
          </cell>
          <cell r="O21" t="str">
            <v>NS</v>
          </cell>
          <cell r="P21" t="str">
            <v/>
          </cell>
          <cell r="Q21">
            <v>46222</v>
          </cell>
          <cell r="R21" t="str">
            <v/>
          </cell>
          <cell r="S21" t="str">
            <v/>
          </cell>
          <cell r="T21" t="str">
            <v/>
          </cell>
          <cell r="U21">
            <v>68891</v>
          </cell>
          <cell r="V21">
            <v>66869</v>
          </cell>
          <cell r="W21">
            <v>45311</v>
          </cell>
          <cell r="X21" t="str">
            <v>Lokasi Produksi 502D1 ( pecahan 502D )</v>
          </cell>
          <cell r="Z21">
            <v>8</v>
          </cell>
          <cell r="AA21">
            <v>46222</v>
          </cell>
          <cell r="AB21">
            <v>513.59733611111005</v>
          </cell>
          <cell r="AC21">
            <v>17.119911203703669</v>
          </cell>
          <cell r="AD21">
            <v>3.1199112037036691</v>
          </cell>
          <cell r="AE21">
            <v>7.5</v>
          </cell>
          <cell r="AF21">
            <v>0</v>
          </cell>
          <cell r="AG21">
            <v>-1357.5666666666666</v>
          </cell>
          <cell r="AM21" t="str">
            <v>OK</v>
          </cell>
          <cell r="AO21">
            <v>0.54518510802469489</v>
          </cell>
          <cell r="AP21">
            <v>-7.454814891975305</v>
          </cell>
          <cell r="AQ21">
            <v>0</v>
          </cell>
          <cell r="AR21">
            <v>0.54518510802469489</v>
          </cell>
          <cell r="AS21">
            <v>0</v>
          </cell>
          <cell r="AT21">
            <v>46222</v>
          </cell>
          <cell r="AU21">
            <v>-7.454814891975305</v>
          </cell>
          <cell r="AV21">
            <v>16.355553240740846</v>
          </cell>
          <cell r="AW21">
            <v>-7.454814891975305</v>
          </cell>
          <cell r="AY21">
            <v>21.463691782410024</v>
          </cell>
          <cell r="AZ21" t="str">
            <v>F18</v>
          </cell>
          <cell r="BA21">
            <v>11.29</v>
          </cell>
          <cell r="BB21" t="str">
            <v>NSSC</v>
          </cell>
          <cell r="BC21" t="str">
            <v>F18</v>
          </cell>
        </row>
        <row r="22">
          <cell r="A22" t="str">
            <v>502D2</v>
          </cell>
          <cell r="B22" t="str">
            <v>3</v>
          </cell>
          <cell r="C22" t="str">
            <v>05</v>
          </cell>
          <cell r="D22">
            <v>16</v>
          </cell>
          <cell r="E22" t="str">
            <v>502D2</v>
          </cell>
          <cell r="F22">
            <v>8.83</v>
          </cell>
          <cell r="G22">
            <v>7.4</v>
          </cell>
          <cell r="H22">
            <v>7.4</v>
          </cell>
          <cell r="I22" t="str">
            <v>SC</v>
          </cell>
          <cell r="J22" t="str">
            <v>FC</v>
          </cell>
          <cell r="K22">
            <v>8</v>
          </cell>
          <cell r="L22">
            <v>45944</v>
          </cell>
          <cell r="M22">
            <v>45944</v>
          </cell>
          <cell r="N22">
            <v>50</v>
          </cell>
          <cell r="O22" t="str">
            <v>NS</v>
          </cell>
          <cell r="P22" t="str">
            <v/>
          </cell>
          <cell r="Q22">
            <v>46188</v>
          </cell>
          <cell r="R22" t="str">
            <v/>
          </cell>
          <cell r="S22" t="str">
            <v/>
          </cell>
          <cell r="T22" t="str">
            <v/>
          </cell>
          <cell r="U22">
            <v>71240</v>
          </cell>
          <cell r="V22">
            <v>70520</v>
          </cell>
          <cell r="W22">
            <v>45311</v>
          </cell>
          <cell r="X22" t="str">
            <v>Lokasi Produksi 502D2 ( pecahan 502D )</v>
          </cell>
          <cell r="Z22">
            <v>8</v>
          </cell>
          <cell r="AA22">
            <v>46188</v>
          </cell>
          <cell r="AB22">
            <v>5434.5973361111101</v>
          </cell>
          <cell r="AC22">
            <v>181.15324453703701</v>
          </cell>
          <cell r="AD22">
            <v>-20</v>
          </cell>
          <cell r="AE22">
            <v>0</v>
          </cell>
          <cell r="AF22">
            <v>0</v>
          </cell>
          <cell r="AG22">
            <v>-1193.5333333333333</v>
          </cell>
          <cell r="AM22" t="str">
            <v>OK</v>
          </cell>
          <cell r="AO22">
            <v>1.6785184413580283</v>
          </cell>
          <cell r="AP22">
            <v>-6.3214815586419721</v>
          </cell>
          <cell r="AQ22">
            <v>0</v>
          </cell>
          <cell r="AR22">
            <v>1.6785184413580283</v>
          </cell>
          <cell r="AS22">
            <v>0</v>
          </cell>
          <cell r="AT22">
            <v>46188</v>
          </cell>
          <cell r="AU22">
            <v>-6.3214815586419721</v>
          </cell>
          <cell r="AV22">
            <v>50.355553240740846</v>
          </cell>
          <cell r="AW22">
            <v>-6.3214815586419721</v>
          </cell>
          <cell r="AY22">
            <v>55.463691782410024</v>
          </cell>
          <cell r="AZ22" t="str">
            <v>F18</v>
          </cell>
          <cell r="BA22">
            <v>7.4</v>
          </cell>
          <cell r="BB22" t="str">
            <v>NSSC</v>
          </cell>
          <cell r="BC22" t="str">
            <v>F18</v>
          </cell>
        </row>
        <row r="23">
          <cell r="A23" t="str">
            <v>502E</v>
          </cell>
          <cell r="B23" t="str">
            <v>3</v>
          </cell>
          <cell r="C23" t="str">
            <v>05</v>
          </cell>
          <cell r="D23">
            <v>16</v>
          </cell>
          <cell r="E23" t="str">
            <v>502E</v>
          </cell>
          <cell r="F23">
            <v>8.86</v>
          </cell>
          <cell r="G23">
            <v>7.24</v>
          </cell>
          <cell r="H23">
            <v>7.24</v>
          </cell>
          <cell r="I23" t="str">
            <v>FC</v>
          </cell>
          <cell r="J23" t="str">
            <v>ST</v>
          </cell>
          <cell r="K23">
            <v>14</v>
          </cell>
          <cell r="L23">
            <v>45624</v>
          </cell>
          <cell r="M23">
            <v>45624</v>
          </cell>
          <cell r="N23">
            <v>370</v>
          </cell>
          <cell r="O23" t="str">
            <v>NS</v>
          </cell>
          <cell r="P23" t="str">
            <v>NSGP3CK3</v>
          </cell>
          <cell r="Q23">
            <v>46051</v>
          </cell>
          <cell r="R23" t="str">
            <v/>
          </cell>
          <cell r="S23" t="str">
            <v/>
          </cell>
          <cell r="T23">
            <v>45993</v>
          </cell>
          <cell r="U23">
            <v>64119</v>
          </cell>
          <cell r="V23">
            <v>67617</v>
          </cell>
          <cell r="W23">
            <v>44449</v>
          </cell>
          <cell r="X23" t="str">
            <v>Lokasi Produksi 502E</v>
          </cell>
          <cell r="Z23">
            <v>14</v>
          </cell>
          <cell r="AA23">
            <v>46051</v>
          </cell>
          <cell r="AB23">
            <v>241.59733611111005</v>
          </cell>
          <cell r="AC23">
            <v>8.0532445370370009</v>
          </cell>
          <cell r="AD23">
            <v>-5.9467554629629991</v>
          </cell>
          <cell r="AE23">
            <v>25.57</v>
          </cell>
          <cell r="AF23">
            <v>0</v>
          </cell>
          <cell r="AG23">
            <v>-1366.6333333333334</v>
          </cell>
          <cell r="AM23" t="str">
            <v>OK</v>
          </cell>
          <cell r="AO23">
            <v>12.345185108024696</v>
          </cell>
          <cell r="AP23">
            <v>-1.6548148919753043</v>
          </cell>
          <cell r="AQ23">
            <v>45993</v>
          </cell>
          <cell r="AR23">
            <v>12.3</v>
          </cell>
          <cell r="AS23">
            <v>4.5185108024694998E-2</v>
          </cell>
          <cell r="AT23">
            <v>46051</v>
          </cell>
          <cell r="AU23">
            <v>4.5185108024694998E-2</v>
          </cell>
          <cell r="AV23">
            <v>369</v>
          </cell>
          <cell r="AW23">
            <v>4.5185108024694998E-2</v>
          </cell>
          <cell r="AY23">
            <v>375.46369178241002</v>
          </cell>
          <cell r="AZ23" t="str">
            <v>GP3</v>
          </cell>
          <cell r="BA23">
            <v>7.24</v>
          </cell>
          <cell r="BB23" t="str">
            <v>NSFC</v>
          </cell>
          <cell r="BC23" t="str">
            <v>GP3CK</v>
          </cell>
        </row>
        <row r="24">
          <cell r="A24" t="str">
            <v>502F1</v>
          </cell>
          <cell r="B24" t="str">
            <v>3</v>
          </cell>
          <cell r="C24" t="str">
            <v>05</v>
          </cell>
          <cell r="D24">
            <v>16</v>
          </cell>
          <cell r="E24" t="str">
            <v>502F1</v>
          </cell>
          <cell r="F24">
            <v>12.17</v>
          </cell>
          <cell r="G24">
            <v>10.02</v>
          </cell>
          <cell r="H24">
            <v>10.02</v>
          </cell>
          <cell r="I24" t="str">
            <v>FC</v>
          </cell>
          <cell r="J24" t="str">
            <v>ST</v>
          </cell>
          <cell r="K24">
            <v>14</v>
          </cell>
          <cell r="L24">
            <v>45625</v>
          </cell>
          <cell r="M24">
            <v>45625</v>
          </cell>
          <cell r="N24">
            <v>369</v>
          </cell>
          <cell r="O24" t="str">
            <v>NS</v>
          </cell>
          <cell r="P24" t="str">
            <v>NSGP3CK3</v>
          </cell>
          <cell r="Q24">
            <v>46052</v>
          </cell>
          <cell r="R24" t="str">
            <v/>
          </cell>
          <cell r="S24" t="str">
            <v/>
          </cell>
          <cell r="T24" t="str">
            <v/>
          </cell>
          <cell r="U24">
            <v>65349</v>
          </cell>
          <cell r="V24">
            <v>66438</v>
          </cell>
          <cell r="W24">
            <v>43433</v>
          </cell>
          <cell r="X24" t="str">
            <v>Lokasi Produksi 502F1 (pecahan 502F)</v>
          </cell>
          <cell r="Z24">
            <v>14</v>
          </cell>
          <cell r="AA24">
            <v>46052</v>
          </cell>
          <cell r="AB24">
            <v>511.59733611111005</v>
          </cell>
          <cell r="AC24">
            <v>17.053244537037003</v>
          </cell>
          <cell r="AD24">
            <v>3.0532445370370027</v>
          </cell>
          <cell r="AE24">
            <v>9.27</v>
          </cell>
          <cell r="AF24">
            <v>0</v>
          </cell>
          <cell r="AG24">
            <v>-1357.6333333333334</v>
          </cell>
          <cell r="AM24" t="str">
            <v>OK</v>
          </cell>
          <cell r="AO24">
            <v>12.311851774691361</v>
          </cell>
          <cell r="AP24">
            <v>-1.6881482253086393</v>
          </cell>
          <cell r="AQ24">
            <v>0</v>
          </cell>
          <cell r="AR24">
            <v>12.311851774691361</v>
          </cell>
          <cell r="AS24">
            <v>0</v>
          </cell>
          <cell r="AT24">
            <v>46052</v>
          </cell>
          <cell r="AU24">
            <v>-1.6881482253086393</v>
          </cell>
          <cell r="AV24">
            <v>369.35555324074085</v>
          </cell>
          <cell r="AW24">
            <v>-1.6881482253086393</v>
          </cell>
          <cell r="AY24">
            <v>374.46369178241002</v>
          </cell>
          <cell r="AZ24" t="str">
            <v>GP3</v>
          </cell>
          <cell r="BA24">
            <v>10.02</v>
          </cell>
          <cell r="BB24" t="str">
            <v>NSFC</v>
          </cell>
          <cell r="BC24" t="str">
            <v>GP3CK</v>
          </cell>
        </row>
        <row r="25">
          <cell r="A25" t="str">
            <v>502F2</v>
          </cell>
          <cell r="B25" t="str">
            <v>3</v>
          </cell>
          <cell r="C25" t="str">
            <v>05</v>
          </cell>
          <cell r="D25">
            <v>16</v>
          </cell>
          <cell r="E25" t="str">
            <v>502F2</v>
          </cell>
          <cell r="F25">
            <v>12.66</v>
          </cell>
          <cell r="G25">
            <v>10.54</v>
          </cell>
          <cell r="H25">
            <v>10.54</v>
          </cell>
          <cell r="I25" t="str">
            <v>FC</v>
          </cell>
          <cell r="J25" t="str">
            <v>ST</v>
          </cell>
          <cell r="K25">
            <v>14</v>
          </cell>
          <cell r="L25">
            <v>45531</v>
          </cell>
          <cell r="M25">
            <v>45531</v>
          </cell>
          <cell r="N25">
            <v>463</v>
          </cell>
          <cell r="O25" t="str">
            <v>NS</v>
          </cell>
          <cell r="P25" t="str">
            <v>NSGP3CK3</v>
          </cell>
          <cell r="Q25">
            <v>45958</v>
          </cell>
          <cell r="R25" t="str">
            <v/>
          </cell>
          <cell r="S25" t="str">
            <v/>
          </cell>
          <cell r="T25">
            <v>45919</v>
          </cell>
          <cell r="U25">
            <v>66755</v>
          </cell>
          <cell r="V25">
            <v>68198</v>
          </cell>
          <cell r="W25">
            <v>43447</v>
          </cell>
          <cell r="X25" t="str">
            <v>Lokasi Produksi 502F2 (pecahan 502F)</v>
          </cell>
          <cell r="Z25">
            <v>14</v>
          </cell>
          <cell r="AA25">
            <v>45958</v>
          </cell>
          <cell r="AB25">
            <v>400.59733611111005</v>
          </cell>
          <cell r="AC25">
            <v>13.353244537037002</v>
          </cell>
          <cell r="AD25">
            <v>-0.64675546296299835</v>
          </cell>
          <cell r="AE25">
            <v>10.95</v>
          </cell>
          <cell r="AF25">
            <v>0</v>
          </cell>
          <cell r="AG25">
            <v>-1361.3333333333333</v>
          </cell>
          <cell r="AM25" t="str">
            <v>OK</v>
          </cell>
          <cell r="AO25">
            <v>15.445185108024695</v>
          </cell>
          <cell r="AP25">
            <v>1.4451851080246954</v>
          </cell>
          <cell r="AQ25">
            <v>45919</v>
          </cell>
          <cell r="AR25">
            <v>12.933333333333334</v>
          </cell>
          <cell r="AS25">
            <v>2.5118517746913618</v>
          </cell>
          <cell r="AT25">
            <v>45958</v>
          </cell>
          <cell r="AU25">
            <v>2.5118517746913618</v>
          </cell>
          <cell r="AV25">
            <v>388</v>
          </cell>
          <cell r="AW25">
            <v>2.5118517746913618</v>
          </cell>
          <cell r="AY25">
            <v>468.46369178241002</v>
          </cell>
          <cell r="AZ25" t="str">
            <v>GP3</v>
          </cell>
          <cell r="BA25">
            <v>10.54</v>
          </cell>
          <cell r="BB25" t="str">
            <v>NSFC</v>
          </cell>
          <cell r="BC25" t="str">
            <v>GP3CK</v>
          </cell>
        </row>
        <row r="26">
          <cell r="A26" t="str">
            <v>502G1</v>
          </cell>
          <cell r="B26" t="str">
            <v>3</v>
          </cell>
          <cell r="C26" t="str">
            <v>05</v>
          </cell>
          <cell r="D26">
            <v>16</v>
          </cell>
          <cell r="E26" t="str">
            <v>502G1</v>
          </cell>
          <cell r="F26">
            <v>12.44</v>
          </cell>
          <cell r="G26">
            <v>10.11</v>
          </cell>
          <cell r="H26">
            <v>10.11</v>
          </cell>
          <cell r="I26" t="str">
            <v>SC</v>
          </cell>
          <cell r="J26" t="str">
            <v>FC</v>
          </cell>
          <cell r="K26">
            <v>8</v>
          </cell>
          <cell r="L26">
            <v>45859</v>
          </cell>
          <cell r="M26">
            <v>45859</v>
          </cell>
          <cell r="N26">
            <v>135</v>
          </cell>
          <cell r="O26" t="str">
            <v>NS</v>
          </cell>
          <cell r="P26" t="str">
            <v/>
          </cell>
          <cell r="Q26">
            <v>46103</v>
          </cell>
          <cell r="R26" t="str">
            <v/>
          </cell>
          <cell r="S26" t="str">
            <v/>
          </cell>
          <cell r="T26" t="str">
            <v/>
          </cell>
          <cell r="U26">
            <v>66075</v>
          </cell>
          <cell r="V26">
            <v>67284</v>
          </cell>
          <cell r="W26">
            <v>45657</v>
          </cell>
          <cell r="X26" t="str">
            <v>Lokasi Produksi 502G1 ( pecahan 502G )</v>
          </cell>
          <cell r="Z26">
            <v>8</v>
          </cell>
          <cell r="AA26">
            <v>46103</v>
          </cell>
          <cell r="AB26">
            <v>487.59733611111005</v>
          </cell>
          <cell r="AC26">
            <v>16.253244537037002</v>
          </cell>
          <cell r="AD26">
            <v>2.253244537037002</v>
          </cell>
          <cell r="AE26">
            <v>13.48</v>
          </cell>
          <cell r="AF26">
            <v>0</v>
          </cell>
          <cell r="AG26">
            <v>-1358.4333333333334</v>
          </cell>
          <cell r="AM26" t="str">
            <v>OK</v>
          </cell>
          <cell r="AO26">
            <v>4.5118517746913618</v>
          </cell>
          <cell r="AP26">
            <v>-3.4881482253086382</v>
          </cell>
          <cell r="AQ26">
            <v>0</v>
          </cell>
          <cell r="AR26">
            <v>4.5118517746913618</v>
          </cell>
          <cell r="AS26">
            <v>0</v>
          </cell>
          <cell r="AT26">
            <v>46103</v>
          </cell>
          <cell r="AU26">
            <v>-3.4881482253086382</v>
          </cell>
          <cell r="AV26">
            <v>135.35555324074085</v>
          </cell>
          <cell r="AW26">
            <v>-3.4881482253086382</v>
          </cell>
          <cell r="AY26">
            <v>140.46369178241002</v>
          </cell>
          <cell r="AZ26" t="str">
            <v>F18</v>
          </cell>
          <cell r="BA26">
            <v>10.11</v>
          </cell>
          <cell r="BB26" t="str">
            <v>NSSC</v>
          </cell>
          <cell r="BC26" t="str">
            <v>F18</v>
          </cell>
        </row>
        <row r="27">
          <cell r="A27" t="str">
            <v>502G2</v>
          </cell>
          <cell r="B27" t="str">
            <v>3</v>
          </cell>
          <cell r="C27" t="str">
            <v>05</v>
          </cell>
          <cell r="D27">
            <v>16</v>
          </cell>
          <cell r="E27" t="str">
            <v>502G2</v>
          </cell>
          <cell r="F27">
            <v>6.37</v>
          </cell>
          <cell r="G27">
            <v>5.07</v>
          </cell>
          <cell r="H27">
            <v>5.07</v>
          </cell>
          <cell r="I27" t="str">
            <v>SC</v>
          </cell>
          <cell r="J27" t="str">
            <v>FC</v>
          </cell>
          <cell r="K27">
            <v>8</v>
          </cell>
          <cell r="L27">
            <v>45740</v>
          </cell>
          <cell r="M27">
            <v>45740</v>
          </cell>
          <cell r="N27">
            <v>254</v>
          </cell>
          <cell r="O27" t="str">
            <v>NS</v>
          </cell>
          <cell r="P27" t="str">
            <v/>
          </cell>
          <cell r="Q27">
            <v>45984</v>
          </cell>
          <cell r="R27" t="str">
            <v/>
          </cell>
          <cell r="S27" t="str">
            <v/>
          </cell>
          <cell r="T27">
            <v>45939</v>
          </cell>
          <cell r="U27">
            <v>70298</v>
          </cell>
          <cell r="V27">
            <v>69370</v>
          </cell>
          <cell r="W27">
            <v>45324</v>
          </cell>
          <cell r="X27" t="str">
            <v>Lokasi Produksi 502G2 ( pecahan 502G )</v>
          </cell>
          <cell r="Z27">
            <v>8</v>
          </cell>
          <cell r="AA27">
            <v>45984</v>
          </cell>
          <cell r="AB27">
            <v>481.59733611111005</v>
          </cell>
          <cell r="AC27">
            <v>16.053244537037003</v>
          </cell>
          <cell r="AD27">
            <v>2.0532445370370027</v>
          </cell>
          <cell r="AE27">
            <v>22.92</v>
          </cell>
          <cell r="AF27">
            <v>0</v>
          </cell>
          <cell r="AG27">
            <v>-1358.6333333333334</v>
          </cell>
          <cell r="AM27" t="str">
            <v>OK</v>
          </cell>
          <cell r="AO27">
            <v>8.4785184413580286</v>
          </cell>
          <cell r="AP27">
            <v>0.47851844135802857</v>
          </cell>
          <cell r="AQ27">
            <v>45939</v>
          </cell>
          <cell r="AR27">
            <v>6.6333333333333337</v>
          </cell>
          <cell r="AS27">
            <v>1.8451851080246948</v>
          </cell>
          <cell r="AT27">
            <v>45984</v>
          </cell>
          <cell r="AU27">
            <v>1.8451851080246948</v>
          </cell>
          <cell r="AV27">
            <v>199</v>
          </cell>
          <cell r="AW27">
            <v>1.8451851080246948</v>
          </cell>
          <cell r="AY27">
            <v>259.46369178241002</v>
          </cell>
          <cell r="AZ27" t="str">
            <v>F18</v>
          </cell>
          <cell r="BA27">
            <v>5.07</v>
          </cell>
          <cell r="BB27" t="str">
            <v>NSSC</v>
          </cell>
          <cell r="BC27" t="str">
            <v>F18</v>
          </cell>
        </row>
        <row r="28">
          <cell r="A28" t="str">
            <v>503A2</v>
          </cell>
          <cell r="B28" t="str">
            <v>3</v>
          </cell>
          <cell r="C28" t="str">
            <v>05</v>
          </cell>
          <cell r="D28">
            <v>16</v>
          </cell>
          <cell r="E28" t="str">
            <v>503A2</v>
          </cell>
          <cell r="F28">
            <v>7.47</v>
          </cell>
          <cell r="G28">
            <v>6.12</v>
          </cell>
          <cell r="H28">
            <v>6.12</v>
          </cell>
          <cell r="I28" t="str">
            <v>FC</v>
          </cell>
          <cell r="J28" t="str">
            <v>ST</v>
          </cell>
          <cell r="K28">
            <v>14</v>
          </cell>
          <cell r="L28">
            <v>45595</v>
          </cell>
          <cell r="M28">
            <v>45595</v>
          </cell>
          <cell r="N28">
            <v>399</v>
          </cell>
          <cell r="O28" t="str">
            <v>NS</v>
          </cell>
          <cell r="P28" t="str">
            <v>NSGP3CK3</v>
          </cell>
          <cell r="Q28">
            <v>46022</v>
          </cell>
          <cell r="R28" t="str">
            <v/>
          </cell>
          <cell r="S28" t="str">
            <v/>
          </cell>
          <cell r="T28" t="str">
            <v/>
          </cell>
          <cell r="U28">
            <v>63681</v>
          </cell>
          <cell r="V28">
            <v>64248</v>
          </cell>
          <cell r="W28" t="str">
            <v/>
          </cell>
          <cell r="X28" t="str">
            <v>Lokasi Produksi 503A2 ( Pecahan 503A )</v>
          </cell>
          <cell r="Z28">
            <v>14</v>
          </cell>
          <cell r="AA28">
            <v>46022</v>
          </cell>
          <cell r="AB28">
            <v>707.59733611111005</v>
          </cell>
          <cell r="AC28">
            <v>23.586577870370334</v>
          </cell>
          <cell r="AD28">
            <v>7.5865778703703342</v>
          </cell>
          <cell r="AE28">
            <v>16.95</v>
          </cell>
          <cell r="AF28">
            <v>0</v>
          </cell>
          <cell r="AG28">
            <v>-1351.1</v>
          </cell>
          <cell r="AK28">
            <v>40474</v>
          </cell>
          <cell r="AM28" t="str">
            <v>OK</v>
          </cell>
          <cell r="AO28">
            <v>13.311851774691361</v>
          </cell>
          <cell r="AP28">
            <v>-0.68814822530863928</v>
          </cell>
          <cell r="AQ28">
            <v>0</v>
          </cell>
          <cell r="AR28">
            <v>13.311851774691361</v>
          </cell>
          <cell r="AS28">
            <v>0</v>
          </cell>
          <cell r="AT28">
            <v>46022</v>
          </cell>
          <cell r="AU28">
            <v>-0.68814822530863928</v>
          </cell>
          <cell r="AV28">
            <v>399.35555324074085</v>
          </cell>
          <cell r="AW28">
            <v>-0.68814822530863928</v>
          </cell>
          <cell r="AY28">
            <v>404.46369178241002</v>
          </cell>
          <cell r="AZ28" t="str">
            <v>GP3</v>
          </cell>
          <cell r="BA28">
            <v>6.12</v>
          </cell>
          <cell r="BB28" t="str">
            <v>NSFC</v>
          </cell>
          <cell r="BC28" t="str">
            <v>GP3CK</v>
          </cell>
        </row>
        <row r="29">
          <cell r="A29" t="str">
            <v>503A3</v>
          </cell>
          <cell r="B29" t="str">
            <v>3</v>
          </cell>
          <cell r="C29" t="str">
            <v>05</v>
          </cell>
          <cell r="D29">
            <v>16</v>
          </cell>
          <cell r="E29" t="str">
            <v>503A3</v>
          </cell>
          <cell r="F29">
            <v>13.3</v>
          </cell>
          <cell r="G29">
            <v>11.17</v>
          </cell>
          <cell r="H29">
            <v>11.17</v>
          </cell>
          <cell r="I29" t="str">
            <v>FC</v>
          </cell>
          <cell r="J29" t="str">
            <v>ST</v>
          </cell>
          <cell r="K29">
            <v>14</v>
          </cell>
          <cell r="L29">
            <v>45576</v>
          </cell>
          <cell r="M29">
            <v>45576</v>
          </cell>
          <cell r="N29">
            <v>418</v>
          </cell>
          <cell r="O29" t="str">
            <v>NS</v>
          </cell>
          <cell r="P29" t="str">
            <v>NSGP3CK3</v>
          </cell>
          <cell r="Q29">
            <v>46003</v>
          </cell>
          <cell r="R29" t="str">
            <v/>
          </cell>
          <cell r="S29" t="str">
            <v/>
          </cell>
          <cell r="T29">
            <v>45969</v>
          </cell>
          <cell r="U29">
            <v>65611</v>
          </cell>
          <cell r="V29">
            <v>67871</v>
          </cell>
          <cell r="W29" t="str">
            <v/>
          </cell>
          <cell r="X29" t="str">
            <v>Lokasi Produksi 503A3 ( Pecahan 503A )</v>
          </cell>
          <cell r="Z29">
            <v>14</v>
          </cell>
          <cell r="AA29">
            <v>46003</v>
          </cell>
          <cell r="AB29">
            <v>728.59733611111005</v>
          </cell>
          <cell r="AC29">
            <v>24.286577870370333</v>
          </cell>
          <cell r="AD29">
            <v>6.2865778703703334</v>
          </cell>
          <cell r="AE29">
            <v>9.35</v>
          </cell>
          <cell r="AF29">
            <v>0</v>
          </cell>
          <cell r="AG29">
            <v>-1350.4</v>
          </cell>
          <cell r="AM29" t="str">
            <v>OK</v>
          </cell>
          <cell r="AO29">
            <v>13.945185108024695</v>
          </cell>
          <cell r="AP29">
            <v>-5.4814891975304647E-2</v>
          </cell>
          <cell r="AQ29">
            <v>45969</v>
          </cell>
          <cell r="AR29">
            <v>13.1</v>
          </cell>
          <cell r="AS29">
            <v>0.84518510802469571</v>
          </cell>
          <cell r="AT29">
            <v>46003</v>
          </cell>
          <cell r="AU29">
            <v>0.84518510802469571</v>
          </cell>
          <cell r="AV29">
            <v>393</v>
          </cell>
          <cell r="AW29">
            <v>0.84518510802469571</v>
          </cell>
          <cell r="AY29">
            <v>423.46369178241002</v>
          </cell>
          <cell r="AZ29" t="str">
            <v>GP3</v>
          </cell>
          <cell r="BA29">
            <v>11.17</v>
          </cell>
          <cell r="BB29" t="str">
            <v>NSFC</v>
          </cell>
          <cell r="BC29" t="str">
            <v>GP3CK</v>
          </cell>
        </row>
        <row r="30">
          <cell r="A30" t="str">
            <v>503A4</v>
          </cell>
          <cell r="B30" t="str">
            <v>3</v>
          </cell>
          <cell r="C30" t="str">
            <v>05</v>
          </cell>
          <cell r="D30">
            <v>16</v>
          </cell>
          <cell r="E30" t="str">
            <v>503A4</v>
          </cell>
          <cell r="F30">
            <v>8.32</v>
          </cell>
          <cell r="G30">
            <v>6.93</v>
          </cell>
          <cell r="H30">
            <v>6.93</v>
          </cell>
          <cell r="I30" t="str">
            <v>FC</v>
          </cell>
          <cell r="J30" t="str">
            <v>ST</v>
          </cell>
          <cell r="K30">
            <v>14</v>
          </cell>
          <cell r="L30">
            <v>45573</v>
          </cell>
          <cell r="M30">
            <v>45573</v>
          </cell>
          <cell r="N30">
            <v>421</v>
          </cell>
          <cell r="O30" t="str">
            <v>NS</v>
          </cell>
          <cell r="P30" t="str">
            <v>NSF18SK3</v>
          </cell>
          <cell r="Q30">
            <v>46000</v>
          </cell>
          <cell r="R30" t="str">
            <v/>
          </cell>
          <cell r="S30" t="str">
            <v/>
          </cell>
          <cell r="T30">
            <v>45980</v>
          </cell>
          <cell r="U30">
            <v>70384</v>
          </cell>
          <cell r="V30">
            <v>69290</v>
          </cell>
          <cell r="W30" t="str">
            <v/>
          </cell>
          <cell r="X30" t="str">
            <v>Lokasi Produksi 503A4 ( Pecahan 503A )</v>
          </cell>
          <cell r="Z30">
            <v>14</v>
          </cell>
          <cell r="AA30">
            <v>46000</v>
          </cell>
          <cell r="AB30">
            <v>5427.5973361111101</v>
          </cell>
          <cell r="AC30">
            <v>180.91991120370366</v>
          </cell>
          <cell r="AD30">
            <v>-20</v>
          </cell>
          <cell r="AE30">
            <v>0</v>
          </cell>
          <cell r="AF30">
            <v>0</v>
          </cell>
          <cell r="AG30">
            <v>-1193.7666666666667</v>
          </cell>
          <cell r="AM30" t="str">
            <v>OK</v>
          </cell>
          <cell r="AO30">
            <v>14.045185108024695</v>
          </cell>
          <cell r="AP30">
            <v>4.5185108024694998E-2</v>
          </cell>
          <cell r="AQ30">
            <v>45980</v>
          </cell>
          <cell r="AR30">
            <v>13.566666666666666</v>
          </cell>
          <cell r="AS30">
            <v>0.47851844135802857</v>
          </cell>
          <cell r="AT30">
            <v>46000</v>
          </cell>
          <cell r="AU30">
            <v>0.47851844135802857</v>
          </cell>
          <cell r="AV30">
            <v>407</v>
          </cell>
          <cell r="AW30">
            <v>0.47851844135802857</v>
          </cell>
          <cell r="AY30">
            <v>426.46369178241002</v>
          </cell>
          <cell r="AZ30" t="str">
            <v>F18</v>
          </cell>
          <cell r="BA30">
            <v>6.93</v>
          </cell>
          <cell r="BB30" t="str">
            <v>NSFC</v>
          </cell>
          <cell r="BC30" t="str">
            <v>F18SK</v>
          </cell>
        </row>
        <row r="31">
          <cell r="A31" t="str">
            <v>503AS1</v>
          </cell>
          <cell r="B31" t="str">
            <v>3</v>
          </cell>
          <cell r="C31" t="str">
            <v>05</v>
          </cell>
          <cell r="D31">
            <v>16</v>
          </cell>
          <cell r="E31" t="str">
            <v>503AS1</v>
          </cell>
          <cell r="F31">
            <v>4.38</v>
          </cell>
          <cell r="G31">
            <v>4.24</v>
          </cell>
          <cell r="H31">
            <v>4.24</v>
          </cell>
          <cell r="I31" t="str">
            <v>FC</v>
          </cell>
          <cell r="J31" t="str">
            <v>ST</v>
          </cell>
          <cell r="K31">
            <v>0</v>
          </cell>
          <cell r="L31">
            <v>45616</v>
          </cell>
          <cell r="M31">
            <v>45616</v>
          </cell>
          <cell r="N31">
            <v>378</v>
          </cell>
          <cell r="O31" t="str">
            <v>SK</v>
          </cell>
          <cell r="P31" t="str">
            <v/>
          </cell>
          <cell r="Q31">
            <v>45616</v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>
            <v>45642</v>
          </cell>
          <cell r="X31" t="str">
            <v>Lokasi Produksi 503AS1 ( singkong )</v>
          </cell>
          <cell r="Z31">
            <v>0</v>
          </cell>
          <cell r="AA31">
            <v>45616</v>
          </cell>
          <cell r="AB31">
            <v>256.59733611111005</v>
          </cell>
          <cell r="AC31">
            <v>8.5532445370370009</v>
          </cell>
          <cell r="AD31">
            <v>-20</v>
          </cell>
          <cell r="AE31">
            <v>0</v>
          </cell>
          <cell r="AF31">
            <v>0</v>
          </cell>
          <cell r="AG31">
            <v>-1366.1333333333334</v>
          </cell>
          <cell r="AM31" t="str">
            <v>OK</v>
          </cell>
          <cell r="AO31">
            <v>12.611851774691361</v>
          </cell>
          <cell r="AP31">
            <v>12.611851774691361</v>
          </cell>
          <cell r="AQ31">
            <v>0</v>
          </cell>
          <cell r="AR31">
            <v>12.611851774691361</v>
          </cell>
          <cell r="AS31">
            <v>0</v>
          </cell>
          <cell r="AT31">
            <v>45616</v>
          </cell>
          <cell r="AU31">
            <v>12.611851774691361</v>
          </cell>
          <cell r="AV31">
            <v>378.35555324074085</v>
          </cell>
          <cell r="AW31">
            <v>12.611851774691361</v>
          </cell>
          <cell r="AY31">
            <v>383.46369178241002</v>
          </cell>
          <cell r="AZ31" t="str">
            <v>F18</v>
          </cell>
          <cell r="BA31">
            <v>0</v>
          </cell>
          <cell r="BB31" t="str">
            <v>SKFC</v>
          </cell>
          <cell r="BC31" t="str">
            <v>F18</v>
          </cell>
        </row>
        <row r="32">
          <cell r="A32" t="str">
            <v>503C</v>
          </cell>
          <cell r="B32" t="str">
            <v>3</v>
          </cell>
          <cell r="C32" t="str">
            <v>05</v>
          </cell>
          <cell r="D32">
            <v>16</v>
          </cell>
          <cell r="E32" t="str">
            <v>503C</v>
          </cell>
          <cell r="F32">
            <v>10.99</v>
          </cell>
          <cell r="G32">
            <v>8.58</v>
          </cell>
          <cell r="H32">
            <v>8.58</v>
          </cell>
          <cell r="I32" t="str">
            <v>SC</v>
          </cell>
          <cell r="J32" t="str">
            <v>FC</v>
          </cell>
          <cell r="K32">
            <v>8</v>
          </cell>
          <cell r="L32">
            <v>45804</v>
          </cell>
          <cell r="M32">
            <v>45804</v>
          </cell>
          <cell r="N32">
            <v>190</v>
          </cell>
          <cell r="O32" t="str">
            <v>NS</v>
          </cell>
          <cell r="P32" t="str">
            <v/>
          </cell>
          <cell r="Q32">
            <v>46048</v>
          </cell>
          <cell r="R32" t="str">
            <v/>
          </cell>
          <cell r="S32" t="str">
            <v/>
          </cell>
          <cell r="T32" t="str">
            <v/>
          </cell>
          <cell r="U32">
            <v>64933</v>
          </cell>
          <cell r="V32">
            <v>68956</v>
          </cell>
          <cell r="W32">
            <v>43828</v>
          </cell>
          <cell r="X32" t="str">
            <v>Lokasi Produksi 503C</v>
          </cell>
          <cell r="Z32">
            <v>8</v>
          </cell>
          <cell r="AA32">
            <v>46048</v>
          </cell>
          <cell r="AB32">
            <v>250.59733611111005</v>
          </cell>
          <cell r="AC32">
            <v>8.3532445370370016</v>
          </cell>
          <cell r="AD32">
            <v>0.35324453703700165</v>
          </cell>
          <cell r="AE32">
            <v>18.84</v>
          </cell>
          <cell r="AF32">
            <v>0</v>
          </cell>
          <cell r="AG32">
            <v>-1366.3333333333333</v>
          </cell>
          <cell r="AK32">
            <v>40443</v>
          </cell>
          <cell r="AM32" t="str">
            <v>OK</v>
          </cell>
          <cell r="AO32">
            <v>6.3451851080246948</v>
          </cell>
          <cell r="AP32">
            <v>-1.6548148919753052</v>
          </cell>
          <cell r="AQ32">
            <v>0</v>
          </cell>
          <cell r="AR32">
            <v>6.3451851080246948</v>
          </cell>
          <cell r="AS32">
            <v>0</v>
          </cell>
          <cell r="AT32">
            <v>46048</v>
          </cell>
          <cell r="AU32">
            <v>-1.6548148919753052</v>
          </cell>
          <cell r="AV32">
            <v>190.35555324074085</v>
          </cell>
          <cell r="AW32">
            <v>-1.6548148919753052</v>
          </cell>
          <cell r="AY32">
            <v>195.46369178241002</v>
          </cell>
          <cell r="AZ32" t="str">
            <v>F18</v>
          </cell>
          <cell r="BA32">
            <v>8.58</v>
          </cell>
          <cell r="BB32" t="str">
            <v>NSSC</v>
          </cell>
          <cell r="BC32" t="str">
            <v>F18</v>
          </cell>
        </row>
        <row r="33">
          <cell r="A33" t="str">
            <v>503D</v>
          </cell>
          <cell r="B33" t="str">
            <v>3</v>
          </cell>
          <cell r="C33" t="str">
            <v>05</v>
          </cell>
          <cell r="D33">
            <v>16</v>
          </cell>
          <cell r="E33" t="str">
            <v>503D</v>
          </cell>
          <cell r="F33">
            <v>12.93</v>
          </cell>
          <cell r="G33">
            <v>10.85</v>
          </cell>
          <cell r="H33">
            <v>10.85</v>
          </cell>
          <cell r="I33" t="str">
            <v>FC</v>
          </cell>
          <cell r="J33" t="str">
            <v>ST</v>
          </cell>
          <cell r="K33">
            <v>12</v>
          </cell>
          <cell r="L33">
            <v>45609</v>
          </cell>
          <cell r="M33">
            <v>45609</v>
          </cell>
          <cell r="N33">
            <v>385</v>
          </cell>
          <cell r="O33" t="str">
            <v>NS</v>
          </cell>
          <cell r="P33" t="str">
            <v>NSF18SS3</v>
          </cell>
          <cell r="Q33">
            <v>45975</v>
          </cell>
          <cell r="R33" t="str">
            <v/>
          </cell>
          <cell r="S33" t="str">
            <v/>
          </cell>
          <cell r="T33">
            <v>45939</v>
          </cell>
          <cell r="U33">
            <v>70291</v>
          </cell>
          <cell r="V33">
            <v>68985</v>
          </cell>
          <cell r="W33" t="str">
            <v/>
          </cell>
          <cell r="X33" t="str">
            <v>Lokasi Produksi 503D</v>
          </cell>
          <cell r="Z33">
            <v>12</v>
          </cell>
          <cell r="AA33">
            <v>45975</v>
          </cell>
          <cell r="AB33">
            <v>388.59733611111005</v>
          </cell>
          <cell r="AC33">
            <v>12.953244537037001</v>
          </cell>
          <cell r="AD33">
            <v>-20</v>
          </cell>
          <cell r="AE33">
            <v>0</v>
          </cell>
          <cell r="AF33">
            <v>0</v>
          </cell>
          <cell r="AG33">
            <v>-1361.7333333333333</v>
          </cell>
          <cell r="AM33" t="str">
            <v>OK</v>
          </cell>
          <cell r="AO33">
            <v>12.845185108024696</v>
          </cell>
          <cell r="AP33">
            <v>0.84518510802469571</v>
          </cell>
          <cell r="AQ33">
            <v>45939</v>
          </cell>
          <cell r="AR33">
            <v>11</v>
          </cell>
          <cell r="AS33">
            <v>1.8451851080246957</v>
          </cell>
          <cell r="AT33">
            <v>45975</v>
          </cell>
          <cell r="AU33">
            <v>1.8451851080246957</v>
          </cell>
          <cell r="AV33">
            <v>330</v>
          </cell>
          <cell r="AW33">
            <v>1.8451851080246957</v>
          </cell>
          <cell r="AY33">
            <v>390.46369178241002</v>
          </cell>
          <cell r="AZ33" t="str">
            <v>F18</v>
          </cell>
          <cell r="BA33">
            <v>10.85</v>
          </cell>
          <cell r="BB33" t="str">
            <v>NSFC</v>
          </cell>
          <cell r="BC33" t="str">
            <v>F18SS</v>
          </cell>
        </row>
        <row r="34">
          <cell r="A34" t="str">
            <v>503E</v>
          </cell>
          <cell r="B34" t="str">
            <v>3</v>
          </cell>
          <cell r="C34" t="str">
            <v>05</v>
          </cell>
          <cell r="D34">
            <v>16</v>
          </cell>
          <cell r="E34" t="str">
            <v>503E</v>
          </cell>
          <cell r="F34">
            <v>16.37</v>
          </cell>
          <cell r="G34">
            <v>13.16</v>
          </cell>
          <cell r="H34">
            <v>13.16</v>
          </cell>
          <cell r="I34" t="str">
            <v>SC</v>
          </cell>
          <cell r="J34" t="str">
            <v>FC</v>
          </cell>
          <cell r="K34">
            <v>8</v>
          </cell>
          <cell r="L34">
            <v>45860</v>
          </cell>
          <cell r="M34">
            <v>45860</v>
          </cell>
          <cell r="N34">
            <v>134</v>
          </cell>
          <cell r="O34" t="str">
            <v>NS</v>
          </cell>
          <cell r="P34" t="str">
            <v/>
          </cell>
          <cell r="Q34">
            <v>46104</v>
          </cell>
          <cell r="R34" t="str">
            <v/>
          </cell>
          <cell r="S34" t="str">
            <v/>
          </cell>
          <cell r="T34" t="str">
            <v/>
          </cell>
          <cell r="U34">
            <v>70001</v>
          </cell>
          <cell r="V34">
            <v>69732</v>
          </cell>
          <cell r="W34">
            <v>44314</v>
          </cell>
          <cell r="X34" t="str">
            <v>Lokasi Produksi 503E</v>
          </cell>
          <cell r="Z34">
            <v>8</v>
          </cell>
          <cell r="AA34">
            <v>46104</v>
          </cell>
          <cell r="AB34">
            <v>424.59733611111005</v>
          </cell>
          <cell r="AC34">
            <v>14.153244537037002</v>
          </cell>
          <cell r="AD34">
            <v>-20</v>
          </cell>
          <cell r="AE34">
            <v>0</v>
          </cell>
          <cell r="AF34">
            <v>0</v>
          </cell>
          <cell r="AG34">
            <v>-1360.5333333333333</v>
          </cell>
          <cell r="AK34">
            <v>40390</v>
          </cell>
          <cell r="AM34" t="str">
            <v>OK</v>
          </cell>
          <cell r="AO34">
            <v>4.4785184413580286</v>
          </cell>
          <cell r="AP34">
            <v>-3.5214815586419714</v>
          </cell>
          <cell r="AQ34">
            <v>0</v>
          </cell>
          <cell r="AR34">
            <v>4.4785184413580286</v>
          </cell>
          <cell r="AS34">
            <v>0</v>
          </cell>
          <cell r="AT34">
            <v>46104</v>
          </cell>
          <cell r="AU34">
            <v>-3.5214815586419714</v>
          </cell>
          <cell r="AV34">
            <v>134.35555324074085</v>
          </cell>
          <cell r="AW34">
            <v>-3.5214815586419714</v>
          </cell>
          <cell r="AY34">
            <v>139.46369178241002</v>
          </cell>
          <cell r="AZ34" t="str">
            <v>F18</v>
          </cell>
          <cell r="BA34">
            <v>13.16</v>
          </cell>
          <cell r="BB34" t="str">
            <v>NSSC</v>
          </cell>
          <cell r="BC34" t="str">
            <v>F18</v>
          </cell>
        </row>
        <row r="35">
          <cell r="A35" t="str">
            <v>503F1</v>
          </cell>
          <cell r="B35" t="str">
            <v>3</v>
          </cell>
          <cell r="C35" t="str">
            <v>05</v>
          </cell>
          <cell r="D35">
            <v>16</v>
          </cell>
          <cell r="E35" t="str">
            <v>503F1</v>
          </cell>
          <cell r="F35">
            <v>15.69</v>
          </cell>
          <cell r="G35">
            <v>13.08</v>
          </cell>
          <cell r="H35">
            <v>13.08</v>
          </cell>
          <cell r="I35" t="str">
            <v>SC</v>
          </cell>
          <cell r="J35" t="str">
            <v>FC</v>
          </cell>
          <cell r="K35">
            <v>8</v>
          </cell>
          <cell r="L35">
            <v>45928</v>
          </cell>
          <cell r="M35">
            <v>45928</v>
          </cell>
          <cell r="N35">
            <v>66</v>
          </cell>
          <cell r="O35" t="str">
            <v>NS</v>
          </cell>
          <cell r="P35" t="str">
            <v/>
          </cell>
          <cell r="Q35">
            <v>46172</v>
          </cell>
          <cell r="R35" t="str">
            <v/>
          </cell>
          <cell r="S35" t="str">
            <v/>
          </cell>
          <cell r="T35" t="str">
            <v/>
          </cell>
          <cell r="U35">
            <v>67705</v>
          </cell>
          <cell r="V35">
            <v>66975</v>
          </cell>
          <cell r="W35">
            <v>44314</v>
          </cell>
          <cell r="X35" t="str">
            <v>Lokasi Produksi 503F1 ( Pecahan 503F )</v>
          </cell>
          <cell r="Z35">
            <v>8</v>
          </cell>
          <cell r="AA35">
            <v>46172</v>
          </cell>
          <cell r="AB35">
            <v>484.59733611111005</v>
          </cell>
          <cell r="AC35">
            <v>16.153244537037001</v>
          </cell>
          <cell r="AD35">
            <v>-20</v>
          </cell>
          <cell r="AE35">
            <v>0</v>
          </cell>
          <cell r="AF35">
            <v>0</v>
          </cell>
          <cell r="AG35">
            <v>-1358.5333333333333</v>
          </cell>
          <cell r="AM35" t="str">
            <v>OK</v>
          </cell>
          <cell r="AO35">
            <v>2.2118517746913615</v>
          </cell>
          <cell r="AP35">
            <v>-5.7881482253086389</v>
          </cell>
          <cell r="AQ35">
            <v>0</v>
          </cell>
          <cell r="AR35">
            <v>2.2118517746913615</v>
          </cell>
          <cell r="AS35">
            <v>0</v>
          </cell>
          <cell r="AT35">
            <v>46172</v>
          </cell>
          <cell r="AU35">
            <v>-5.7881482253086389</v>
          </cell>
          <cell r="AV35">
            <v>66.355553240740846</v>
          </cell>
          <cell r="AW35">
            <v>-5.7881482253086389</v>
          </cell>
          <cell r="AY35">
            <v>71.463691782410024</v>
          </cell>
          <cell r="AZ35" t="str">
            <v>F18</v>
          </cell>
          <cell r="BA35">
            <v>13.08</v>
          </cell>
          <cell r="BB35" t="str">
            <v>NSSC</v>
          </cell>
          <cell r="BC35" t="str">
            <v>F18</v>
          </cell>
        </row>
        <row r="36">
          <cell r="A36" t="str">
            <v>503F2</v>
          </cell>
          <cell r="B36" t="str">
            <v>3</v>
          </cell>
          <cell r="C36" t="str">
            <v>05</v>
          </cell>
          <cell r="D36">
            <v>16</v>
          </cell>
          <cell r="E36" t="str">
            <v>503F2</v>
          </cell>
          <cell r="F36">
            <v>10.28</v>
          </cell>
          <cell r="G36">
            <v>7.8</v>
          </cell>
          <cell r="H36">
            <v>7.8</v>
          </cell>
          <cell r="I36" t="str">
            <v>SC</v>
          </cell>
          <cell r="J36" t="str">
            <v>FC</v>
          </cell>
          <cell r="K36">
            <v>8</v>
          </cell>
          <cell r="L36">
            <v>45678</v>
          </cell>
          <cell r="M36">
            <v>45678</v>
          </cell>
          <cell r="N36">
            <v>316</v>
          </cell>
          <cell r="O36" t="str">
            <v>NS</v>
          </cell>
          <cell r="P36" t="str">
            <v/>
          </cell>
          <cell r="Q36">
            <v>45922</v>
          </cell>
          <cell r="R36" t="str">
            <v/>
          </cell>
          <cell r="S36" t="str">
            <v/>
          </cell>
          <cell r="T36">
            <v>45916</v>
          </cell>
          <cell r="U36">
            <v>66315</v>
          </cell>
          <cell r="V36">
            <v>52267</v>
          </cell>
          <cell r="W36" t="str">
            <v/>
          </cell>
          <cell r="X36" t="str">
            <v>Lokasi Produksi 503F2 ( Pecahan 503F )</v>
          </cell>
          <cell r="Z36">
            <v>8</v>
          </cell>
          <cell r="AA36">
            <v>45922</v>
          </cell>
          <cell r="AB36">
            <v>5444.5973361111101</v>
          </cell>
          <cell r="AC36">
            <v>181.48657787037033</v>
          </cell>
          <cell r="AD36">
            <v>-20</v>
          </cell>
          <cell r="AE36">
            <v>0</v>
          </cell>
          <cell r="AF36">
            <v>0</v>
          </cell>
          <cell r="AG36">
            <v>-1193.2</v>
          </cell>
          <cell r="AM36" t="str">
            <v>OK</v>
          </cell>
          <cell r="AO36">
            <v>10.545185108024695</v>
          </cell>
          <cell r="AP36">
            <v>2.545185108024695</v>
          </cell>
          <cell r="AQ36">
            <v>45916</v>
          </cell>
          <cell r="AR36">
            <v>7.9333333333333336</v>
          </cell>
          <cell r="AS36">
            <v>2.6118517746913614</v>
          </cell>
          <cell r="AT36">
            <v>45922</v>
          </cell>
          <cell r="AU36">
            <v>2.6118517746913614</v>
          </cell>
          <cell r="AV36">
            <v>238</v>
          </cell>
          <cell r="AW36">
            <v>2.6118517746913614</v>
          </cell>
          <cell r="AY36">
            <v>321.46369178241002</v>
          </cell>
          <cell r="AZ36" t="str">
            <v>F18</v>
          </cell>
          <cell r="BA36">
            <v>7.8</v>
          </cell>
          <cell r="BB36" t="str">
            <v>NSSC</v>
          </cell>
          <cell r="BC36" t="str">
            <v>F18</v>
          </cell>
        </row>
        <row r="37">
          <cell r="A37" t="str">
            <v>503H1</v>
          </cell>
          <cell r="B37" t="str">
            <v>3</v>
          </cell>
          <cell r="C37" t="str">
            <v>05</v>
          </cell>
          <cell r="D37">
            <v>16</v>
          </cell>
          <cell r="E37" t="str">
            <v>503H1</v>
          </cell>
          <cell r="F37">
            <v>5.74</v>
          </cell>
          <cell r="G37">
            <v>4.76</v>
          </cell>
          <cell r="H37">
            <v>4.76</v>
          </cell>
          <cell r="I37" t="str">
            <v>FC</v>
          </cell>
          <cell r="J37" t="str">
            <v>ST</v>
          </cell>
          <cell r="K37">
            <v>14</v>
          </cell>
          <cell r="L37">
            <v>45632</v>
          </cell>
          <cell r="M37">
            <v>45632</v>
          </cell>
          <cell r="N37">
            <v>362</v>
          </cell>
          <cell r="O37" t="str">
            <v>NS</v>
          </cell>
          <cell r="P37" t="str">
            <v>NSGP3CK3</v>
          </cell>
          <cell r="Q37">
            <v>46059</v>
          </cell>
          <cell r="R37" t="str">
            <v/>
          </cell>
          <cell r="S37" t="str">
            <v/>
          </cell>
          <cell r="T37" t="str">
            <v/>
          </cell>
          <cell r="U37">
            <v>66321</v>
          </cell>
          <cell r="V37">
            <v>63732</v>
          </cell>
          <cell r="W37">
            <v>45539</v>
          </cell>
          <cell r="X37" t="str">
            <v>Lokasi Produksi 503H1 ( pecahan 503H )</v>
          </cell>
          <cell r="Z37">
            <v>14</v>
          </cell>
          <cell r="AA37">
            <v>46059</v>
          </cell>
          <cell r="AB37">
            <v>60.597336111110053</v>
          </cell>
          <cell r="AC37">
            <v>2.0199112037036686</v>
          </cell>
          <cell r="AD37">
            <v>-9.9800887962963323</v>
          </cell>
          <cell r="AE37">
            <v>8.1300000000000008</v>
          </cell>
          <cell r="AF37">
            <v>0</v>
          </cell>
          <cell r="AG37">
            <v>-1372.6666666666667</v>
          </cell>
          <cell r="AK37">
            <v>40352</v>
          </cell>
          <cell r="AM37" t="str">
            <v>OK</v>
          </cell>
          <cell r="AO37">
            <v>12.078518441358028</v>
          </cell>
          <cell r="AP37">
            <v>-1.9214815586419718</v>
          </cell>
          <cell r="AQ37">
            <v>0</v>
          </cell>
          <cell r="AR37">
            <v>12.078518441358028</v>
          </cell>
          <cell r="AS37">
            <v>0</v>
          </cell>
          <cell r="AT37">
            <v>46059</v>
          </cell>
          <cell r="AU37">
            <v>-1.9214815586419718</v>
          </cell>
          <cell r="AV37">
            <v>362.35555324074085</v>
          </cell>
          <cell r="AW37">
            <v>-1.9214815586419718</v>
          </cell>
          <cell r="AY37">
            <v>367.46369178241002</v>
          </cell>
          <cell r="AZ37" t="str">
            <v>GP3</v>
          </cell>
          <cell r="BA37">
            <v>4.76</v>
          </cell>
          <cell r="BB37" t="str">
            <v>NSFC</v>
          </cell>
          <cell r="BC37" t="str">
            <v>GP3CK</v>
          </cell>
        </row>
        <row r="38">
          <cell r="A38" t="str">
            <v>503H2</v>
          </cell>
          <cell r="B38" t="str">
            <v>3</v>
          </cell>
          <cell r="C38" t="str">
            <v>05</v>
          </cell>
          <cell r="D38">
            <v>16</v>
          </cell>
          <cell r="E38" t="str">
            <v>503H2</v>
          </cell>
          <cell r="F38">
            <v>3.56</v>
          </cell>
          <cell r="G38">
            <v>3.03</v>
          </cell>
          <cell r="H38">
            <v>3.03</v>
          </cell>
          <cell r="I38" t="str">
            <v>FC</v>
          </cell>
          <cell r="J38" t="str">
            <v>ST</v>
          </cell>
          <cell r="K38">
            <v>14</v>
          </cell>
          <cell r="L38">
            <v>45633</v>
          </cell>
          <cell r="M38">
            <v>45633</v>
          </cell>
          <cell r="N38">
            <v>361</v>
          </cell>
          <cell r="O38" t="str">
            <v>NS</v>
          </cell>
          <cell r="P38" t="str">
            <v>NSGP3CK3</v>
          </cell>
          <cell r="Q38">
            <v>46060</v>
          </cell>
          <cell r="R38" t="str">
            <v/>
          </cell>
          <cell r="S38" t="str">
            <v/>
          </cell>
          <cell r="T38" t="str">
            <v/>
          </cell>
          <cell r="U38">
            <v>65273</v>
          </cell>
          <cell r="V38">
            <v>66304</v>
          </cell>
          <cell r="W38">
            <v>45539</v>
          </cell>
          <cell r="X38" t="str">
            <v>Lokasi Produksi 503H2 ( pecahan 503H )</v>
          </cell>
          <cell r="Z38">
            <v>14</v>
          </cell>
          <cell r="AA38">
            <v>46060</v>
          </cell>
          <cell r="AB38">
            <v>204.59733611111005</v>
          </cell>
          <cell r="AC38">
            <v>6.8199112037036684</v>
          </cell>
          <cell r="AD38">
            <v>-20</v>
          </cell>
          <cell r="AE38">
            <v>0</v>
          </cell>
          <cell r="AF38">
            <v>0</v>
          </cell>
          <cell r="AG38">
            <v>-1367.8666666666666</v>
          </cell>
          <cell r="AK38">
            <v>40299</v>
          </cell>
          <cell r="AM38" t="str">
            <v>OK</v>
          </cell>
          <cell r="AO38">
            <v>12.045185108024695</v>
          </cell>
          <cell r="AP38">
            <v>-1.954814891975305</v>
          </cell>
          <cell r="AQ38">
            <v>0</v>
          </cell>
          <cell r="AR38">
            <v>12.045185108024695</v>
          </cell>
          <cell r="AS38">
            <v>0</v>
          </cell>
          <cell r="AT38">
            <v>46060</v>
          </cell>
          <cell r="AU38">
            <v>-1.954814891975305</v>
          </cell>
          <cell r="AV38">
            <v>361.35555324074085</v>
          </cell>
          <cell r="AW38">
            <v>-1.954814891975305</v>
          </cell>
          <cell r="AY38">
            <v>366.46369178241002</v>
          </cell>
          <cell r="AZ38" t="str">
            <v>GP3</v>
          </cell>
          <cell r="BA38">
            <v>3.03</v>
          </cell>
          <cell r="BB38" t="str">
            <v>NSFC</v>
          </cell>
          <cell r="BC38" t="str">
            <v>GP3CK</v>
          </cell>
        </row>
        <row r="39">
          <cell r="A39" t="str">
            <v>503H3</v>
          </cell>
          <cell r="B39" t="str">
            <v>3</v>
          </cell>
          <cell r="C39" t="str">
            <v>05</v>
          </cell>
          <cell r="D39">
            <v>16</v>
          </cell>
          <cell r="E39" t="str">
            <v>503H3</v>
          </cell>
          <cell r="F39">
            <v>10.06</v>
          </cell>
          <cell r="G39">
            <v>8.41</v>
          </cell>
          <cell r="H39">
            <v>8.41</v>
          </cell>
          <cell r="I39" t="str">
            <v>FC</v>
          </cell>
          <cell r="J39" t="str">
            <v>ST</v>
          </cell>
          <cell r="K39">
            <v>14</v>
          </cell>
          <cell r="L39">
            <v>45632</v>
          </cell>
          <cell r="M39">
            <v>45632</v>
          </cell>
          <cell r="N39">
            <v>362</v>
          </cell>
          <cell r="O39" t="str">
            <v>NS</v>
          </cell>
          <cell r="P39" t="str">
            <v>NSGP3CK3</v>
          </cell>
          <cell r="Q39">
            <v>46059</v>
          </cell>
          <cell r="R39" t="str">
            <v/>
          </cell>
          <cell r="S39" t="str">
            <v/>
          </cell>
          <cell r="T39" t="str">
            <v/>
          </cell>
          <cell r="U39">
            <v>63637</v>
          </cell>
          <cell r="V39">
            <v>65053</v>
          </cell>
          <cell r="W39">
            <v>45549</v>
          </cell>
          <cell r="X39" t="str">
            <v>Lokasi Produksi 503H3 ( pecahan 503H )</v>
          </cell>
          <cell r="Z39">
            <v>14</v>
          </cell>
          <cell r="AA39">
            <v>46059</v>
          </cell>
          <cell r="AB39">
            <v>194.59733611111005</v>
          </cell>
          <cell r="AC39">
            <v>6.4865778703703354</v>
          </cell>
          <cell r="AD39">
            <v>-20</v>
          </cell>
          <cell r="AE39">
            <v>0</v>
          </cell>
          <cell r="AF39">
            <v>0</v>
          </cell>
          <cell r="AG39">
            <v>-1368.2</v>
          </cell>
          <cell r="AM39" t="str">
            <v>OK</v>
          </cell>
          <cell r="AO39">
            <v>12.078518441358028</v>
          </cell>
          <cell r="AP39">
            <v>-1.9214815586419718</v>
          </cell>
          <cell r="AQ39">
            <v>0</v>
          </cell>
          <cell r="AR39">
            <v>12.078518441358028</v>
          </cell>
          <cell r="AS39">
            <v>0</v>
          </cell>
          <cell r="AT39">
            <v>46059</v>
          </cell>
          <cell r="AU39">
            <v>-1.9214815586419718</v>
          </cell>
          <cell r="AV39">
            <v>362.35555324074085</v>
          </cell>
          <cell r="AW39">
            <v>-1.9214815586419718</v>
          </cell>
          <cell r="AY39">
            <v>367.46369178241002</v>
          </cell>
          <cell r="AZ39" t="str">
            <v>GP3</v>
          </cell>
          <cell r="BA39">
            <v>8.41</v>
          </cell>
          <cell r="BB39" t="str">
            <v>NSFC</v>
          </cell>
          <cell r="BC39" t="str">
            <v>GP3CK</v>
          </cell>
        </row>
        <row r="40">
          <cell r="A40" t="str">
            <v>503I1</v>
          </cell>
          <cell r="B40" t="str">
            <v>3</v>
          </cell>
          <cell r="C40" t="str">
            <v>05</v>
          </cell>
          <cell r="D40">
            <v>16</v>
          </cell>
          <cell r="E40" t="str">
            <v>503I1</v>
          </cell>
          <cell r="F40">
            <v>3.99</v>
          </cell>
          <cell r="G40">
            <v>3.14</v>
          </cell>
          <cell r="H40">
            <v>3.14</v>
          </cell>
          <cell r="I40" t="str">
            <v>BK</v>
          </cell>
          <cell r="J40" t="str">
            <v>BB</v>
          </cell>
          <cell r="K40">
            <v>0</v>
          </cell>
          <cell r="L40">
            <v>45962</v>
          </cell>
          <cell r="M40">
            <v>45962</v>
          </cell>
          <cell r="N40">
            <v>32</v>
          </cell>
          <cell r="O40" t="str">
            <v>NS</v>
          </cell>
          <cell r="P40" t="str">
            <v/>
          </cell>
          <cell r="Q40">
            <v>45962</v>
          </cell>
          <cell r="R40" t="str">
            <v/>
          </cell>
          <cell r="S40" t="str">
            <v/>
          </cell>
          <cell r="T40" t="str">
            <v/>
          </cell>
          <cell r="U40">
            <v>71124</v>
          </cell>
          <cell r="V40">
            <v>73244</v>
          </cell>
          <cell r="W40">
            <v>43517</v>
          </cell>
          <cell r="X40" t="str">
            <v>Lokasi Produksi 503I1 ( pecahan 503I )</v>
          </cell>
          <cell r="Z40">
            <v>0</v>
          </cell>
          <cell r="AA40">
            <v>45962</v>
          </cell>
          <cell r="AB40">
            <v>321.59733611111005</v>
          </cell>
          <cell r="AC40">
            <v>10.719911203703669</v>
          </cell>
          <cell r="AD40">
            <v>-3.2800887962963312</v>
          </cell>
          <cell r="AE40">
            <v>7.43</v>
          </cell>
          <cell r="AF40">
            <v>0</v>
          </cell>
          <cell r="AG40">
            <v>-1363.9666666666667</v>
          </cell>
          <cell r="AM40" t="str">
            <v>OK</v>
          </cell>
          <cell r="AO40">
            <v>1.0785184413580282</v>
          </cell>
          <cell r="AP40">
            <v>1.0785184413580282</v>
          </cell>
          <cell r="AQ40">
            <v>0</v>
          </cell>
          <cell r="AR40">
            <v>1.0785184413580282</v>
          </cell>
          <cell r="AS40">
            <v>0</v>
          </cell>
          <cell r="AT40">
            <v>45962</v>
          </cell>
          <cell r="AU40">
            <v>1.0785184413580282</v>
          </cell>
          <cell r="AV40">
            <v>32.355553240740846</v>
          </cell>
          <cell r="AW40">
            <v>1.0785184413580282</v>
          </cell>
          <cell r="AY40">
            <v>37.463691782410024</v>
          </cell>
          <cell r="AZ40" t="str">
            <v>F18</v>
          </cell>
          <cell r="BA40">
            <v>0</v>
          </cell>
          <cell r="BB40" t="str">
            <v>NSBK</v>
          </cell>
          <cell r="BC40" t="str">
            <v>F18</v>
          </cell>
        </row>
        <row r="41">
          <cell r="A41" t="str">
            <v>503I2</v>
          </cell>
          <cell r="B41" t="str">
            <v>3</v>
          </cell>
          <cell r="C41" t="str">
            <v>05</v>
          </cell>
          <cell r="D41">
            <v>16</v>
          </cell>
          <cell r="E41" t="str">
            <v>503I2</v>
          </cell>
          <cell r="F41">
            <v>6.5</v>
          </cell>
          <cell r="G41">
            <v>5.05</v>
          </cell>
          <cell r="H41">
            <v>5.05</v>
          </cell>
          <cell r="I41" t="str">
            <v>BK</v>
          </cell>
          <cell r="J41" t="str">
            <v>BB</v>
          </cell>
          <cell r="K41">
            <v>0</v>
          </cell>
          <cell r="L41">
            <v>45992</v>
          </cell>
          <cell r="M41">
            <v>45992</v>
          </cell>
          <cell r="N41">
            <v>2</v>
          </cell>
          <cell r="O41" t="str">
            <v>NS</v>
          </cell>
          <cell r="P41" t="str">
            <v/>
          </cell>
          <cell r="Q41">
            <v>45992</v>
          </cell>
          <cell r="R41" t="str">
            <v/>
          </cell>
          <cell r="S41" t="str">
            <v/>
          </cell>
          <cell r="T41" t="str">
            <v/>
          </cell>
          <cell r="U41">
            <v>64576</v>
          </cell>
          <cell r="V41">
            <v>74658</v>
          </cell>
          <cell r="W41" t="str">
            <v/>
          </cell>
          <cell r="X41" t="str">
            <v>Lokasi Produksi 503I2 ( pecahan 503I )</v>
          </cell>
          <cell r="Z41">
            <v>0</v>
          </cell>
          <cell r="AA41">
            <v>45992</v>
          </cell>
          <cell r="AB41">
            <v>197.59733611111005</v>
          </cell>
          <cell r="AC41">
            <v>6.586577870370335</v>
          </cell>
          <cell r="AD41">
            <v>-20</v>
          </cell>
          <cell r="AE41">
            <v>0</v>
          </cell>
          <cell r="AF41">
            <v>0</v>
          </cell>
          <cell r="AG41">
            <v>-1368.1</v>
          </cell>
          <cell r="AM41" t="str">
            <v>OK</v>
          </cell>
          <cell r="AO41">
            <v>7.8518441358028213E-2</v>
          </cell>
          <cell r="AP41">
            <v>7.8518441358028213E-2</v>
          </cell>
          <cell r="AQ41">
            <v>0</v>
          </cell>
          <cell r="AR41">
            <v>7.8518441358028213E-2</v>
          </cell>
          <cell r="AS41">
            <v>0</v>
          </cell>
          <cell r="AT41">
            <v>45992</v>
          </cell>
          <cell r="AU41">
            <v>7.8518441358028213E-2</v>
          </cell>
          <cell r="AV41">
            <v>2.3555532407408464</v>
          </cell>
          <cell r="AW41">
            <v>7.8518441358028213E-2</v>
          </cell>
          <cell r="AY41">
            <v>7.4636917824100237</v>
          </cell>
          <cell r="AZ41" t="str">
            <v>F18</v>
          </cell>
          <cell r="BA41">
            <v>0</v>
          </cell>
          <cell r="BB41" t="str">
            <v>NSBK</v>
          </cell>
          <cell r="BC41" t="str">
            <v>F18</v>
          </cell>
        </row>
        <row r="42">
          <cell r="A42" t="str">
            <v>504A1</v>
          </cell>
          <cell r="B42" t="str">
            <v>3</v>
          </cell>
          <cell r="C42" t="str">
            <v>05</v>
          </cell>
          <cell r="D42">
            <v>16</v>
          </cell>
          <cell r="E42" t="str">
            <v>504A1</v>
          </cell>
          <cell r="F42">
            <v>4.49</v>
          </cell>
          <cell r="G42">
            <v>3.73</v>
          </cell>
          <cell r="H42">
            <v>3.73</v>
          </cell>
          <cell r="I42" t="str">
            <v>FC</v>
          </cell>
          <cell r="J42" t="str">
            <v>ST</v>
          </cell>
          <cell r="K42">
            <v>12</v>
          </cell>
          <cell r="L42">
            <v>45793</v>
          </cell>
          <cell r="M42">
            <v>45793</v>
          </cell>
          <cell r="N42">
            <v>201</v>
          </cell>
          <cell r="O42" t="str">
            <v>NS</v>
          </cell>
          <cell r="P42" t="str">
            <v>NSF18SS3</v>
          </cell>
          <cell r="Q42">
            <v>46159</v>
          </cell>
          <cell r="R42" t="str">
            <v/>
          </cell>
          <cell r="S42" t="str">
            <v/>
          </cell>
          <cell r="T42" t="str">
            <v/>
          </cell>
          <cell r="U42">
            <v>71364</v>
          </cell>
          <cell r="V42">
            <v>72666</v>
          </cell>
          <cell r="W42" t="str">
            <v/>
          </cell>
          <cell r="X42" t="str">
            <v>Lokasi Produksi 504A1 ( pecahan 504A )</v>
          </cell>
          <cell r="Z42">
            <v>12</v>
          </cell>
          <cell r="AA42">
            <v>46159</v>
          </cell>
          <cell r="AB42">
            <v>217.59733611111005</v>
          </cell>
          <cell r="AC42">
            <v>7.253244537037002</v>
          </cell>
          <cell r="AD42">
            <v>-0.746755462962998</v>
          </cell>
          <cell r="AE42">
            <v>6.71</v>
          </cell>
          <cell r="AF42">
            <v>0</v>
          </cell>
          <cell r="AG42">
            <v>-1367.4333333333334</v>
          </cell>
          <cell r="AM42" t="str">
            <v>OK</v>
          </cell>
          <cell r="AO42">
            <v>6.711851774691362</v>
          </cell>
          <cell r="AP42">
            <v>-5.288148225308638</v>
          </cell>
          <cell r="AQ42">
            <v>0</v>
          </cell>
          <cell r="AR42">
            <v>6.711851774691362</v>
          </cell>
          <cell r="AS42">
            <v>0</v>
          </cell>
          <cell r="AT42">
            <v>46159</v>
          </cell>
          <cell r="AU42">
            <v>-5.288148225308638</v>
          </cell>
          <cell r="AV42">
            <v>201.35555324074085</v>
          </cell>
          <cell r="AW42">
            <v>-5.288148225308638</v>
          </cell>
          <cell r="AY42">
            <v>206.46369178241002</v>
          </cell>
          <cell r="AZ42" t="str">
            <v>F18</v>
          </cell>
          <cell r="BA42">
            <v>3.73</v>
          </cell>
          <cell r="BB42" t="str">
            <v>NSFC</v>
          </cell>
          <cell r="BC42" t="str">
            <v>F18SS</v>
          </cell>
        </row>
        <row r="43">
          <cell r="A43" t="str">
            <v>504A2</v>
          </cell>
          <cell r="B43" t="str">
            <v>3</v>
          </cell>
          <cell r="C43" t="str">
            <v>05</v>
          </cell>
          <cell r="D43">
            <v>16</v>
          </cell>
          <cell r="E43" t="str">
            <v>504A2</v>
          </cell>
          <cell r="F43">
            <v>4.92</v>
          </cell>
          <cell r="G43">
            <v>3.85</v>
          </cell>
          <cell r="H43">
            <v>3.85</v>
          </cell>
          <cell r="I43" t="str">
            <v>SC</v>
          </cell>
          <cell r="J43" t="str">
            <v>FC</v>
          </cell>
          <cell r="K43">
            <v>8</v>
          </cell>
          <cell r="L43">
            <v>45721</v>
          </cell>
          <cell r="M43">
            <v>45721</v>
          </cell>
          <cell r="N43">
            <v>273</v>
          </cell>
          <cell r="O43" t="str">
            <v>NS</v>
          </cell>
          <cell r="P43" t="str">
            <v/>
          </cell>
          <cell r="Q43">
            <v>45965</v>
          </cell>
          <cell r="R43" t="str">
            <v/>
          </cell>
          <cell r="S43" t="str">
            <v/>
          </cell>
          <cell r="T43">
            <v>45939</v>
          </cell>
          <cell r="U43">
            <v>68864</v>
          </cell>
          <cell r="V43">
            <v>71316</v>
          </cell>
          <cell r="W43">
            <v>44982</v>
          </cell>
          <cell r="X43" t="str">
            <v>Lokasi Produksi 504A2 ( pecahan 504A )</v>
          </cell>
          <cell r="Z43">
            <v>8</v>
          </cell>
          <cell r="AA43">
            <v>45965</v>
          </cell>
          <cell r="AB43">
            <v>187.59733611111005</v>
          </cell>
          <cell r="AC43">
            <v>6.253244537037002</v>
          </cell>
          <cell r="AD43">
            <v>-20</v>
          </cell>
          <cell r="AE43">
            <v>0</v>
          </cell>
          <cell r="AF43">
            <v>0</v>
          </cell>
          <cell r="AG43">
            <v>-1368.4333333333334</v>
          </cell>
          <cell r="AM43" t="str">
            <v>OK</v>
          </cell>
          <cell r="AO43">
            <v>9.1118517746913614</v>
          </cell>
          <cell r="AP43">
            <v>1.1118517746913614</v>
          </cell>
          <cell r="AQ43">
            <v>45939</v>
          </cell>
          <cell r="AR43">
            <v>7.2666666666666666</v>
          </cell>
          <cell r="AS43">
            <v>1.8451851080246948</v>
          </cell>
          <cell r="AT43">
            <v>45965</v>
          </cell>
          <cell r="AU43">
            <v>1.8451851080246948</v>
          </cell>
          <cell r="AV43">
            <v>218</v>
          </cell>
          <cell r="AW43">
            <v>1.8451851080246948</v>
          </cell>
          <cell r="AY43">
            <v>278.46369178241002</v>
          </cell>
          <cell r="AZ43" t="str">
            <v>F18</v>
          </cell>
          <cell r="BA43">
            <v>3.85</v>
          </cell>
          <cell r="BB43" t="str">
            <v>NSSC</v>
          </cell>
          <cell r="BC43" t="str">
            <v>F18</v>
          </cell>
        </row>
        <row r="44">
          <cell r="A44" t="str">
            <v>504A3</v>
          </cell>
          <cell r="B44" t="str">
            <v>3</v>
          </cell>
          <cell r="C44" t="str">
            <v>05</v>
          </cell>
          <cell r="D44">
            <v>16</v>
          </cell>
          <cell r="E44" t="str">
            <v>504A3</v>
          </cell>
          <cell r="F44">
            <v>4.09</v>
          </cell>
          <cell r="G44">
            <v>3.45</v>
          </cell>
          <cell r="H44">
            <v>3.45</v>
          </cell>
          <cell r="I44" t="str">
            <v>FC</v>
          </cell>
          <cell r="J44" t="str">
            <v>ST</v>
          </cell>
          <cell r="K44">
            <v>12</v>
          </cell>
          <cell r="L44">
            <v>45801</v>
          </cell>
          <cell r="M44">
            <v>45801</v>
          </cell>
          <cell r="N44">
            <v>193</v>
          </cell>
          <cell r="O44" t="str">
            <v>NS</v>
          </cell>
          <cell r="P44" t="str">
            <v>NSF18SS3</v>
          </cell>
          <cell r="Q44">
            <v>46167</v>
          </cell>
          <cell r="R44" t="str">
            <v/>
          </cell>
          <cell r="S44" t="str">
            <v/>
          </cell>
          <cell r="T44" t="str">
            <v/>
          </cell>
          <cell r="U44">
            <v>70199</v>
          </cell>
          <cell r="V44">
            <v>72327</v>
          </cell>
          <cell r="W44">
            <v>45489</v>
          </cell>
          <cell r="X44" t="str">
            <v>Lokasi Produksi 504A3 ( pecahan 504A )</v>
          </cell>
          <cell r="Z44">
            <v>12</v>
          </cell>
          <cell r="AA44">
            <v>46167</v>
          </cell>
          <cell r="AB44">
            <v>201.59733611111005</v>
          </cell>
          <cell r="AC44">
            <v>6.7199112037036688</v>
          </cell>
          <cell r="AD44">
            <v>-3.2800887962963312</v>
          </cell>
          <cell r="AE44">
            <v>2.42</v>
          </cell>
          <cell r="AF44">
            <v>0</v>
          </cell>
          <cell r="AG44">
            <v>-1367.9666666666667</v>
          </cell>
          <cell r="AM44" t="str">
            <v>OK</v>
          </cell>
          <cell r="AO44">
            <v>6.4451851080246945</v>
          </cell>
          <cell r="AP44">
            <v>-5.5548148919753055</v>
          </cell>
          <cell r="AQ44">
            <v>0</v>
          </cell>
          <cell r="AR44">
            <v>6.4451851080246945</v>
          </cell>
          <cell r="AS44">
            <v>0</v>
          </cell>
          <cell r="AT44">
            <v>46167</v>
          </cell>
          <cell r="AU44">
            <v>-5.5548148919753055</v>
          </cell>
          <cell r="AV44">
            <v>193.35555324074085</v>
          </cell>
          <cell r="AW44">
            <v>-5.5548148919753055</v>
          </cell>
          <cell r="AY44">
            <v>198.46369178241002</v>
          </cell>
          <cell r="AZ44" t="str">
            <v>F18</v>
          </cell>
          <cell r="BA44">
            <v>3.45</v>
          </cell>
          <cell r="BB44" t="str">
            <v>NSFC</v>
          </cell>
          <cell r="BC44" t="str">
            <v>F18SS</v>
          </cell>
        </row>
        <row r="45">
          <cell r="A45" t="str">
            <v>504A4</v>
          </cell>
          <cell r="B45" t="str">
            <v>3</v>
          </cell>
          <cell r="C45" t="str">
            <v>05</v>
          </cell>
          <cell r="D45">
            <v>16</v>
          </cell>
          <cell r="E45" t="str">
            <v>504A4</v>
          </cell>
          <cell r="F45">
            <v>6.85</v>
          </cell>
          <cell r="G45">
            <v>5.75</v>
          </cell>
          <cell r="H45">
            <v>5.75</v>
          </cell>
          <cell r="I45" t="str">
            <v>FC</v>
          </cell>
          <cell r="J45" t="str">
            <v>ST</v>
          </cell>
          <cell r="K45">
            <v>12</v>
          </cell>
          <cell r="L45">
            <v>45812</v>
          </cell>
          <cell r="M45">
            <v>45812</v>
          </cell>
          <cell r="N45">
            <v>182</v>
          </cell>
          <cell r="O45" t="str">
            <v>NS</v>
          </cell>
          <cell r="P45" t="str">
            <v>NSF18SS3</v>
          </cell>
          <cell r="Q45">
            <v>46178</v>
          </cell>
          <cell r="R45" t="str">
            <v/>
          </cell>
          <cell r="S45" t="str">
            <v/>
          </cell>
          <cell r="T45" t="str">
            <v/>
          </cell>
          <cell r="U45">
            <v>72054</v>
          </cell>
          <cell r="V45">
            <v>72863</v>
          </cell>
          <cell r="W45">
            <v>45947</v>
          </cell>
          <cell r="X45" t="str">
            <v>Lokasi Produksi 504A3 ( pecahan 504A )</v>
          </cell>
          <cell r="Z45">
            <v>12</v>
          </cell>
          <cell r="AA45">
            <v>46178</v>
          </cell>
          <cell r="AB45">
            <v>5444.5973361111101</v>
          </cell>
          <cell r="AC45">
            <v>181.48657787037033</v>
          </cell>
          <cell r="AD45">
            <v>-20</v>
          </cell>
          <cell r="AE45">
            <v>0</v>
          </cell>
          <cell r="AF45">
            <v>0</v>
          </cell>
          <cell r="AG45">
            <v>-1193.2</v>
          </cell>
          <cell r="AK45">
            <v>40316</v>
          </cell>
          <cell r="AM45" t="str">
            <v>OK</v>
          </cell>
          <cell r="AO45">
            <v>6.0785184413580282</v>
          </cell>
          <cell r="AP45">
            <v>-5.9214815586419718</v>
          </cell>
          <cell r="AQ45">
            <v>0</v>
          </cell>
          <cell r="AR45">
            <v>6.0785184413580282</v>
          </cell>
          <cell r="AS45">
            <v>0</v>
          </cell>
          <cell r="AT45">
            <v>46178</v>
          </cell>
          <cell r="AU45">
            <v>-5.9214815586419718</v>
          </cell>
          <cell r="AV45">
            <v>182.35555324074085</v>
          </cell>
          <cell r="AW45">
            <v>-5.9214815586419718</v>
          </cell>
          <cell r="AY45">
            <v>187.46369178241002</v>
          </cell>
          <cell r="AZ45" t="str">
            <v>F18</v>
          </cell>
          <cell r="BA45">
            <v>5.75</v>
          </cell>
          <cell r="BB45" t="str">
            <v>NSFC</v>
          </cell>
          <cell r="BC45" t="str">
            <v>F18SS</v>
          </cell>
        </row>
        <row r="46">
          <cell r="A46" t="str">
            <v>504B1A</v>
          </cell>
          <cell r="B46" t="str">
            <v>3</v>
          </cell>
          <cell r="C46" t="str">
            <v>05</v>
          </cell>
          <cell r="D46">
            <v>16</v>
          </cell>
          <cell r="E46" t="str">
            <v>504B1A</v>
          </cell>
          <cell r="F46">
            <v>7.41</v>
          </cell>
          <cell r="G46">
            <v>6.16</v>
          </cell>
          <cell r="H46">
            <v>6.16</v>
          </cell>
          <cell r="I46" t="str">
            <v>FC</v>
          </cell>
          <cell r="J46" t="str">
            <v>ST</v>
          </cell>
          <cell r="K46">
            <v>10</v>
          </cell>
          <cell r="L46">
            <v>45636</v>
          </cell>
          <cell r="M46">
            <v>45636</v>
          </cell>
          <cell r="N46">
            <v>358</v>
          </cell>
          <cell r="O46" t="str">
            <v>NS</v>
          </cell>
          <cell r="P46" t="str">
            <v>NSF18SB3</v>
          </cell>
          <cell r="Q46">
            <v>45941</v>
          </cell>
          <cell r="R46" t="str">
            <v/>
          </cell>
          <cell r="S46" t="str">
            <v/>
          </cell>
          <cell r="T46">
            <v>45891</v>
          </cell>
          <cell r="U46">
            <v>68917</v>
          </cell>
          <cell r="V46">
            <v>68237</v>
          </cell>
          <cell r="W46">
            <v>45806</v>
          </cell>
          <cell r="X46" t="str">
            <v>Lokasi Produksi 504B1A ( pecahan 504B1 )</v>
          </cell>
          <cell r="Z46">
            <v>10</v>
          </cell>
          <cell r="AA46">
            <v>45941</v>
          </cell>
          <cell r="AB46">
            <v>550.59733611111005</v>
          </cell>
          <cell r="AC46">
            <v>18.353244537037003</v>
          </cell>
          <cell r="AD46">
            <v>-20</v>
          </cell>
          <cell r="AE46">
            <v>0</v>
          </cell>
          <cell r="AF46">
            <v>0</v>
          </cell>
          <cell r="AG46">
            <v>-1356.3333333333333</v>
          </cell>
          <cell r="AM46" t="str">
            <v>OK</v>
          </cell>
          <cell r="AO46">
            <v>11.945185108024695</v>
          </cell>
          <cell r="AP46">
            <v>1.9451851080246954</v>
          </cell>
          <cell r="AQ46">
            <v>45891</v>
          </cell>
          <cell r="AR46">
            <v>8.5</v>
          </cell>
          <cell r="AS46">
            <v>3.4451851080246954</v>
          </cell>
          <cell r="AT46">
            <v>45941</v>
          </cell>
          <cell r="AU46">
            <v>3.4451851080246954</v>
          </cell>
          <cell r="AV46">
            <v>255</v>
          </cell>
          <cell r="AW46">
            <v>3.4451851080246954</v>
          </cell>
          <cell r="AY46">
            <v>363.46369178241002</v>
          </cell>
          <cell r="AZ46" t="str">
            <v>F18</v>
          </cell>
          <cell r="BA46">
            <v>6.16</v>
          </cell>
          <cell r="BB46" t="str">
            <v>NSFC</v>
          </cell>
          <cell r="BC46" t="str">
            <v>F18SB</v>
          </cell>
        </row>
        <row r="47">
          <cell r="A47" t="str">
            <v>504B1B</v>
          </cell>
          <cell r="B47" t="str">
            <v>3</v>
          </cell>
          <cell r="C47" t="str">
            <v>05</v>
          </cell>
          <cell r="D47">
            <v>16</v>
          </cell>
          <cell r="E47" t="str">
            <v>504B1B</v>
          </cell>
          <cell r="F47">
            <v>5.53</v>
          </cell>
          <cell r="G47">
            <v>4.7</v>
          </cell>
          <cell r="H47">
            <v>4.7</v>
          </cell>
          <cell r="I47" t="str">
            <v>FC</v>
          </cell>
          <cell r="J47" t="str">
            <v>ST</v>
          </cell>
          <cell r="K47">
            <v>10</v>
          </cell>
          <cell r="L47">
            <v>45721</v>
          </cell>
          <cell r="M47">
            <v>45721</v>
          </cell>
          <cell r="N47">
            <v>273</v>
          </cell>
          <cell r="O47" t="str">
            <v>NS</v>
          </cell>
          <cell r="P47" t="str">
            <v>NSF18SB3</v>
          </cell>
          <cell r="Q47">
            <v>46026</v>
          </cell>
          <cell r="R47" t="str">
            <v/>
          </cell>
          <cell r="S47" t="str">
            <v/>
          </cell>
          <cell r="T47" t="str">
            <v/>
          </cell>
          <cell r="U47">
            <v>71751</v>
          </cell>
          <cell r="V47">
            <v>60455</v>
          </cell>
          <cell r="W47">
            <v>45806</v>
          </cell>
          <cell r="X47" t="str">
            <v>Lokasi Produksi 504B1B ( pecahan 504B1 )</v>
          </cell>
          <cell r="Z47">
            <v>10</v>
          </cell>
          <cell r="AA47">
            <v>46026</v>
          </cell>
          <cell r="AB47">
            <v>206.59733611111005</v>
          </cell>
          <cell r="AC47">
            <v>6.8865778703703349</v>
          </cell>
          <cell r="AD47">
            <v>-5.1134221296296651</v>
          </cell>
          <cell r="AE47">
            <v>7.26</v>
          </cell>
          <cell r="AF47">
            <v>0</v>
          </cell>
          <cell r="AG47">
            <v>-1367.8</v>
          </cell>
          <cell r="AM47" t="str">
            <v>OK</v>
          </cell>
          <cell r="AO47">
            <v>9.1118517746913614</v>
          </cell>
          <cell r="AP47">
            <v>-0.88814822530863857</v>
          </cell>
          <cell r="AQ47">
            <v>0</v>
          </cell>
          <cell r="AR47">
            <v>9.1118517746913614</v>
          </cell>
          <cell r="AS47">
            <v>0</v>
          </cell>
          <cell r="AT47">
            <v>46026</v>
          </cell>
          <cell r="AU47">
            <v>-0.88814822530863857</v>
          </cell>
          <cell r="AV47">
            <v>273.35555324074085</v>
          </cell>
          <cell r="AW47">
            <v>-0.88814822530863857</v>
          </cell>
          <cell r="AY47">
            <v>278.46369178241002</v>
          </cell>
          <cell r="AZ47" t="str">
            <v>F18</v>
          </cell>
          <cell r="BA47">
            <v>4.7</v>
          </cell>
          <cell r="BB47" t="str">
            <v>NSFC</v>
          </cell>
          <cell r="BC47" t="str">
            <v>F18SB</v>
          </cell>
        </row>
        <row r="48">
          <cell r="A48" t="str">
            <v>504B2A</v>
          </cell>
          <cell r="B48" t="str">
            <v>3</v>
          </cell>
          <cell r="C48" t="str">
            <v>05</v>
          </cell>
          <cell r="D48">
            <v>16</v>
          </cell>
          <cell r="E48" t="str">
            <v>504B2A</v>
          </cell>
          <cell r="F48">
            <v>4.8099999999999996</v>
          </cell>
          <cell r="G48">
            <v>3.76</v>
          </cell>
          <cell r="H48">
            <v>3.76</v>
          </cell>
          <cell r="I48" t="str">
            <v>SC</v>
          </cell>
          <cell r="J48" t="str">
            <v>FC</v>
          </cell>
          <cell r="K48">
            <v>8</v>
          </cell>
          <cell r="L48">
            <v>45699</v>
          </cell>
          <cell r="M48">
            <v>45699</v>
          </cell>
          <cell r="N48">
            <v>295</v>
          </cell>
          <cell r="O48" t="str">
            <v>NS</v>
          </cell>
          <cell r="P48" t="str">
            <v/>
          </cell>
          <cell r="Q48">
            <v>45943</v>
          </cell>
          <cell r="R48" t="str">
            <v/>
          </cell>
          <cell r="S48" t="str">
            <v/>
          </cell>
          <cell r="T48">
            <v>45926</v>
          </cell>
          <cell r="U48">
            <v>64012</v>
          </cell>
          <cell r="V48">
            <v>52051</v>
          </cell>
          <cell r="W48">
            <v>44982</v>
          </cell>
          <cell r="X48" t="str">
            <v>Lokasi Produksi 504B2A ( pecahan 504B2 )</v>
          </cell>
          <cell r="Z48">
            <v>8</v>
          </cell>
          <cell r="AA48">
            <v>45943</v>
          </cell>
          <cell r="AB48">
            <v>336.59733611111005</v>
          </cell>
          <cell r="AC48">
            <v>11.219911203703669</v>
          </cell>
          <cell r="AD48">
            <v>-20</v>
          </cell>
          <cell r="AE48">
            <v>0</v>
          </cell>
          <cell r="AF48">
            <v>0</v>
          </cell>
          <cell r="AG48">
            <v>-1363.4666666666667</v>
          </cell>
          <cell r="AM48" t="str">
            <v>OK</v>
          </cell>
          <cell r="AO48">
            <v>9.8451851080246957</v>
          </cell>
          <cell r="AP48">
            <v>1.8451851080246957</v>
          </cell>
          <cell r="AQ48">
            <v>45926</v>
          </cell>
          <cell r="AR48">
            <v>7.5666666666666664</v>
          </cell>
          <cell r="AS48">
            <v>2.2785184413580293</v>
          </cell>
          <cell r="AT48">
            <v>45943</v>
          </cell>
          <cell r="AU48">
            <v>2.2785184413580293</v>
          </cell>
          <cell r="AV48">
            <v>227</v>
          </cell>
          <cell r="AW48">
            <v>2.2785184413580293</v>
          </cell>
          <cell r="AY48">
            <v>300.46369178241002</v>
          </cell>
          <cell r="AZ48" t="str">
            <v>F18</v>
          </cell>
          <cell r="BA48">
            <v>3.76</v>
          </cell>
          <cell r="BB48" t="str">
            <v>NSSC</v>
          </cell>
          <cell r="BC48" t="str">
            <v>F18</v>
          </cell>
        </row>
        <row r="49">
          <cell r="A49" t="str">
            <v>504B2B</v>
          </cell>
          <cell r="B49" t="str">
            <v>3</v>
          </cell>
          <cell r="C49" t="str">
            <v>05</v>
          </cell>
          <cell r="D49">
            <v>16</v>
          </cell>
          <cell r="E49" t="str">
            <v>504B2B</v>
          </cell>
          <cell r="F49">
            <v>3.91</v>
          </cell>
          <cell r="G49">
            <v>3.29</v>
          </cell>
          <cell r="H49">
            <v>3.29</v>
          </cell>
          <cell r="I49" t="str">
            <v>FC</v>
          </cell>
          <cell r="J49" t="str">
            <v>ST</v>
          </cell>
          <cell r="K49">
            <v>10</v>
          </cell>
          <cell r="L49">
            <v>45707</v>
          </cell>
          <cell r="M49">
            <v>45707</v>
          </cell>
          <cell r="N49">
            <v>287</v>
          </cell>
          <cell r="O49" t="str">
            <v>NS</v>
          </cell>
          <cell r="P49" t="str">
            <v>NSF18SB3</v>
          </cell>
          <cell r="Q49">
            <v>46012</v>
          </cell>
          <cell r="R49" t="str">
            <v/>
          </cell>
          <cell r="S49" t="str">
            <v/>
          </cell>
          <cell r="T49" t="str">
            <v/>
          </cell>
          <cell r="U49">
            <v>69788</v>
          </cell>
          <cell r="V49">
            <v>71478</v>
          </cell>
          <cell r="W49" t="str">
            <v/>
          </cell>
          <cell r="X49" t="str">
            <v>Lokasi Produksi 504B2B ( pecahan 504B2 )</v>
          </cell>
          <cell r="Z49">
            <v>10</v>
          </cell>
          <cell r="AA49">
            <v>46012</v>
          </cell>
          <cell r="AB49">
            <v>225.59733611111005</v>
          </cell>
          <cell r="AC49">
            <v>7.5199112037036686</v>
          </cell>
          <cell r="AD49">
            <v>-20</v>
          </cell>
          <cell r="AE49">
            <v>0</v>
          </cell>
          <cell r="AF49">
            <v>0</v>
          </cell>
          <cell r="AG49">
            <v>-1367.1666666666667</v>
          </cell>
          <cell r="AM49" t="str">
            <v>OK</v>
          </cell>
          <cell r="AO49">
            <v>9.5785184413580282</v>
          </cell>
          <cell r="AP49">
            <v>-0.42148155864197179</v>
          </cell>
          <cell r="AQ49">
            <v>0</v>
          </cell>
          <cell r="AR49">
            <v>9.5785184413580282</v>
          </cell>
          <cell r="AS49">
            <v>0</v>
          </cell>
          <cell r="AT49">
            <v>46012</v>
          </cell>
          <cell r="AU49">
            <v>-0.42148155864197179</v>
          </cell>
          <cell r="AV49">
            <v>287.35555324074085</v>
          </cell>
          <cell r="AW49">
            <v>-0.42148155864197179</v>
          </cell>
          <cell r="AY49">
            <v>292.46369178241002</v>
          </cell>
          <cell r="AZ49" t="str">
            <v>F18</v>
          </cell>
          <cell r="BA49">
            <v>3.29</v>
          </cell>
          <cell r="BB49" t="str">
            <v>NSFC</v>
          </cell>
          <cell r="BC49" t="str">
            <v>F18SB</v>
          </cell>
        </row>
        <row r="50">
          <cell r="A50" t="str">
            <v>504C1</v>
          </cell>
          <cell r="B50" t="str">
            <v>3</v>
          </cell>
          <cell r="C50" t="str">
            <v>05</v>
          </cell>
          <cell r="D50">
            <v>16</v>
          </cell>
          <cell r="E50" t="str">
            <v>504C1</v>
          </cell>
          <cell r="F50">
            <v>8.39</v>
          </cell>
          <cell r="G50">
            <v>6.12</v>
          </cell>
          <cell r="H50">
            <v>6.12</v>
          </cell>
          <cell r="I50" t="str">
            <v>Y2</v>
          </cell>
          <cell r="J50" t="str">
            <v>Y1</v>
          </cell>
          <cell r="K50">
            <v>0</v>
          </cell>
          <cell r="L50">
            <v>45754</v>
          </cell>
          <cell r="M50">
            <v>45754</v>
          </cell>
          <cell r="N50">
            <v>240</v>
          </cell>
          <cell r="O50" t="str">
            <v>PS</v>
          </cell>
          <cell r="P50" t="str">
            <v/>
          </cell>
          <cell r="Q50">
            <v>45754</v>
          </cell>
          <cell r="R50" t="str">
            <v/>
          </cell>
          <cell r="S50" t="str">
            <v/>
          </cell>
          <cell r="T50" t="str">
            <v/>
          </cell>
          <cell r="U50">
            <v>23940</v>
          </cell>
          <cell r="V50" t="str">
            <v/>
          </cell>
          <cell r="W50">
            <v>45754</v>
          </cell>
          <cell r="X50" t="str">
            <v>Lokasi Produksi 504C1 ( pecahan 504C )</v>
          </cell>
          <cell r="Z50">
            <v>0</v>
          </cell>
          <cell r="AA50">
            <v>45754</v>
          </cell>
          <cell r="AB50">
            <v>673.59733611111005</v>
          </cell>
          <cell r="AC50">
            <v>22.453244537037001</v>
          </cell>
          <cell r="AD50">
            <v>6.4532445370370013</v>
          </cell>
          <cell r="AE50">
            <v>18.77</v>
          </cell>
          <cell r="AF50">
            <v>0</v>
          </cell>
          <cell r="AG50">
            <v>-1352.2333333333333</v>
          </cell>
          <cell r="AM50" t="str">
            <v>OK</v>
          </cell>
          <cell r="AO50">
            <v>8.0118517746913618</v>
          </cell>
          <cell r="AP50">
            <v>8.0118517746913618</v>
          </cell>
          <cell r="AQ50">
            <v>0</v>
          </cell>
          <cell r="AR50">
            <v>8.0118517746913618</v>
          </cell>
          <cell r="AS50">
            <v>0</v>
          </cell>
          <cell r="AT50">
            <v>45754</v>
          </cell>
          <cell r="AU50">
            <v>8.0118517746913618</v>
          </cell>
          <cell r="AV50">
            <v>240.35555324074085</v>
          </cell>
          <cell r="AW50">
            <v>8.0118517746913618</v>
          </cell>
          <cell r="AY50">
            <v>245.46369178241002</v>
          </cell>
          <cell r="AZ50" t="str">
            <v>F18</v>
          </cell>
          <cell r="BA50">
            <v>0</v>
          </cell>
          <cell r="BB50" t="str">
            <v>PSY2</v>
          </cell>
          <cell r="BC50" t="str">
            <v>F18</v>
          </cell>
        </row>
        <row r="51">
          <cell r="A51" t="str">
            <v>504C2</v>
          </cell>
          <cell r="B51" t="str">
            <v>3</v>
          </cell>
          <cell r="C51" t="str">
            <v>05</v>
          </cell>
          <cell r="D51">
            <v>16</v>
          </cell>
          <cell r="E51" t="str">
            <v>504C2</v>
          </cell>
          <cell r="F51">
            <v>9.99</v>
          </cell>
          <cell r="G51">
            <v>7.37</v>
          </cell>
          <cell r="H51">
            <v>7.37</v>
          </cell>
          <cell r="I51" t="str">
            <v>Y2</v>
          </cell>
          <cell r="J51" t="str">
            <v>Y1</v>
          </cell>
          <cell r="K51">
            <v>0</v>
          </cell>
          <cell r="L51">
            <v>45754</v>
          </cell>
          <cell r="M51">
            <v>45754</v>
          </cell>
          <cell r="N51">
            <v>240</v>
          </cell>
          <cell r="O51" t="str">
            <v>PS</v>
          </cell>
          <cell r="P51" t="str">
            <v/>
          </cell>
          <cell r="Q51">
            <v>45754</v>
          </cell>
          <cell r="R51" t="str">
            <v/>
          </cell>
          <cell r="S51" t="str">
            <v/>
          </cell>
          <cell r="T51" t="str">
            <v/>
          </cell>
          <cell r="U51">
            <v>19840</v>
          </cell>
          <cell r="V51" t="str">
            <v/>
          </cell>
          <cell r="W51">
            <v>45754</v>
          </cell>
          <cell r="X51" t="str">
            <v>Lokasi Produksi 504C2 ( pecahan 504C )</v>
          </cell>
          <cell r="Z51">
            <v>0</v>
          </cell>
          <cell r="AA51">
            <v>45754</v>
          </cell>
          <cell r="AB51">
            <v>5444.5973361111101</v>
          </cell>
          <cell r="AC51">
            <v>181.48657787037033</v>
          </cell>
          <cell r="AD51">
            <v>-20</v>
          </cell>
          <cell r="AE51">
            <v>0</v>
          </cell>
          <cell r="AF51">
            <v>0</v>
          </cell>
          <cell r="AG51">
            <v>-1193.2</v>
          </cell>
          <cell r="AM51" t="str">
            <v>OK</v>
          </cell>
          <cell r="AO51">
            <v>8.0118517746913618</v>
          </cell>
          <cell r="AP51">
            <v>8.0118517746913618</v>
          </cell>
          <cell r="AQ51">
            <v>0</v>
          </cell>
          <cell r="AR51">
            <v>8.0118517746913618</v>
          </cell>
          <cell r="AS51">
            <v>0</v>
          </cell>
          <cell r="AT51">
            <v>45754</v>
          </cell>
          <cell r="AU51">
            <v>8.0118517746913618</v>
          </cell>
          <cell r="AV51">
            <v>240.35555324074085</v>
          </cell>
          <cell r="AW51">
            <v>8.0118517746913618</v>
          </cell>
          <cell r="AY51">
            <v>245.46369178241002</v>
          </cell>
          <cell r="AZ51" t="str">
            <v>F18</v>
          </cell>
          <cell r="BA51">
            <v>0</v>
          </cell>
          <cell r="BB51" t="str">
            <v>PSY2</v>
          </cell>
          <cell r="BC51" t="str">
            <v>F18</v>
          </cell>
        </row>
        <row r="52">
          <cell r="A52" t="str">
            <v>505A</v>
          </cell>
          <cell r="B52" t="str">
            <v>3</v>
          </cell>
          <cell r="C52" t="str">
            <v>05</v>
          </cell>
          <cell r="D52">
            <v>16</v>
          </cell>
          <cell r="E52" t="str">
            <v>505A</v>
          </cell>
          <cell r="F52">
            <v>9.8000000000000007</v>
          </cell>
          <cell r="G52">
            <v>8.15</v>
          </cell>
          <cell r="H52">
            <v>8.15</v>
          </cell>
          <cell r="I52" t="str">
            <v>SC</v>
          </cell>
          <cell r="J52" t="str">
            <v>FC</v>
          </cell>
          <cell r="K52">
            <v>8</v>
          </cell>
          <cell r="L52">
            <v>45946</v>
          </cell>
          <cell r="M52">
            <v>45946</v>
          </cell>
          <cell r="N52">
            <v>48</v>
          </cell>
          <cell r="O52" t="str">
            <v>NS</v>
          </cell>
          <cell r="P52" t="str">
            <v/>
          </cell>
          <cell r="Q52">
            <v>46190</v>
          </cell>
          <cell r="R52" t="str">
            <v/>
          </cell>
          <cell r="S52" t="str">
            <v/>
          </cell>
          <cell r="T52" t="str">
            <v/>
          </cell>
          <cell r="U52">
            <v>69691</v>
          </cell>
          <cell r="V52">
            <v>69038</v>
          </cell>
          <cell r="W52">
            <v>43642</v>
          </cell>
          <cell r="X52" t="str">
            <v>Lokasi Produksi 505A</v>
          </cell>
          <cell r="Z52">
            <v>8</v>
          </cell>
          <cell r="AA52">
            <v>46190</v>
          </cell>
          <cell r="AB52">
            <v>516.59733611111005</v>
          </cell>
          <cell r="AC52">
            <v>17.219911203703667</v>
          </cell>
          <cell r="AD52">
            <v>5.219911203703667</v>
          </cell>
          <cell r="AE52">
            <v>11.69</v>
          </cell>
          <cell r="AF52">
            <v>0</v>
          </cell>
          <cell r="AG52">
            <v>-1357.4666666666667</v>
          </cell>
          <cell r="AM52" t="str">
            <v>OK</v>
          </cell>
          <cell r="AO52">
            <v>1.6118517746913616</v>
          </cell>
          <cell r="AP52">
            <v>-6.3881482253086386</v>
          </cell>
          <cell r="AQ52">
            <v>0</v>
          </cell>
          <cell r="AR52">
            <v>1.6118517746913616</v>
          </cell>
          <cell r="AS52">
            <v>0</v>
          </cell>
          <cell r="AT52">
            <v>46190</v>
          </cell>
          <cell r="AU52">
            <v>-6.3881482253086386</v>
          </cell>
          <cell r="AV52">
            <v>48.355553240740846</v>
          </cell>
          <cell r="AW52">
            <v>-6.3881482253086386</v>
          </cell>
          <cell r="AY52">
            <v>53.463691782410024</v>
          </cell>
          <cell r="AZ52" t="str">
            <v>F18</v>
          </cell>
          <cell r="BA52">
            <v>8.15</v>
          </cell>
          <cell r="BB52" t="str">
            <v>NSSC</v>
          </cell>
          <cell r="BC52" t="str">
            <v>F18</v>
          </cell>
        </row>
        <row r="53">
          <cell r="A53" t="str">
            <v>505B</v>
          </cell>
          <cell r="B53" t="str">
            <v>3</v>
          </cell>
          <cell r="C53" t="str">
            <v>05</v>
          </cell>
          <cell r="D53">
            <v>16</v>
          </cell>
          <cell r="E53" t="str">
            <v>505B</v>
          </cell>
          <cell r="F53">
            <v>15.72</v>
          </cell>
          <cell r="G53">
            <v>13.05</v>
          </cell>
          <cell r="H53">
            <v>13.05</v>
          </cell>
          <cell r="I53" t="str">
            <v>FC</v>
          </cell>
          <cell r="J53" t="str">
            <v>ST</v>
          </cell>
          <cell r="K53">
            <v>14</v>
          </cell>
          <cell r="L53">
            <v>45568</v>
          </cell>
          <cell r="M53">
            <v>45568</v>
          </cell>
          <cell r="N53">
            <v>426</v>
          </cell>
          <cell r="O53" t="str">
            <v>NS</v>
          </cell>
          <cell r="P53" t="str">
            <v>NSGP3CK3</v>
          </cell>
          <cell r="Q53">
            <v>45995</v>
          </cell>
          <cell r="R53" t="str">
            <v/>
          </cell>
          <cell r="S53" t="str">
            <v/>
          </cell>
          <cell r="T53">
            <v>45986</v>
          </cell>
          <cell r="U53">
            <v>65831</v>
          </cell>
          <cell r="V53">
            <v>67204</v>
          </cell>
          <cell r="W53" t="str">
            <v/>
          </cell>
          <cell r="X53" t="str">
            <v>Lokasi Produksi 505B</v>
          </cell>
          <cell r="Z53">
            <v>14</v>
          </cell>
          <cell r="AA53">
            <v>45995</v>
          </cell>
          <cell r="AB53">
            <v>379.59733611111005</v>
          </cell>
          <cell r="AC53">
            <v>12.653244537037002</v>
          </cell>
          <cell r="AD53">
            <v>-20</v>
          </cell>
          <cell r="AE53">
            <v>0</v>
          </cell>
          <cell r="AF53">
            <v>0</v>
          </cell>
          <cell r="AG53">
            <v>-1362.0333333333333</v>
          </cell>
          <cell r="AM53" t="str">
            <v>OK</v>
          </cell>
          <cell r="AO53">
            <v>14.211851774691361</v>
          </cell>
          <cell r="AP53">
            <v>0.21185177469136107</v>
          </cell>
          <cell r="AQ53">
            <v>45986</v>
          </cell>
          <cell r="AR53">
            <v>13.933333333333334</v>
          </cell>
          <cell r="AS53">
            <v>0.2785184413580275</v>
          </cell>
          <cell r="AT53">
            <v>45995</v>
          </cell>
          <cell r="AU53">
            <v>0.2785184413580275</v>
          </cell>
          <cell r="AV53">
            <v>418</v>
          </cell>
          <cell r="AW53">
            <v>0.2785184413580275</v>
          </cell>
          <cell r="AY53">
            <v>431.46369178241002</v>
          </cell>
          <cell r="AZ53" t="str">
            <v>GP3</v>
          </cell>
          <cell r="BA53">
            <v>13.05</v>
          </cell>
          <cell r="BB53" t="str">
            <v>NSFC</v>
          </cell>
          <cell r="BC53" t="str">
            <v>GP3CK</v>
          </cell>
        </row>
        <row r="54">
          <cell r="A54" t="str">
            <v>505C</v>
          </cell>
          <cell r="B54" t="str">
            <v>3</v>
          </cell>
          <cell r="C54" t="str">
            <v>05</v>
          </cell>
          <cell r="D54">
            <v>16</v>
          </cell>
          <cell r="E54" t="str">
            <v>505C</v>
          </cell>
          <cell r="F54">
            <v>4.79</v>
          </cell>
          <cell r="G54">
            <v>3.95</v>
          </cell>
          <cell r="H54">
            <v>3.95</v>
          </cell>
          <cell r="I54" t="str">
            <v>SC</v>
          </cell>
          <cell r="J54" t="str">
            <v>FC</v>
          </cell>
          <cell r="K54">
            <v>8</v>
          </cell>
          <cell r="L54">
            <v>45952</v>
          </cell>
          <cell r="M54">
            <v>45952</v>
          </cell>
          <cell r="N54">
            <v>42</v>
          </cell>
          <cell r="O54" t="str">
            <v>NS</v>
          </cell>
          <cell r="P54" t="str">
            <v/>
          </cell>
          <cell r="Q54">
            <v>46196</v>
          </cell>
          <cell r="R54" t="str">
            <v/>
          </cell>
          <cell r="S54" t="str">
            <v/>
          </cell>
          <cell r="T54" t="str">
            <v/>
          </cell>
          <cell r="U54">
            <v>68876</v>
          </cell>
          <cell r="V54">
            <v>67650</v>
          </cell>
          <cell r="W54">
            <v>43642</v>
          </cell>
          <cell r="X54" t="str">
            <v>Lokasi Produksi 505C</v>
          </cell>
          <cell r="Z54">
            <v>8</v>
          </cell>
          <cell r="AA54">
            <v>46196</v>
          </cell>
          <cell r="AB54">
            <v>271.59733611111005</v>
          </cell>
          <cell r="AC54">
            <v>9.0532445370370009</v>
          </cell>
          <cell r="AD54">
            <v>-20</v>
          </cell>
          <cell r="AE54">
            <v>0</v>
          </cell>
          <cell r="AF54">
            <v>0</v>
          </cell>
          <cell r="AG54">
            <v>-1365.6333333333334</v>
          </cell>
          <cell r="AM54" t="str">
            <v>OK</v>
          </cell>
          <cell r="AO54">
            <v>1.4118517746913615</v>
          </cell>
          <cell r="AP54">
            <v>-6.5881482253086388</v>
          </cell>
          <cell r="AQ54">
            <v>0</v>
          </cell>
          <cell r="AR54">
            <v>1.4118517746913615</v>
          </cell>
          <cell r="AS54">
            <v>0</v>
          </cell>
          <cell r="AT54">
            <v>46196</v>
          </cell>
          <cell r="AU54">
            <v>-6.5881482253086388</v>
          </cell>
          <cell r="AV54">
            <v>42.355553240740846</v>
          </cell>
          <cell r="AW54">
            <v>-6.5881482253086388</v>
          </cell>
          <cell r="AY54">
            <v>47.463691782410024</v>
          </cell>
          <cell r="AZ54" t="str">
            <v>F18</v>
          </cell>
          <cell r="BA54">
            <v>3.95</v>
          </cell>
          <cell r="BB54" t="str">
            <v>NSSC</v>
          </cell>
          <cell r="BC54" t="str">
            <v>F18</v>
          </cell>
        </row>
        <row r="55">
          <cell r="A55" t="str">
            <v>505CS</v>
          </cell>
          <cell r="B55" t="str">
            <v>3</v>
          </cell>
          <cell r="C55" t="str">
            <v>05</v>
          </cell>
          <cell r="D55">
            <v>16</v>
          </cell>
          <cell r="E55" t="str">
            <v>505CS</v>
          </cell>
          <cell r="F55">
            <v>0.85</v>
          </cell>
          <cell r="G55">
            <v>0.85</v>
          </cell>
          <cell r="H55">
            <v>0.85</v>
          </cell>
          <cell r="I55" t="str">
            <v>FC</v>
          </cell>
          <cell r="J55" t="str">
            <v>ST</v>
          </cell>
          <cell r="K55">
            <v>0</v>
          </cell>
          <cell r="L55">
            <v>45972</v>
          </cell>
          <cell r="M55">
            <v>45972</v>
          </cell>
          <cell r="N55">
            <v>22</v>
          </cell>
          <cell r="O55" t="str">
            <v>SK</v>
          </cell>
          <cell r="P55" t="str">
            <v/>
          </cell>
          <cell r="Q55">
            <v>45972</v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>Lokasi Produksi 505CS ( singkong )</v>
          </cell>
          <cell r="Z55">
            <v>0</v>
          </cell>
          <cell r="AA55">
            <v>45972</v>
          </cell>
          <cell r="AB55">
            <v>271.59733611111005</v>
          </cell>
          <cell r="AC55">
            <v>9.0532445370370009</v>
          </cell>
          <cell r="AD55">
            <v>-20</v>
          </cell>
          <cell r="AE55">
            <v>0</v>
          </cell>
          <cell r="AF55">
            <v>0</v>
          </cell>
          <cell r="AG55">
            <v>-1365.6333333333334</v>
          </cell>
          <cell r="AM55" t="str">
            <v>OK</v>
          </cell>
          <cell r="AO55">
            <v>0.74518510802469484</v>
          </cell>
          <cell r="AP55">
            <v>0.74518510802469484</v>
          </cell>
          <cell r="AQ55">
            <v>0</v>
          </cell>
          <cell r="AR55">
            <v>0.74518510802469484</v>
          </cell>
          <cell r="AS55">
            <v>0</v>
          </cell>
          <cell r="AT55">
            <v>45972</v>
          </cell>
          <cell r="AU55">
            <v>0.74518510802469484</v>
          </cell>
          <cell r="AV55">
            <v>22.355553240740846</v>
          </cell>
          <cell r="AW55">
            <v>0.74518510802469484</v>
          </cell>
          <cell r="AY55">
            <v>27.463691782410024</v>
          </cell>
          <cell r="AZ55" t="str">
            <v>F18</v>
          </cell>
          <cell r="BA55">
            <v>0</v>
          </cell>
          <cell r="BB55" t="str">
            <v>SKFC</v>
          </cell>
          <cell r="BC55" t="str">
            <v>F18</v>
          </cell>
        </row>
        <row r="56">
          <cell r="A56" t="str">
            <v>505D1</v>
          </cell>
          <cell r="B56" t="str">
            <v>3</v>
          </cell>
          <cell r="C56" t="str">
            <v>05</v>
          </cell>
          <cell r="D56">
            <v>16</v>
          </cell>
          <cell r="E56" t="str">
            <v>505D1</v>
          </cell>
          <cell r="F56">
            <v>6.29</v>
          </cell>
          <cell r="G56">
            <v>4.88</v>
          </cell>
          <cell r="H56">
            <v>4.88</v>
          </cell>
          <cell r="I56" t="str">
            <v>SC</v>
          </cell>
          <cell r="J56" t="str">
            <v>FC</v>
          </cell>
          <cell r="K56">
            <v>8</v>
          </cell>
          <cell r="L56">
            <v>45777</v>
          </cell>
          <cell r="M56">
            <v>45777</v>
          </cell>
          <cell r="N56">
            <v>217</v>
          </cell>
          <cell r="O56" t="str">
            <v>NS</v>
          </cell>
          <cell r="P56" t="str">
            <v/>
          </cell>
          <cell r="Q56">
            <v>46021</v>
          </cell>
          <cell r="R56" t="str">
            <v/>
          </cell>
          <cell r="S56" t="str">
            <v/>
          </cell>
          <cell r="T56" t="str">
            <v/>
          </cell>
          <cell r="U56">
            <v>66007</v>
          </cell>
          <cell r="V56">
            <v>68084</v>
          </cell>
          <cell r="W56">
            <v>45170</v>
          </cell>
          <cell r="X56" t="str">
            <v>Lokasi Produksi 505D1 ( pecahan 505D )</v>
          </cell>
          <cell r="Z56">
            <v>8</v>
          </cell>
          <cell r="AA56">
            <v>46021</v>
          </cell>
          <cell r="AB56">
            <v>300.59733611111005</v>
          </cell>
          <cell r="AC56">
            <v>10.019911203703668</v>
          </cell>
          <cell r="AD56">
            <v>-20</v>
          </cell>
          <cell r="AE56">
            <v>0</v>
          </cell>
          <cell r="AF56">
            <v>0</v>
          </cell>
          <cell r="AG56">
            <v>-1364.6666666666667</v>
          </cell>
          <cell r="AM56" t="str">
            <v>OK</v>
          </cell>
          <cell r="AO56">
            <v>7.2451851080246952</v>
          </cell>
          <cell r="AP56">
            <v>-0.75481489197530482</v>
          </cell>
          <cell r="AQ56">
            <v>0</v>
          </cell>
          <cell r="AR56">
            <v>7.2451851080246952</v>
          </cell>
          <cell r="AS56">
            <v>0</v>
          </cell>
          <cell r="AT56">
            <v>46021</v>
          </cell>
          <cell r="AU56">
            <v>-0.75481489197530482</v>
          </cell>
          <cell r="AV56">
            <v>217.35555324074085</v>
          </cell>
          <cell r="AW56">
            <v>-0.75481489197530482</v>
          </cell>
          <cell r="AY56">
            <v>222.46369178241002</v>
          </cell>
          <cell r="AZ56" t="str">
            <v>F18</v>
          </cell>
          <cell r="BA56">
            <v>4.88</v>
          </cell>
          <cell r="BB56" t="str">
            <v>NSSC</v>
          </cell>
          <cell r="BC56" t="str">
            <v>F18</v>
          </cell>
        </row>
        <row r="57">
          <cell r="A57" t="str">
            <v>505D2</v>
          </cell>
          <cell r="B57" t="str">
            <v>3</v>
          </cell>
          <cell r="C57" t="str">
            <v>05</v>
          </cell>
          <cell r="D57">
            <v>16</v>
          </cell>
          <cell r="E57" t="str">
            <v>505D2</v>
          </cell>
          <cell r="F57">
            <v>9.66</v>
          </cell>
          <cell r="G57">
            <v>7.65</v>
          </cell>
          <cell r="H57">
            <v>7.65</v>
          </cell>
          <cell r="I57" t="str">
            <v>SC</v>
          </cell>
          <cell r="J57" t="str">
            <v>FC</v>
          </cell>
          <cell r="K57">
            <v>8</v>
          </cell>
          <cell r="L57">
            <v>45779</v>
          </cell>
          <cell r="M57">
            <v>45779</v>
          </cell>
          <cell r="N57">
            <v>215</v>
          </cell>
          <cell r="O57" t="str">
            <v>NS</v>
          </cell>
          <cell r="P57" t="str">
            <v/>
          </cell>
          <cell r="Q57">
            <v>46023</v>
          </cell>
          <cell r="R57" t="str">
            <v/>
          </cell>
          <cell r="S57" t="str">
            <v/>
          </cell>
          <cell r="T57" t="str">
            <v/>
          </cell>
          <cell r="U57">
            <v>70152</v>
          </cell>
          <cell r="V57">
            <v>71754</v>
          </cell>
          <cell r="W57">
            <v>45168</v>
          </cell>
          <cell r="X57" t="str">
            <v>Lokasi Produksi 505D2 ( pecahan 505D )</v>
          </cell>
          <cell r="Z57">
            <v>8</v>
          </cell>
          <cell r="AA57">
            <v>46023</v>
          </cell>
          <cell r="AB57">
            <v>269.59733611111005</v>
          </cell>
          <cell r="AC57">
            <v>8.9865778703703345</v>
          </cell>
          <cell r="AD57">
            <v>-20</v>
          </cell>
          <cell r="AE57">
            <v>0</v>
          </cell>
          <cell r="AF57">
            <v>0</v>
          </cell>
          <cell r="AG57">
            <v>-1365.7</v>
          </cell>
          <cell r="AK57">
            <v>40388</v>
          </cell>
          <cell r="AM57" t="str">
            <v>OK</v>
          </cell>
          <cell r="AO57">
            <v>7.1785184413580279</v>
          </cell>
          <cell r="AP57">
            <v>-0.82148155864197214</v>
          </cell>
          <cell r="AQ57">
            <v>0</v>
          </cell>
          <cell r="AR57">
            <v>7.1785184413580279</v>
          </cell>
          <cell r="AS57">
            <v>0</v>
          </cell>
          <cell r="AT57">
            <v>46023</v>
          </cell>
          <cell r="AU57">
            <v>-0.82148155864197214</v>
          </cell>
          <cell r="AV57">
            <v>215.35555324074085</v>
          </cell>
          <cell r="AW57">
            <v>-0.82148155864197214</v>
          </cell>
          <cell r="AY57">
            <v>220.46369178241002</v>
          </cell>
          <cell r="AZ57" t="str">
            <v>F18</v>
          </cell>
          <cell r="BA57">
            <v>7.65</v>
          </cell>
          <cell r="BB57" t="str">
            <v>NSSC</v>
          </cell>
          <cell r="BC57" t="str">
            <v>F18</v>
          </cell>
        </row>
        <row r="58">
          <cell r="A58" t="str">
            <v>505F</v>
          </cell>
          <cell r="B58" t="str">
            <v>3</v>
          </cell>
          <cell r="C58" t="str">
            <v>05</v>
          </cell>
          <cell r="D58">
            <v>16</v>
          </cell>
          <cell r="E58" t="str">
            <v>505F</v>
          </cell>
          <cell r="F58">
            <v>8.98</v>
          </cell>
          <cell r="G58">
            <v>7.31</v>
          </cell>
          <cell r="H58">
            <v>7.31</v>
          </cell>
          <cell r="I58" t="str">
            <v>FC</v>
          </cell>
          <cell r="J58" t="str">
            <v>ST</v>
          </cell>
          <cell r="K58">
            <v>14</v>
          </cell>
          <cell r="L58">
            <v>45632</v>
          </cell>
          <cell r="M58">
            <v>45632</v>
          </cell>
          <cell r="N58">
            <v>362</v>
          </cell>
          <cell r="O58" t="str">
            <v>NS</v>
          </cell>
          <cell r="P58" t="str">
            <v>NSGP3CK3</v>
          </cell>
          <cell r="Q58">
            <v>46059</v>
          </cell>
          <cell r="R58" t="str">
            <v/>
          </cell>
          <cell r="S58" t="str">
            <v/>
          </cell>
          <cell r="T58" t="str">
            <v/>
          </cell>
          <cell r="U58">
            <v>65682</v>
          </cell>
          <cell r="V58">
            <v>65634</v>
          </cell>
          <cell r="W58">
            <v>43182</v>
          </cell>
          <cell r="X58" t="str">
            <v>Lokasi Produksi 505F</v>
          </cell>
          <cell r="Z58">
            <v>14</v>
          </cell>
          <cell r="AA58">
            <v>46059</v>
          </cell>
          <cell r="AB58">
            <v>227.59733611111005</v>
          </cell>
          <cell r="AC58">
            <v>7.586577870370335</v>
          </cell>
          <cell r="AD58">
            <v>-6.413422129629665</v>
          </cell>
          <cell r="AE58">
            <v>11.96</v>
          </cell>
          <cell r="AF58">
            <v>0</v>
          </cell>
          <cell r="AG58">
            <v>-1367.1</v>
          </cell>
          <cell r="AM58" t="str">
            <v>OK</v>
          </cell>
          <cell r="AO58">
            <v>12.078518441358028</v>
          </cell>
          <cell r="AP58">
            <v>-1.9214815586419718</v>
          </cell>
          <cell r="AQ58">
            <v>0</v>
          </cell>
          <cell r="AR58">
            <v>12.078518441358028</v>
          </cell>
          <cell r="AS58">
            <v>0</v>
          </cell>
          <cell r="AT58">
            <v>46059</v>
          </cell>
          <cell r="AU58">
            <v>-1.9214815586419718</v>
          </cell>
          <cell r="AV58">
            <v>362.35555324074085</v>
          </cell>
          <cell r="AW58">
            <v>-1.9214815586419718</v>
          </cell>
          <cell r="AY58">
            <v>367.46369178241002</v>
          </cell>
          <cell r="AZ58" t="str">
            <v>GP3</v>
          </cell>
          <cell r="BA58">
            <v>7.31</v>
          </cell>
          <cell r="BB58" t="str">
            <v>NSFC</v>
          </cell>
          <cell r="BC58" t="str">
            <v>GP3CK</v>
          </cell>
        </row>
        <row r="59">
          <cell r="A59" t="str">
            <v>505G</v>
          </cell>
          <cell r="B59" t="str">
            <v>3</v>
          </cell>
          <cell r="C59" t="str">
            <v>05</v>
          </cell>
          <cell r="D59">
            <v>16</v>
          </cell>
          <cell r="E59" t="str">
            <v>505G</v>
          </cell>
          <cell r="F59">
            <v>13.32</v>
          </cell>
          <cell r="G59">
            <v>10.94</v>
          </cell>
          <cell r="H59">
            <v>10.94</v>
          </cell>
          <cell r="I59" t="str">
            <v>FC</v>
          </cell>
          <cell r="J59" t="str">
            <v>ST</v>
          </cell>
          <cell r="K59">
            <v>14</v>
          </cell>
          <cell r="L59">
            <v>45858</v>
          </cell>
          <cell r="M59">
            <v>45858</v>
          </cell>
          <cell r="N59">
            <v>136</v>
          </cell>
          <cell r="O59" t="str">
            <v>NS</v>
          </cell>
          <cell r="P59" t="str">
            <v>NSGP3CK3</v>
          </cell>
          <cell r="Q59">
            <v>46285</v>
          </cell>
          <cell r="R59" t="str">
            <v/>
          </cell>
          <cell r="S59" t="str">
            <v/>
          </cell>
          <cell r="T59" t="str">
            <v/>
          </cell>
          <cell r="U59">
            <v>71177</v>
          </cell>
          <cell r="V59">
            <v>51008</v>
          </cell>
          <cell r="W59">
            <v>43613</v>
          </cell>
          <cell r="X59" t="str">
            <v>Lokasi Produksi 505G</v>
          </cell>
          <cell r="Z59">
            <v>14</v>
          </cell>
          <cell r="AA59">
            <v>46285</v>
          </cell>
          <cell r="AB59">
            <v>194.59733611111005</v>
          </cell>
          <cell r="AC59">
            <v>6.4865778703703354</v>
          </cell>
          <cell r="AD59">
            <v>-20</v>
          </cell>
          <cell r="AE59">
            <v>0</v>
          </cell>
          <cell r="AF59">
            <v>0</v>
          </cell>
          <cell r="AG59">
            <v>-1368.2</v>
          </cell>
          <cell r="AM59" t="str">
            <v>OK</v>
          </cell>
          <cell r="AO59">
            <v>4.545185108024695</v>
          </cell>
          <cell r="AP59">
            <v>-9.454814891975305</v>
          </cell>
          <cell r="AQ59">
            <v>0</v>
          </cell>
          <cell r="AR59">
            <v>4.545185108024695</v>
          </cell>
          <cell r="AS59">
            <v>0</v>
          </cell>
          <cell r="AT59">
            <v>46285</v>
          </cell>
          <cell r="AU59">
            <v>-9.454814891975305</v>
          </cell>
          <cell r="AV59">
            <v>136.35555324074085</v>
          </cell>
          <cell r="AW59">
            <v>-9.454814891975305</v>
          </cell>
          <cell r="AY59">
            <v>141.46369178241002</v>
          </cell>
          <cell r="AZ59" t="str">
            <v>GP3</v>
          </cell>
          <cell r="BA59">
            <v>10.94</v>
          </cell>
          <cell r="BB59" t="str">
            <v>NSFC</v>
          </cell>
          <cell r="BC59" t="str">
            <v>GP3CK</v>
          </cell>
        </row>
        <row r="60">
          <cell r="A60" t="str">
            <v>506A2</v>
          </cell>
          <cell r="B60" t="str">
            <v>3</v>
          </cell>
          <cell r="C60" t="str">
            <v>05</v>
          </cell>
          <cell r="D60">
            <v>16</v>
          </cell>
          <cell r="E60" t="str">
            <v>506A2</v>
          </cell>
          <cell r="F60">
            <v>11.14</v>
          </cell>
          <cell r="G60">
            <v>9.27</v>
          </cell>
          <cell r="H60">
            <v>9.27</v>
          </cell>
          <cell r="I60" t="str">
            <v>FC</v>
          </cell>
          <cell r="J60" t="str">
            <v>ST</v>
          </cell>
          <cell r="K60">
            <v>14</v>
          </cell>
          <cell r="L60">
            <v>45931</v>
          </cell>
          <cell r="M60">
            <v>45931</v>
          </cell>
          <cell r="N60">
            <v>63</v>
          </cell>
          <cell r="O60" t="str">
            <v>NS</v>
          </cell>
          <cell r="P60" t="str">
            <v>NSGP3CK3</v>
          </cell>
          <cell r="Q60">
            <v>46358</v>
          </cell>
          <cell r="R60" t="str">
            <v/>
          </cell>
          <cell r="S60" t="str">
            <v/>
          </cell>
          <cell r="T60" t="str">
            <v/>
          </cell>
          <cell r="U60">
            <v>68514</v>
          </cell>
          <cell r="V60">
            <v>51452</v>
          </cell>
          <cell r="W60">
            <v>43837</v>
          </cell>
          <cell r="X60" t="str">
            <v>Lokasi Produksi 506A2</v>
          </cell>
          <cell r="Z60">
            <v>14</v>
          </cell>
          <cell r="AA60">
            <v>46358</v>
          </cell>
          <cell r="AB60">
            <v>215.59733611111005</v>
          </cell>
          <cell r="AC60">
            <v>7.1865778703703347</v>
          </cell>
          <cell r="AD60">
            <v>-0.81342212962966531</v>
          </cell>
          <cell r="AE60">
            <v>12.27</v>
          </cell>
          <cell r="AF60">
            <v>0</v>
          </cell>
          <cell r="AG60">
            <v>-1367.5</v>
          </cell>
          <cell r="AM60" t="str">
            <v>OK</v>
          </cell>
          <cell r="AO60">
            <v>2.1118517746913614</v>
          </cell>
          <cell r="AP60">
            <v>-11.888148225308639</v>
          </cell>
          <cell r="AQ60">
            <v>0</v>
          </cell>
          <cell r="AR60">
            <v>2.1118517746913614</v>
          </cell>
          <cell r="AS60">
            <v>0</v>
          </cell>
          <cell r="AT60">
            <v>46358</v>
          </cell>
          <cell r="AU60">
            <v>-11.888148225308639</v>
          </cell>
          <cell r="AV60">
            <v>63.355553240740846</v>
          </cell>
          <cell r="AW60">
            <v>-11.888148225308639</v>
          </cell>
          <cell r="AY60">
            <v>68.463691782410024</v>
          </cell>
          <cell r="AZ60" t="str">
            <v>GP3</v>
          </cell>
          <cell r="BA60">
            <v>9.27</v>
          </cell>
          <cell r="BB60" t="str">
            <v>NSFC</v>
          </cell>
          <cell r="BC60" t="str">
            <v>GP3CK</v>
          </cell>
        </row>
        <row r="61">
          <cell r="A61" t="str">
            <v>506A4</v>
          </cell>
          <cell r="B61" t="str">
            <v>3</v>
          </cell>
          <cell r="C61" t="str">
            <v>05</v>
          </cell>
          <cell r="D61">
            <v>16</v>
          </cell>
          <cell r="E61" t="str">
            <v>506A4</v>
          </cell>
          <cell r="F61">
            <v>8.64</v>
          </cell>
          <cell r="G61">
            <v>7.15</v>
          </cell>
          <cell r="H61">
            <v>7.15</v>
          </cell>
          <cell r="I61" t="str">
            <v>SC</v>
          </cell>
          <cell r="J61" t="str">
            <v>FC</v>
          </cell>
          <cell r="K61">
            <v>8</v>
          </cell>
          <cell r="L61">
            <v>45910</v>
          </cell>
          <cell r="M61">
            <v>45910</v>
          </cell>
          <cell r="N61">
            <v>84</v>
          </cell>
          <cell r="O61" t="str">
            <v>NS</v>
          </cell>
          <cell r="P61" t="str">
            <v/>
          </cell>
          <cell r="Q61">
            <v>46154</v>
          </cell>
          <cell r="R61" t="str">
            <v/>
          </cell>
          <cell r="S61" t="str">
            <v/>
          </cell>
          <cell r="T61" t="str">
            <v/>
          </cell>
          <cell r="U61">
            <v>70455</v>
          </cell>
          <cell r="V61">
            <v>67204</v>
          </cell>
          <cell r="W61">
            <v>45627</v>
          </cell>
          <cell r="X61" t="str">
            <v>Lokasi Produksi 506A4</v>
          </cell>
          <cell r="Z61">
            <v>8</v>
          </cell>
          <cell r="AA61">
            <v>46154</v>
          </cell>
          <cell r="AB61">
            <v>225.59733611111005</v>
          </cell>
          <cell r="AC61">
            <v>7.5199112037036686</v>
          </cell>
          <cell r="AD61">
            <v>-0.48008879629633139</v>
          </cell>
          <cell r="AE61">
            <v>9.01</v>
          </cell>
          <cell r="AF61">
            <v>0</v>
          </cell>
          <cell r="AG61">
            <v>-1367.1666666666667</v>
          </cell>
          <cell r="AM61" t="str">
            <v>OK</v>
          </cell>
          <cell r="AO61">
            <v>2.8118517746913616</v>
          </cell>
          <cell r="AP61">
            <v>-5.1881482253086384</v>
          </cell>
          <cell r="AQ61">
            <v>0</v>
          </cell>
          <cell r="AR61">
            <v>2.8118517746913616</v>
          </cell>
          <cell r="AS61">
            <v>0</v>
          </cell>
          <cell r="AT61">
            <v>46154</v>
          </cell>
          <cell r="AU61">
            <v>-5.1881482253086384</v>
          </cell>
          <cell r="AV61">
            <v>84.355553240740846</v>
          </cell>
          <cell r="AW61">
            <v>-5.1881482253086384</v>
          </cell>
          <cell r="AY61">
            <v>89.463691782410024</v>
          </cell>
          <cell r="AZ61" t="str">
            <v>F18</v>
          </cell>
          <cell r="BA61">
            <v>7.15</v>
          </cell>
          <cell r="BB61" t="str">
            <v>NSSC</v>
          </cell>
          <cell r="BC61" t="str">
            <v>F18</v>
          </cell>
        </row>
        <row r="62">
          <cell r="A62" t="str">
            <v>506A5</v>
          </cell>
          <cell r="B62" t="str">
            <v>3</v>
          </cell>
          <cell r="C62" t="str">
            <v>05</v>
          </cell>
          <cell r="D62">
            <v>16</v>
          </cell>
          <cell r="E62" t="str">
            <v>506A5</v>
          </cell>
          <cell r="F62">
            <v>4.7</v>
          </cell>
          <cell r="G62">
            <v>3.94</v>
          </cell>
          <cell r="H62">
            <v>3.94</v>
          </cell>
          <cell r="I62" t="str">
            <v>FC</v>
          </cell>
          <cell r="J62" t="str">
            <v>ST</v>
          </cell>
          <cell r="K62">
            <v>10</v>
          </cell>
          <cell r="L62">
            <v>45930</v>
          </cell>
          <cell r="M62">
            <v>45930</v>
          </cell>
          <cell r="N62">
            <v>64</v>
          </cell>
          <cell r="O62" t="str">
            <v>NS</v>
          </cell>
          <cell r="P62" t="str">
            <v>NSGP3SB3</v>
          </cell>
          <cell r="Q62">
            <v>46235</v>
          </cell>
          <cell r="R62" t="str">
            <v/>
          </cell>
          <cell r="S62" t="str">
            <v/>
          </cell>
          <cell r="T62" t="str">
            <v/>
          </cell>
          <cell r="U62">
            <v>72118</v>
          </cell>
          <cell r="V62">
            <v>51059</v>
          </cell>
          <cell r="W62">
            <v>43472</v>
          </cell>
          <cell r="X62" t="str">
            <v>Lokasi Produksi 506A5</v>
          </cell>
          <cell r="Z62">
            <v>10</v>
          </cell>
          <cell r="AA62">
            <v>46235</v>
          </cell>
          <cell r="AB62">
            <v>2253.5973361111101</v>
          </cell>
          <cell r="AC62">
            <v>75.119911203703666</v>
          </cell>
          <cell r="AD62">
            <v>-20</v>
          </cell>
          <cell r="AE62">
            <v>0</v>
          </cell>
          <cell r="AF62">
            <v>0</v>
          </cell>
          <cell r="AG62">
            <v>-1299.5666666666666</v>
          </cell>
          <cell r="AM62" t="str">
            <v>OK</v>
          </cell>
          <cell r="AO62">
            <v>2.1451851080246951</v>
          </cell>
          <cell r="AP62">
            <v>-7.8548148919753054</v>
          </cell>
          <cell r="AQ62">
            <v>0</v>
          </cell>
          <cell r="AR62">
            <v>2.1451851080246951</v>
          </cell>
          <cell r="AS62">
            <v>0</v>
          </cell>
          <cell r="AT62">
            <v>46235</v>
          </cell>
          <cell r="AU62">
            <v>-7.8548148919753054</v>
          </cell>
          <cell r="AV62">
            <v>64.355553240740846</v>
          </cell>
          <cell r="AW62">
            <v>-7.8548148919753054</v>
          </cell>
          <cell r="AY62">
            <v>69.463691782410024</v>
          </cell>
          <cell r="AZ62" t="str">
            <v>GP3</v>
          </cell>
          <cell r="BA62">
            <v>3.94</v>
          </cell>
          <cell r="BB62" t="str">
            <v>NSFC</v>
          </cell>
          <cell r="BC62" t="str">
            <v>GP3SB</v>
          </cell>
        </row>
        <row r="63">
          <cell r="A63" t="str">
            <v>506AS</v>
          </cell>
          <cell r="B63" t="str">
            <v>3</v>
          </cell>
          <cell r="C63" t="str">
            <v>05</v>
          </cell>
          <cell r="D63">
            <v>16</v>
          </cell>
          <cell r="E63" t="str">
            <v>506AS</v>
          </cell>
          <cell r="F63">
            <v>1.24</v>
          </cell>
          <cell r="G63">
            <v>1.1599999999999999</v>
          </cell>
          <cell r="H63">
            <v>1.1599999999999999</v>
          </cell>
          <cell r="I63" t="str">
            <v>FC</v>
          </cell>
          <cell r="J63" t="str">
            <v>ST</v>
          </cell>
          <cell r="K63">
            <v>0</v>
          </cell>
          <cell r="L63">
            <v>45974</v>
          </cell>
          <cell r="M63">
            <v>45974</v>
          </cell>
          <cell r="N63">
            <v>20</v>
          </cell>
          <cell r="O63" t="str">
            <v>SK</v>
          </cell>
          <cell r="P63" t="str">
            <v/>
          </cell>
          <cell r="Q63">
            <v>45974</v>
          </cell>
          <cell r="R63" t="str">
            <v/>
          </cell>
          <cell r="S63" t="str">
            <v/>
          </cell>
          <cell r="T63" t="str">
            <v/>
          </cell>
          <cell r="U63">
            <v>25766</v>
          </cell>
          <cell r="V63">
            <v>25766</v>
          </cell>
          <cell r="W63" t="str">
            <v/>
          </cell>
          <cell r="X63" t="str">
            <v>Lokasi Produksi 506AS ( Singkong )</v>
          </cell>
          <cell r="Z63">
            <v>0</v>
          </cell>
          <cell r="AA63">
            <v>45974</v>
          </cell>
          <cell r="AB63">
            <v>250.59733611111005</v>
          </cell>
          <cell r="AC63">
            <v>8.3532445370370016</v>
          </cell>
          <cell r="AD63">
            <v>-20</v>
          </cell>
          <cell r="AE63">
            <v>0</v>
          </cell>
          <cell r="AF63">
            <v>0</v>
          </cell>
          <cell r="AG63">
            <v>-1366.3333333333333</v>
          </cell>
          <cell r="AK63">
            <v>40391</v>
          </cell>
          <cell r="AM63" t="str">
            <v>OK</v>
          </cell>
          <cell r="AO63">
            <v>0.67851844135802819</v>
          </cell>
          <cell r="AP63">
            <v>0.67851844135802819</v>
          </cell>
          <cell r="AQ63">
            <v>0</v>
          </cell>
          <cell r="AR63">
            <v>0.67851844135802819</v>
          </cell>
          <cell r="AS63">
            <v>0</v>
          </cell>
          <cell r="AT63">
            <v>45974</v>
          </cell>
          <cell r="AU63">
            <v>0.67851844135802819</v>
          </cell>
          <cell r="AV63">
            <v>20.355553240740846</v>
          </cell>
          <cell r="AW63">
            <v>0.67851844135802819</v>
          </cell>
          <cell r="AY63">
            <v>25.463691782410024</v>
          </cell>
          <cell r="AZ63" t="str">
            <v>F18</v>
          </cell>
          <cell r="BA63">
            <v>0</v>
          </cell>
          <cell r="BB63" t="str">
            <v>SKFC</v>
          </cell>
          <cell r="BC63" t="str">
            <v>F18</v>
          </cell>
        </row>
        <row r="64">
          <cell r="A64" t="str">
            <v>506B1</v>
          </cell>
          <cell r="B64" t="str">
            <v>3</v>
          </cell>
          <cell r="C64" t="str">
            <v>05</v>
          </cell>
          <cell r="D64">
            <v>16</v>
          </cell>
          <cell r="E64" t="str">
            <v>506B1</v>
          </cell>
          <cell r="F64">
            <v>13.45</v>
          </cell>
          <cell r="G64">
            <v>11.28</v>
          </cell>
          <cell r="H64">
            <v>11.28</v>
          </cell>
          <cell r="I64" t="str">
            <v>FC</v>
          </cell>
          <cell r="J64" t="str">
            <v>ST</v>
          </cell>
          <cell r="K64">
            <v>14</v>
          </cell>
          <cell r="L64">
            <v>45505</v>
          </cell>
          <cell r="M64">
            <v>45505</v>
          </cell>
          <cell r="N64">
            <v>489</v>
          </cell>
          <cell r="O64" t="str">
            <v>NS</v>
          </cell>
          <cell r="P64" t="str">
            <v>NSF18CK3</v>
          </cell>
          <cell r="Q64">
            <v>45932</v>
          </cell>
          <cell r="R64" t="str">
            <v/>
          </cell>
          <cell r="S64" t="str">
            <v/>
          </cell>
          <cell r="T64">
            <v>45873</v>
          </cell>
          <cell r="U64">
            <v>66424</v>
          </cell>
          <cell r="V64">
            <v>67140</v>
          </cell>
          <cell r="W64">
            <v>43182</v>
          </cell>
          <cell r="X64" t="str">
            <v>Lokasi Produksi 506B1 ( pecahan 506B )</v>
          </cell>
          <cell r="Z64">
            <v>14</v>
          </cell>
          <cell r="AA64">
            <v>45932</v>
          </cell>
          <cell r="AB64">
            <v>220.59733611111005</v>
          </cell>
          <cell r="AC64">
            <v>7.3532445370370016</v>
          </cell>
          <cell r="AD64">
            <v>-20</v>
          </cell>
          <cell r="AE64">
            <v>0</v>
          </cell>
          <cell r="AF64">
            <v>0</v>
          </cell>
          <cell r="AG64">
            <v>-1367.3333333333333</v>
          </cell>
          <cell r="AM64" t="str">
            <v>OK</v>
          </cell>
          <cell r="AO64">
            <v>16.311851774691362</v>
          </cell>
          <cell r="AP64">
            <v>2.3118517746913625</v>
          </cell>
          <cell r="AQ64">
            <v>45873</v>
          </cell>
          <cell r="AR64">
            <v>12.266666666666667</v>
          </cell>
          <cell r="AS64">
            <v>4.045185108024695</v>
          </cell>
          <cell r="AT64">
            <v>45932</v>
          </cell>
          <cell r="AU64">
            <v>4.045185108024695</v>
          </cell>
          <cell r="AV64">
            <v>368</v>
          </cell>
          <cell r="AW64">
            <v>4.045185108024695</v>
          </cell>
          <cell r="AY64">
            <v>494.46369178241002</v>
          </cell>
          <cell r="AZ64" t="str">
            <v>F18</v>
          </cell>
          <cell r="BA64">
            <v>11.28</v>
          </cell>
          <cell r="BB64" t="str">
            <v>NSFC</v>
          </cell>
          <cell r="BC64" t="str">
            <v>F18CK</v>
          </cell>
        </row>
        <row r="65">
          <cell r="A65" t="str">
            <v>506B2</v>
          </cell>
          <cell r="B65" t="str">
            <v>3</v>
          </cell>
          <cell r="C65" t="str">
            <v>05</v>
          </cell>
          <cell r="D65">
            <v>16</v>
          </cell>
          <cell r="E65" t="str">
            <v>506B2</v>
          </cell>
          <cell r="F65">
            <v>8.19</v>
          </cell>
          <cell r="G65">
            <v>6.79</v>
          </cell>
          <cell r="H65">
            <v>6.79</v>
          </cell>
          <cell r="I65" t="str">
            <v>FC</v>
          </cell>
          <cell r="J65" t="str">
            <v>ST</v>
          </cell>
          <cell r="K65">
            <v>14</v>
          </cell>
          <cell r="L65">
            <v>45502</v>
          </cell>
          <cell r="M65">
            <v>45502</v>
          </cell>
          <cell r="N65">
            <v>492</v>
          </cell>
          <cell r="O65" t="str">
            <v>NS</v>
          </cell>
          <cell r="P65" t="str">
            <v>NSF18CK3</v>
          </cell>
          <cell r="Q65">
            <v>45929</v>
          </cell>
          <cell r="R65" t="str">
            <v/>
          </cell>
          <cell r="S65" t="str">
            <v/>
          </cell>
          <cell r="T65">
            <v>45853</v>
          </cell>
          <cell r="U65">
            <v>67430</v>
          </cell>
          <cell r="V65">
            <v>67060</v>
          </cell>
          <cell r="W65">
            <v>43654</v>
          </cell>
          <cell r="X65" t="str">
            <v>Lokasi Produksi 506B2 ( pecahan 506B )</v>
          </cell>
          <cell r="Z65">
            <v>14</v>
          </cell>
          <cell r="AA65">
            <v>45929</v>
          </cell>
          <cell r="AB65">
            <v>499.59733611111005</v>
          </cell>
          <cell r="AC65">
            <v>16.653244537037001</v>
          </cell>
          <cell r="AD65">
            <v>-20</v>
          </cell>
          <cell r="AE65">
            <v>0</v>
          </cell>
          <cell r="AF65">
            <v>0</v>
          </cell>
          <cell r="AG65">
            <v>-1358.0333333333333</v>
          </cell>
          <cell r="AM65" t="str">
            <v>OK</v>
          </cell>
          <cell r="AO65">
            <v>16.41185177469136</v>
          </cell>
          <cell r="AP65">
            <v>2.4118517746913604</v>
          </cell>
          <cell r="AQ65">
            <v>45853</v>
          </cell>
          <cell r="AR65">
            <v>11.7</v>
          </cell>
          <cell r="AS65">
            <v>4.7118517746913611</v>
          </cell>
          <cell r="AT65">
            <v>45929</v>
          </cell>
          <cell r="AU65">
            <v>4.7118517746913611</v>
          </cell>
          <cell r="AV65">
            <v>351</v>
          </cell>
          <cell r="AW65">
            <v>4.7118517746913611</v>
          </cell>
          <cell r="AY65">
            <v>497.46369178241002</v>
          </cell>
          <cell r="AZ65" t="str">
            <v>F18</v>
          </cell>
          <cell r="BA65">
            <v>6.79</v>
          </cell>
          <cell r="BB65" t="str">
            <v>NSFC</v>
          </cell>
          <cell r="BC65" t="str">
            <v>F18CK</v>
          </cell>
        </row>
        <row r="66">
          <cell r="A66" t="str">
            <v>506C1</v>
          </cell>
          <cell r="B66" t="str">
            <v>3</v>
          </cell>
          <cell r="C66" t="str">
            <v>05</v>
          </cell>
          <cell r="D66">
            <v>16</v>
          </cell>
          <cell r="E66" t="str">
            <v>506C1</v>
          </cell>
          <cell r="F66">
            <v>8.7100000000000009</v>
          </cell>
          <cell r="G66">
            <v>7.36</v>
          </cell>
          <cell r="H66">
            <v>7.36</v>
          </cell>
          <cell r="I66" t="str">
            <v>FC</v>
          </cell>
          <cell r="J66" t="str">
            <v>ST</v>
          </cell>
          <cell r="K66">
            <v>12</v>
          </cell>
          <cell r="L66">
            <v>45668</v>
          </cell>
          <cell r="M66">
            <v>45668</v>
          </cell>
          <cell r="N66">
            <v>326</v>
          </cell>
          <cell r="O66" t="str">
            <v>NS</v>
          </cell>
          <cell r="P66" t="str">
            <v>NSGP3SS3</v>
          </cell>
          <cell r="Q66">
            <v>46034</v>
          </cell>
          <cell r="R66" t="str">
            <v/>
          </cell>
          <cell r="S66" t="str">
            <v/>
          </cell>
          <cell r="T66" t="str">
            <v/>
          </cell>
          <cell r="U66">
            <v>69304</v>
          </cell>
          <cell r="V66">
            <v>70910</v>
          </cell>
          <cell r="W66" t="str">
            <v/>
          </cell>
          <cell r="X66" t="str">
            <v>Lokasi Produksi 506C1 ( pecahan 506C )</v>
          </cell>
          <cell r="Z66">
            <v>12</v>
          </cell>
          <cell r="AA66">
            <v>46034</v>
          </cell>
          <cell r="AB66">
            <v>153.59733611111005</v>
          </cell>
          <cell r="AC66">
            <v>5.1199112037036683</v>
          </cell>
          <cell r="AD66">
            <v>-20</v>
          </cell>
          <cell r="AE66">
            <v>0</v>
          </cell>
          <cell r="AF66">
            <v>0</v>
          </cell>
          <cell r="AG66">
            <v>-1369.5666666666666</v>
          </cell>
          <cell r="AM66" t="str">
            <v>OK</v>
          </cell>
          <cell r="AO66">
            <v>10.878518441358029</v>
          </cell>
          <cell r="AP66">
            <v>-1.1214815586419711</v>
          </cell>
          <cell r="AQ66">
            <v>0</v>
          </cell>
          <cell r="AR66">
            <v>10.878518441358029</v>
          </cell>
          <cell r="AS66">
            <v>0</v>
          </cell>
          <cell r="AT66">
            <v>46034</v>
          </cell>
          <cell r="AU66">
            <v>-1.1214815586419711</v>
          </cell>
          <cell r="AV66">
            <v>326.35555324074085</v>
          </cell>
          <cell r="AW66">
            <v>-1.1214815586419711</v>
          </cell>
          <cell r="AY66">
            <v>331.46369178241002</v>
          </cell>
          <cell r="AZ66" t="str">
            <v>GP3</v>
          </cell>
          <cell r="BA66">
            <v>7.36</v>
          </cell>
          <cell r="BB66" t="str">
            <v>NSFC</v>
          </cell>
          <cell r="BC66" t="str">
            <v>GP3SS</v>
          </cell>
        </row>
        <row r="67">
          <cell r="A67" t="str">
            <v>506C2</v>
          </cell>
          <cell r="B67" t="str">
            <v>3</v>
          </cell>
          <cell r="C67" t="str">
            <v>05</v>
          </cell>
          <cell r="D67">
            <v>16</v>
          </cell>
          <cell r="E67" t="str">
            <v>506C2</v>
          </cell>
          <cell r="F67">
            <v>12.9</v>
          </cell>
          <cell r="G67">
            <v>10.88</v>
          </cell>
          <cell r="H67">
            <v>10.88</v>
          </cell>
          <cell r="I67" t="str">
            <v>FC</v>
          </cell>
          <cell r="J67" t="str">
            <v>ST</v>
          </cell>
          <cell r="K67">
            <v>14</v>
          </cell>
          <cell r="L67">
            <v>45679</v>
          </cell>
          <cell r="M67">
            <v>45679</v>
          </cell>
          <cell r="N67">
            <v>315</v>
          </cell>
          <cell r="O67" t="str">
            <v>NS</v>
          </cell>
          <cell r="P67" t="str">
            <v>NSF18CK3</v>
          </cell>
          <cell r="Q67">
            <v>46106</v>
          </cell>
          <cell r="R67" t="str">
            <v/>
          </cell>
          <cell r="S67" t="str">
            <v/>
          </cell>
          <cell r="T67" t="str">
            <v/>
          </cell>
          <cell r="U67">
            <v>66069</v>
          </cell>
          <cell r="V67">
            <v>68773</v>
          </cell>
          <cell r="W67" t="str">
            <v/>
          </cell>
          <cell r="X67" t="str">
            <v>Lokasi Produksi 506C2 ( pecahan 506C )</v>
          </cell>
          <cell r="Z67">
            <v>14</v>
          </cell>
          <cell r="AA67">
            <v>46106</v>
          </cell>
          <cell r="AB67">
            <v>220.59733611111005</v>
          </cell>
          <cell r="AC67">
            <v>7.3532445370370016</v>
          </cell>
          <cell r="AD67">
            <v>-20</v>
          </cell>
          <cell r="AE67">
            <v>0</v>
          </cell>
          <cell r="AF67">
            <v>0</v>
          </cell>
          <cell r="AG67">
            <v>-1367.3333333333333</v>
          </cell>
          <cell r="AM67" t="str">
            <v>OK</v>
          </cell>
          <cell r="AO67">
            <v>10.511851774691362</v>
          </cell>
          <cell r="AP67">
            <v>-3.4881482253086382</v>
          </cell>
          <cell r="AQ67">
            <v>0</v>
          </cell>
          <cell r="AR67">
            <v>10.511851774691362</v>
          </cell>
          <cell r="AS67">
            <v>0</v>
          </cell>
          <cell r="AT67">
            <v>46106</v>
          </cell>
          <cell r="AU67">
            <v>-3.4881482253086382</v>
          </cell>
          <cell r="AV67">
            <v>315.35555324074085</v>
          </cell>
          <cell r="AW67">
            <v>-3.4881482253086382</v>
          </cell>
          <cell r="AY67">
            <v>320.46369178241002</v>
          </cell>
          <cell r="AZ67" t="str">
            <v>F18</v>
          </cell>
          <cell r="BA67">
            <v>10.88</v>
          </cell>
          <cell r="BB67" t="str">
            <v>NSFC</v>
          </cell>
          <cell r="BC67" t="str">
            <v>F18CK</v>
          </cell>
        </row>
        <row r="68">
          <cell r="A68" t="str">
            <v>507A1</v>
          </cell>
          <cell r="B68" t="str">
            <v>3</v>
          </cell>
          <cell r="C68" t="str">
            <v>05</v>
          </cell>
          <cell r="D68">
            <v>16</v>
          </cell>
          <cell r="E68" t="str">
            <v>507A1</v>
          </cell>
          <cell r="F68">
            <v>8.59</v>
          </cell>
          <cell r="G68">
            <v>7.21</v>
          </cell>
          <cell r="H68">
            <v>7.21</v>
          </cell>
          <cell r="I68" t="str">
            <v>ST</v>
          </cell>
          <cell r="J68" t="str">
            <v>BK</v>
          </cell>
          <cell r="K68">
            <v>0</v>
          </cell>
          <cell r="L68">
            <v>45978</v>
          </cell>
          <cell r="M68">
            <v>45978</v>
          </cell>
          <cell r="N68">
            <v>16</v>
          </cell>
          <cell r="O68" t="str">
            <v>NS</v>
          </cell>
          <cell r="P68" t="str">
            <v/>
          </cell>
          <cell r="Q68">
            <v>45978</v>
          </cell>
          <cell r="R68" t="str">
            <v/>
          </cell>
          <cell r="S68" t="str">
            <v/>
          </cell>
          <cell r="T68" t="str">
            <v/>
          </cell>
          <cell r="U68">
            <v>17050</v>
          </cell>
          <cell r="V68">
            <v>18570</v>
          </cell>
          <cell r="W68">
            <v>45815</v>
          </cell>
          <cell r="X68" t="str">
            <v>Lokasi Produksi 507A1 ( pecahan 507A )</v>
          </cell>
          <cell r="Z68">
            <v>0</v>
          </cell>
          <cell r="AA68">
            <v>45978</v>
          </cell>
          <cell r="AB68">
            <v>169.59733611111005</v>
          </cell>
          <cell r="AC68">
            <v>5.6532445370370015</v>
          </cell>
          <cell r="AD68">
            <v>-20</v>
          </cell>
          <cell r="AE68">
            <v>0</v>
          </cell>
          <cell r="AF68">
            <v>0</v>
          </cell>
          <cell r="AG68">
            <v>-1369.0333333333333</v>
          </cell>
          <cell r="AM68" t="str">
            <v>OK</v>
          </cell>
          <cell r="AO68">
            <v>0.54518510802469489</v>
          </cell>
          <cell r="AP68">
            <v>0.54518510802469489</v>
          </cell>
          <cell r="AQ68">
            <v>0</v>
          </cell>
          <cell r="AR68">
            <v>0.54518510802469489</v>
          </cell>
          <cell r="AS68">
            <v>0</v>
          </cell>
          <cell r="AT68">
            <v>45978</v>
          </cell>
          <cell r="AU68">
            <v>0.54518510802469489</v>
          </cell>
          <cell r="AV68">
            <v>16.355553240740846</v>
          </cell>
          <cell r="AW68">
            <v>0.54518510802469489</v>
          </cell>
          <cell r="AY68">
            <v>21.463691782410024</v>
          </cell>
          <cell r="AZ68" t="str">
            <v>F18</v>
          </cell>
          <cell r="BA68">
            <v>0</v>
          </cell>
          <cell r="BB68" t="str">
            <v>NSST</v>
          </cell>
          <cell r="BC68" t="str">
            <v>F18</v>
          </cell>
        </row>
        <row r="69">
          <cell r="A69" t="str">
            <v>507A2</v>
          </cell>
          <cell r="B69" t="str">
            <v>3</v>
          </cell>
          <cell r="C69" t="str">
            <v>05</v>
          </cell>
          <cell r="D69">
            <v>16</v>
          </cell>
          <cell r="E69" t="str">
            <v>507A2</v>
          </cell>
          <cell r="F69">
            <v>5.2</v>
          </cell>
          <cell r="G69">
            <v>4.3899999999999997</v>
          </cell>
          <cell r="H69">
            <v>4.3899999999999997</v>
          </cell>
          <cell r="I69" t="str">
            <v>ST</v>
          </cell>
          <cell r="J69" t="str">
            <v>BK</v>
          </cell>
          <cell r="K69">
            <v>0</v>
          </cell>
          <cell r="L69">
            <v>45978</v>
          </cell>
          <cell r="M69">
            <v>45978</v>
          </cell>
          <cell r="N69">
            <v>16</v>
          </cell>
          <cell r="O69" t="str">
            <v>NS</v>
          </cell>
          <cell r="P69" t="str">
            <v/>
          </cell>
          <cell r="Q69">
            <v>45978</v>
          </cell>
          <cell r="R69" t="str">
            <v/>
          </cell>
          <cell r="S69" t="str">
            <v/>
          </cell>
          <cell r="T69" t="str">
            <v/>
          </cell>
          <cell r="U69">
            <v>10128</v>
          </cell>
          <cell r="V69">
            <v>10940</v>
          </cell>
          <cell r="W69">
            <v>46232</v>
          </cell>
          <cell r="X69" t="str">
            <v>Lokasi Produksi 507A2 ( pecahan 507A )</v>
          </cell>
          <cell r="Z69">
            <v>0</v>
          </cell>
          <cell r="AA69">
            <v>45978</v>
          </cell>
          <cell r="AB69">
            <v>5427.5973361111101</v>
          </cell>
          <cell r="AC69">
            <v>180.91991120370366</v>
          </cell>
          <cell r="AD69">
            <v>-20</v>
          </cell>
          <cell r="AE69">
            <v>0</v>
          </cell>
          <cell r="AF69">
            <v>0</v>
          </cell>
          <cell r="AG69">
            <v>-1193.7666666666667</v>
          </cell>
          <cell r="AM69" t="str">
            <v>OK</v>
          </cell>
          <cell r="AO69">
            <v>0.54518510802469489</v>
          </cell>
          <cell r="AP69">
            <v>0.54518510802469489</v>
          </cell>
          <cell r="AQ69">
            <v>0</v>
          </cell>
          <cell r="AR69">
            <v>0.54518510802469489</v>
          </cell>
          <cell r="AS69">
            <v>0</v>
          </cell>
          <cell r="AT69">
            <v>45978</v>
          </cell>
          <cell r="AU69">
            <v>0.54518510802469489</v>
          </cell>
          <cell r="AV69">
            <v>16.355553240740846</v>
          </cell>
          <cell r="AW69">
            <v>0.54518510802469489</v>
          </cell>
          <cell r="AY69">
            <v>21.463691782410024</v>
          </cell>
          <cell r="AZ69" t="str">
            <v>F18</v>
          </cell>
          <cell r="BA69">
            <v>0</v>
          </cell>
          <cell r="BB69" t="str">
            <v>NSST</v>
          </cell>
          <cell r="BC69" t="str">
            <v>F18</v>
          </cell>
        </row>
        <row r="70">
          <cell r="A70" t="str">
            <v>507B1</v>
          </cell>
          <cell r="B70" t="str">
            <v>3</v>
          </cell>
          <cell r="C70" t="str">
            <v>05</v>
          </cell>
          <cell r="D70">
            <v>16</v>
          </cell>
          <cell r="E70" t="str">
            <v>507B1</v>
          </cell>
          <cell r="F70">
            <v>5.0199999999999996</v>
          </cell>
          <cell r="G70">
            <v>4.3</v>
          </cell>
          <cell r="H70">
            <v>4.3</v>
          </cell>
          <cell r="I70" t="str">
            <v>FC</v>
          </cell>
          <cell r="J70" t="str">
            <v>ST</v>
          </cell>
          <cell r="K70">
            <v>12</v>
          </cell>
          <cell r="L70">
            <v>45734</v>
          </cell>
          <cell r="M70">
            <v>45734</v>
          </cell>
          <cell r="N70">
            <v>260</v>
          </cell>
          <cell r="O70" t="str">
            <v>NS</v>
          </cell>
          <cell r="P70" t="str">
            <v>NSF18SS3</v>
          </cell>
          <cell r="Q70">
            <v>46100</v>
          </cell>
          <cell r="R70" t="str">
            <v/>
          </cell>
          <cell r="S70" t="str">
            <v/>
          </cell>
          <cell r="T70" t="str">
            <v/>
          </cell>
          <cell r="U70">
            <v>69819</v>
          </cell>
          <cell r="V70">
            <v>72796</v>
          </cell>
          <cell r="W70">
            <v>45560</v>
          </cell>
          <cell r="X70" t="str">
            <v>Lokasi Produksi 507B1 ( pecahan 507B )</v>
          </cell>
          <cell r="Z70">
            <v>12</v>
          </cell>
          <cell r="AA70">
            <v>46100</v>
          </cell>
          <cell r="AB70">
            <v>34.597336111110053</v>
          </cell>
          <cell r="AC70">
            <v>1.1532445370370017</v>
          </cell>
          <cell r="AD70">
            <v>-6.8467554629629985</v>
          </cell>
          <cell r="AE70">
            <v>21.75</v>
          </cell>
          <cell r="AF70">
            <v>0</v>
          </cell>
          <cell r="AG70">
            <v>-1373.5333333333333</v>
          </cell>
          <cell r="AM70" t="str">
            <v>OK</v>
          </cell>
          <cell r="AO70">
            <v>8.6785184413580279</v>
          </cell>
          <cell r="AP70">
            <v>-3.3214815586419721</v>
          </cell>
          <cell r="AQ70">
            <v>0</v>
          </cell>
          <cell r="AR70">
            <v>8.6785184413580279</v>
          </cell>
          <cell r="AS70">
            <v>0</v>
          </cell>
          <cell r="AT70">
            <v>46100</v>
          </cell>
          <cell r="AU70">
            <v>-3.3214815586419721</v>
          </cell>
          <cell r="AV70">
            <v>260.35555324074085</v>
          </cell>
          <cell r="AW70">
            <v>-3.3214815586419721</v>
          </cell>
          <cell r="AY70">
            <v>265.46369178241002</v>
          </cell>
          <cell r="AZ70" t="str">
            <v>F18</v>
          </cell>
          <cell r="BA70">
            <v>4.3</v>
          </cell>
          <cell r="BB70" t="str">
            <v>NSFC</v>
          </cell>
          <cell r="BC70" t="str">
            <v>F18SS</v>
          </cell>
        </row>
        <row r="71">
          <cell r="A71" t="str">
            <v>507B2</v>
          </cell>
          <cell r="B71" t="str">
            <v>3</v>
          </cell>
          <cell r="C71" t="str">
            <v>05</v>
          </cell>
          <cell r="D71">
            <v>16</v>
          </cell>
          <cell r="E71" t="str">
            <v>507B2</v>
          </cell>
          <cell r="F71">
            <v>3.62</v>
          </cell>
          <cell r="G71">
            <v>3.03</v>
          </cell>
          <cell r="H71">
            <v>3.03</v>
          </cell>
          <cell r="I71" t="str">
            <v>FC</v>
          </cell>
          <cell r="J71" t="str">
            <v>ST</v>
          </cell>
          <cell r="K71">
            <v>12</v>
          </cell>
          <cell r="L71">
            <v>45735</v>
          </cell>
          <cell r="M71">
            <v>45735</v>
          </cell>
          <cell r="N71">
            <v>259</v>
          </cell>
          <cell r="O71" t="str">
            <v>NS</v>
          </cell>
          <cell r="P71" t="str">
            <v>NSF18SS3</v>
          </cell>
          <cell r="Q71">
            <v>46101</v>
          </cell>
          <cell r="R71" t="str">
            <v/>
          </cell>
          <cell r="S71" t="str">
            <v/>
          </cell>
          <cell r="T71" t="str">
            <v/>
          </cell>
          <cell r="U71">
            <v>67829</v>
          </cell>
          <cell r="V71">
            <v>72374</v>
          </cell>
          <cell r="W71">
            <v>45560</v>
          </cell>
          <cell r="X71" t="str">
            <v>Lokasi Produksi 507B2 ( pecahan 507B )</v>
          </cell>
          <cell r="Z71">
            <v>12</v>
          </cell>
          <cell r="AA71">
            <v>46101</v>
          </cell>
          <cell r="AB71">
            <v>507.59733611111005</v>
          </cell>
          <cell r="AC71">
            <v>16.91991120370367</v>
          </cell>
          <cell r="AD71">
            <v>0.91991120370366986</v>
          </cell>
          <cell r="AE71">
            <v>11.24</v>
          </cell>
          <cell r="AF71">
            <v>0</v>
          </cell>
          <cell r="AG71">
            <v>-1357.7666666666667</v>
          </cell>
          <cell r="AM71" t="str">
            <v>OK</v>
          </cell>
          <cell r="AO71">
            <v>8.6451851080246946</v>
          </cell>
          <cell r="AP71">
            <v>-3.3548148919753054</v>
          </cell>
          <cell r="AQ71">
            <v>0</v>
          </cell>
          <cell r="AR71">
            <v>8.6451851080246946</v>
          </cell>
          <cell r="AS71">
            <v>0</v>
          </cell>
          <cell r="AT71">
            <v>46101</v>
          </cell>
          <cell r="AU71">
            <v>-3.3548148919753054</v>
          </cell>
          <cell r="AV71">
            <v>259.35555324074085</v>
          </cell>
          <cell r="AW71">
            <v>-3.3548148919753054</v>
          </cell>
          <cell r="AY71">
            <v>264.46369178241002</v>
          </cell>
          <cell r="AZ71" t="str">
            <v>F18</v>
          </cell>
          <cell r="BA71">
            <v>3.03</v>
          </cell>
          <cell r="BB71" t="str">
            <v>NSFC</v>
          </cell>
          <cell r="BC71" t="str">
            <v>F18SS</v>
          </cell>
        </row>
        <row r="72">
          <cell r="A72" t="str">
            <v>507B3</v>
          </cell>
          <cell r="B72" t="str">
            <v>3</v>
          </cell>
          <cell r="C72" t="str">
            <v>05</v>
          </cell>
          <cell r="D72">
            <v>16</v>
          </cell>
          <cell r="E72" t="str">
            <v>507B3</v>
          </cell>
          <cell r="F72">
            <v>3.31</v>
          </cell>
          <cell r="G72">
            <v>2.79</v>
          </cell>
          <cell r="H72">
            <v>2.79</v>
          </cell>
          <cell r="I72" t="str">
            <v>FC</v>
          </cell>
          <cell r="J72" t="str">
            <v>ST</v>
          </cell>
          <cell r="K72">
            <v>12</v>
          </cell>
          <cell r="L72">
            <v>45736</v>
          </cell>
          <cell r="M72">
            <v>45736</v>
          </cell>
          <cell r="N72">
            <v>258</v>
          </cell>
          <cell r="O72" t="str">
            <v>NS</v>
          </cell>
          <cell r="P72" t="str">
            <v>NSF18SS3</v>
          </cell>
          <cell r="Q72">
            <v>46102</v>
          </cell>
          <cell r="R72" t="str">
            <v/>
          </cell>
          <cell r="S72" t="str">
            <v/>
          </cell>
          <cell r="T72" t="str">
            <v/>
          </cell>
          <cell r="U72">
            <v>69177</v>
          </cell>
          <cell r="V72">
            <v>72501</v>
          </cell>
          <cell r="W72">
            <v>45560</v>
          </cell>
          <cell r="X72" t="str">
            <v>Lokasi Produksi 507B3 ( pecahan 507B )</v>
          </cell>
          <cell r="Z72">
            <v>12</v>
          </cell>
          <cell r="AA72">
            <v>46102</v>
          </cell>
          <cell r="AB72">
            <v>76.597336111110053</v>
          </cell>
          <cell r="AC72">
            <v>2.5532445370370018</v>
          </cell>
          <cell r="AD72">
            <v>-5.4467554629629982</v>
          </cell>
          <cell r="AE72">
            <v>9.2799999999999994</v>
          </cell>
          <cell r="AF72">
            <v>0</v>
          </cell>
          <cell r="AG72">
            <v>-1372.1333333333334</v>
          </cell>
          <cell r="AK72">
            <v>40338</v>
          </cell>
          <cell r="AM72" t="str">
            <v>OK</v>
          </cell>
          <cell r="AO72">
            <v>8.6118517746913614</v>
          </cell>
          <cell r="AP72">
            <v>-3.3881482253086386</v>
          </cell>
          <cell r="AQ72">
            <v>0</v>
          </cell>
          <cell r="AR72">
            <v>8.6118517746913614</v>
          </cell>
          <cell r="AS72">
            <v>0</v>
          </cell>
          <cell r="AT72">
            <v>46102</v>
          </cell>
          <cell r="AU72">
            <v>-3.3881482253086386</v>
          </cell>
          <cell r="AV72">
            <v>258.35555324074085</v>
          </cell>
          <cell r="AW72">
            <v>-3.3881482253086386</v>
          </cell>
          <cell r="AY72">
            <v>263.46369178241002</v>
          </cell>
          <cell r="AZ72" t="str">
            <v>F18</v>
          </cell>
          <cell r="BA72">
            <v>2.79</v>
          </cell>
          <cell r="BB72" t="str">
            <v>NSFC</v>
          </cell>
          <cell r="BC72" t="str">
            <v>F18SS</v>
          </cell>
        </row>
        <row r="73">
          <cell r="A73" t="str">
            <v>507B4</v>
          </cell>
          <cell r="B73" t="str">
            <v>3</v>
          </cell>
          <cell r="C73" t="str">
            <v>05</v>
          </cell>
          <cell r="D73">
            <v>16</v>
          </cell>
          <cell r="E73" t="str">
            <v>507B4</v>
          </cell>
          <cell r="F73">
            <v>3.35</v>
          </cell>
          <cell r="G73">
            <v>2.83</v>
          </cell>
          <cell r="H73">
            <v>2.83</v>
          </cell>
          <cell r="I73" t="str">
            <v>FC</v>
          </cell>
          <cell r="J73" t="str">
            <v>ST</v>
          </cell>
          <cell r="K73">
            <v>12</v>
          </cell>
          <cell r="L73">
            <v>45739</v>
          </cell>
          <cell r="M73">
            <v>45739</v>
          </cell>
          <cell r="N73">
            <v>255</v>
          </cell>
          <cell r="O73" t="str">
            <v>NS</v>
          </cell>
          <cell r="P73" t="str">
            <v>NSF18SS3</v>
          </cell>
          <cell r="Q73">
            <v>46105</v>
          </cell>
          <cell r="R73" t="str">
            <v/>
          </cell>
          <cell r="S73" t="str">
            <v/>
          </cell>
          <cell r="T73" t="str">
            <v/>
          </cell>
          <cell r="U73">
            <v>69546</v>
          </cell>
          <cell r="V73">
            <v>72364</v>
          </cell>
          <cell r="W73">
            <v>45560</v>
          </cell>
          <cell r="X73" t="str">
            <v>Lokasi Produksi 507B4 ( pecahan 507B )</v>
          </cell>
          <cell r="Z73">
            <v>12</v>
          </cell>
          <cell r="AA73">
            <v>46105</v>
          </cell>
          <cell r="AB73">
            <v>503.59733611111005</v>
          </cell>
          <cell r="AC73">
            <v>16.786577870370333</v>
          </cell>
          <cell r="AD73">
            <v>2.7865778703703334</v>
          </cell>
          <cell r="AE73">
            <v>18.72</v>
          </cell>
          <cell r="AF73">
            <v>0</v>
          </cell>
          <cell r="AG73">
            <v>-1357.9</v>
          </cell>
          <cell r="AM73" t="str">
            <v>OK</v>
          </cell>
          <cell r="AO73">
            <v>8.5118517746913618</v>
          </cell>
          <cell r="AP73">
            <v>-3.4881482253086382</v>
          </cell>
          <cell r="AQ73">
            <v>0</v>
          </cell>
          <cell r="AR73">
            <v>8.5118517746913618</v>
          </cell>
          <cell r="AS73">
            <v>0</v>
          </cell>
          <cell r="AT73">
            <v>46105</v>
          </cell>
          <cell r="AU73">
            <v>-3.4881482253086382</v>
          </cell>
          <cell r="AV73">
            <v>255.35555324074085</v>
          </cell>
          <cell r="AW73">
            <v>-3.4881482253086382</v>
          </cell>
          <cell r="AY73">
            <v>260.46369178241002</v>
          </cell>
          <cell r="AZ73" t="str">
            <v>F18</v>
          </cell>
          <cell r="BA73">
            <v>2.83</v>
          </cell>
          <cell r="BB73" t="str">
            <v>NSFC</v>
          </cell>
          <cell r="BC73" t="str">
            <v>F18SS</v>
          </cell>
        </row>
        <row r="74">
          <cell r="A74" t="str">
            <v>507C1</v>
          </cell>
          <cell r="B74" t="str">
            <v>3</v>
          </cell>
          <cell r="C74" t="str">
            <v>05</v>
          </cell>
          <cell r="D74">
            <v>16</v>
          </cell>
          <cell r="E74" t="str">
            <v>507C1</v>
          </cell>
          <cell r="F74">
            <v>6.39</v>
          </cell>
          <cell r="G74">
            <v>5.33</v>
          </cell>
          <cell r="H74">
            <v>5.33</v>
          </cell>
          <cell r="I74" t="str">
            <v>SC</v>
          </cell>
          <cell r="J74" t="str">
            <v>FC</v>
          </cell>
          <cell r="K74">
            <v>8</v>
          </cell>
          <cell r="L74">
            <v>45944</v>
          </cell>
          <cell r="M74">
            <v>45944</v>
          </cell>
          <cell r="N74">
            <v>50</v>
          </cell>
          <cell r="O74" t="str">
            <v>NS</v>
          </cell>
          <cell r="P74" t="str">
            <v/>
          </cell>
          <cell r="Q74">
            <v>46188</v>
          </cell>
          <cell r="R74" t="str">
            <v/>
          </cell>
          <cell r="S74" t="str">
            <v/>
          </cell>
          <cell r="T74" t="str">
            <v/>
          </cell>
          <cell r="U74">
            <v>71129</v>
          </cell>
          <cell r="V74">
            <v>68030</v>
          </cell>
          <cell r="W74" t="str">
            <v/>
          </cell>
          <cell r="X74" t="str">
            <v>Lokasi Produksi 507C1 ( pecahan 507C )</v>
          </cell>
          <cell r="Z74">
            <v>8</v>
          </cell>
          <cell r="AA74">
            <v>46188</v>
          </cell>
          <cell r="AB74">
            <v>512.59733611111005</v>
          </cell>
          <cell r="AC74">
            <v>17.086577870370334</v>
          </cell>
          <cell r="AD74">
            <v>-20</v>
          </cell>
          <cell r="AE74">
            <v>0</v>
          </cell>
          <cell r="AF74">
            <v>0</v>
          </cell>
          <cell r="AG74">
            <v>-1357.6</v>
          </cell>
          <cell r="AM74" t="str">
            <v>OK</v>
          </cell>
          <cell r="AO74">
            <v>1.6785184413580283</v>
          </cell>
          <cell r="AP74">
            <v>-6.3214815586419721</v>
          </cell>
          <cell r="AQ74">
            <v>0</v>
          </cell>
          <cell r="AR74">
            <v>1.6785184413580283</v>
          </cell>
          <cell r="AS74">
            <v>0</v>
          </cell>
          <cell r="AT74">
            <v>46188</v>
          </cell>
          <cell r="AU74">
            <v>-6.3214815586419721</v>
          </cell>
          <cell r="AV74">
            <v>50.355553240740846</v>
          </cell>
          <cell r="AW74">
            <v>-6.3214815586419721</v>
          </cell>
          <cell r="AY74">
            <v>55.463691782410024</v>
          </cell>
          <cell r="AZ74" t="str">
            <v>F18</v>
          </cell>
          <cell r="BA74">
            <v>5.33</v>
          </cell>
          <cell r="BB74" t="str">
            <v>NSSC</v>
          </cell>
          <cell r="BC74" t="str">
            <v>F18</v>
          </cell>
        </row>
        <row r="75">
          <cell r="A75" t="str">
            <v>507C2</v>
          </cell>
          <cell r="B75" t="str">
            <v>3</v>
          </cell>
          <cell r="C75" t="str">
            <v>05</v>
          </cell>
          <cell r="D75">
            <v>16</v>
          </cell>
          <cell r="E75" t="str">
            <v>507C2</v>
          </cell>
          <cell r="F75">
            <v>11.23</v>
          </cell>
          <cell r="G75">
            <v>9.44</v>
          </cell>
          <cell r="H75">
            <v>9.44</v>
          </cell>
          <cell r="I75" t="str">
            <v>SC</v>
          </cell>
          <cell r="J75" t="str">
            <v>FC</v>
          </cell>
          <cell r="K75">
            <v>8</v>
          </cell>
          <cell r="L75">
            <v>45961</v>
          </cell>
          <cell r="M75">
            <v>45961</v>
          </cell>
          <cell r="N75">
            <v>33</v>
          </cell>
          <cell r="O75" t="str">
            <v>NS</v>
          </cell>
          <cell r="P75" t="str">
            <v/>
          </cell>
          <cell r="Q75">
            <v>46205</v>
          </cell>
          <cell r="R75" t="str">
            <v/>
          </cell>
          <cell r="S75" t="str">
            <v/>
          </cell>
          <cell r="T75" t="str">
            <v/>
          </cell>
          <cell r="U75">
            <v>64542</v>
          </cell>
          <cell r="V75">
            <v>68430</v>
          </cell>
          <cell r="W75" t="str">
            <v/>
          </cell>
          <cell r="X75" t="str">
            <v>Lokasi Produksi 507C2 ( pecahan 507C )</v>
          </cell>
          <cell r="Z75">
            <v>8</v>
          </cell>
          <cell r="AA75">
            <v>46205</v>
          </cell>
          <cell r="AB75">
            <v>183.59733611111005</v>
          </cell>
          <cell r="AC75">
            <v>6.1199112037036683</v>
          </cell>
          <cell r="AD75">
            <v>-20</v>
          </cell>
          <cell r="AE75">
            <v>0</v>
          </cell>
          <cell r="AF75">
            <v>0</v>
          </cell>
          <cell r="AG75">
            <v>-1368.5666666666666</v>
          </cell>
          <cell r="AM75" t="str">
            <v>OK</v>
          </cell>
          <cell r="AO75">
            <v>1.1118517746913616</v>
          </cell>
          <cell r="AP75">
            <v>-6.8881482253086386</v>
          </cell>
          <cell r="AQ75">
            <v>0</v>
          </cell>
          <cell r="AR75">
            <v>1.1118517746913616</v>
          </cell>
          <cell r="AS75">
            <v>0</v>
          </cell>
          <cell r="AT75">
            <v>46205</v>
          </cell>
          <cell r="AU75">
            <v>-6.8881482253086386</v>
          </cell>
          <cell r="AV75">
            <v>33.355553240740846</v>
          </cell>
          <cell r="AW75">
            <v>-6.8881482253086386</v>
          </cell>
          <cell r="AY75">
            <v>38.463691782410024</v>
          </cell>
          <cell r="AZ75" t="str">
            <v>F18</v>
          </cell>
          <cell r="BA75">
            <v>9.44</v>
          </cell>
          <cell r="BB75" t="str">
            <v>NSSC</v>
          </cell>
          <cell r="BC75" t="str">
            <v>F18</v>
          </cell>
        </row>
        <row r="76">
          <cell r="A76" t="str">
            <v>507D1</v>
          </cell>
          <cell r="B76" t="str">
            <v>3</v>
          </cell>
          <cell r="C76" t="str">
            <v>05</v>
          </cell>
          <cell r="D76">
            <v>16</v>
          </cell>
          <cell r="E76" t="str">
            <v>507D1</v>
          </cell>
          <cell r="F76">
            <v>7.94</v>
          </cell>
          <cell r="G76">
            <v>6.59</v>
          </cell>
          <cell r="H76">
            <v>6.59</v>
          </cell>
          <cell r="I76" t="str">
            <v>FC</v>
          </cell>
          <cell r="J76" t="str">
            <v>ST</v>
          </cell>
          <cell r="K76">
            <v>12</v>
          </cell>
          <cell r="L76">
            <v>45721</v>
          </cell>
          <cell r="M76">
            <v>45721</v>
          </cell>
          <cell r="N76">
            <v>273</v>
          </cell>
          <cell r="O76" t="str">
            <v>NS</v>
          </cell>
          <cell r="P76" t="str">
            <v>NSF18SS3</v>
          </cell>
          <cell r="Q76">
            <v>46087</v>
          </cell>
          <cell r="R76" t="str">
            <v/>
          </cell>
          <cell r="S76" t="str">
            <v/>
          </cell>
          <cell r="T76" t="str">
            <v/>
          </cell>
          <cell r="U76">
            <v>69986</v>
          </cell>
          <cell r="V76">
            <v>71876</v>
          </cell>
          <cell r="W76">
            <v>45532</v>
          </cell>
          <cell r="X76" t="str">
            <v>Lokasi Produksi 507D1 ( pecahan 507D )</v>
          </cell>
          <cell r="Z76">
            <v>12</v>
          </cell>
          <cell r="AA76">
            <v>46087</v>
          </cell>
          <cell r="AB76">
            <v>508.59733611111005</v>
          </cell>
          <cell r="AC76">
            <v>16.953244537037001</v>
          </cell>
          <cell r="AD76">
            <v>2.9532445370370013</v>
          </cell>
          <cell r="AE76">
            <v>11.9</v>
          </cell>
          <cell r="AF76">
            <v>0</v>
          </cell>
          <cell r="AG76">
            <v>-1357.7333333333333</v>
          </cell>
          <cell r="AM76" t="str">
            <v>OK</v>
          </cell>
          <cell r="AO76">
            <v>9.1118517746913614</v>
          </cell>
          <cell r="AP76">
            <v>-2.8881482253086386</v>
          </cell>
          <cell r="AQ76">
            <v>0</v>
          </cell>
          <cell r="AR76">
            <v>9.1118517746913614</v>
          </cell>
          <cell r="AS76">
            <v>0</v>
          </cell>
          <cell r="AT76">
            <v>46087</v>
          </cell>
          <cell r="AU76">
            <v>-2.8881482253086386</v>
          </cell>
          <cell r="AV76">
            <v>273.35555324074085</v>
          </cell>
          <cell r="AW76">
            <v>-2.8881482253086386</v>
          </cell>
          <cell r="AY76">
            <v>278.46369178241002</v>
          </cell>
          <cell r="AZ76" t="str">
            <v>F18</v>
          </cell>
          <cell r="BA76">
            <v>6.59</v>
          </cell>
          <cell r="BB76" t="str">
            <v>NSFC</v>
          </cell>
          <cell r="BC76" t="str">
            <v>F18SS</v>
          </cell>
        </row>
        <row r="77">
          <cell r="A77" t="str">
            <v>507D2</v>
          </cell>
          <cell r="B77" t="str">
            <v>3</v>
          </cell>
          <cell r="C77" t="str">
            <v>05</v>
          </cell>
          <cell r="D77">
            <v>16</v>
          </cell>
          <cell r="E77" t="str">
            <v>507D2</v>
          </cell>
          <cell r="F77">
            <v>9.2899999999999991</v>
          </cell>
          <cell r="G77">
            <v>7.72</v>
          </cell>
          <cell r="H77">
            <v>7.72</v>
          </cell>
          <cell r="I77" t="str">
            <v>FC</v>
          </cell>
          <cell r="J77" t="str">
            <v>ST</v>
          </cell>
          <cell r="K77">
            <v>12</v>
          </cell>
          <cell r="L77">
            <v>45720</v>
          </cell>
          <cell r="M77">
            <v>45720</v>
          </cell>
          <cell r="N77">
            <v>274</v>
          </cell>
          <cell r="O77" t="str">
            <v>NS</v>
          </cell>
          <cell r="P77" t="str">
            <v>NSF18SS3</v>
          </cell>
          <cell r="Q77">
            <v>46086</v>
          </cell>
          <cell r="R77" t="str">
            <v/>
          </cell>
          <cell r="S77" t="str">
            <v/>
          </cell>
          <cell r="T77" t="str">
            <v/>
          </cell>
          <cell r="U77">
            <v>69814</v>
          </cell>
          <cell r="V77">
            <v>71648</v>
          </cell>
          <cell r="W77">
            <v>45806</v>
          </cell>
          <cell r="X77" t="str">
            <v>Lokasi Produksi 507D2 ( pecahan 507D )</v>
          </cell>
          <cell r="Z77">
            <v>12</v>
          </cell>
          <cell r="AA77">
            <v>46086</v>
          </cell>
          <cell r="AB77">
            <v>5440.5973361111101</v>
          </cell>
          <cell r="AC77">
            <v>181.353244537037</v>
          </cell>
          <cell r="AD77">
            <v>-20</v>
          </cell>
          <cell r="AE77">
            <v>0</v>
          </cell>
          <cell r="AF77">
            <v>0</v>
          </cell>
          <cell r="AG77">
            <v>-1193.3333333333333</v>
          </cell>
          <cell r="AM77" t="str">
            <v>OK</v>
          </cell>
          <cell r="AO77">
            <v>9.1451851080246946</v>
          </cell>
          <cell r="AP77">
            <v>-2.8548148919753054</v>
          </cell>
          <cell r="AQ77">
            <v>0</v>
          </cell>
          <cell r="AR77">
            <v>9.1451851080246946</v>
          </cell>
          <cell r="AS77">
            <v>0</v>
          </cell>
          <cell r="AT77">
            <v>46086</v>
          </cell>
          <cell r="AU77">
            <v>-2.8548148919753054</v>
          </cell>
          <cell r="AV77">
            <v>274.35555324074085</v>
          </cell>
          <cell r="AW77">
            <v>-2.8548148919753054</v>
          </cell>
          <cell r="AY77">
            <v>279.46369178241002</v>
          </cell>
          <cell r="AZ77" t="str">
            <v>F18</v>
          </cell>
          <cell r="BA77">
            <v>7.72</v>
          </cell>
          <cell r="BB77" t="str">
            <v>NSFC</v>
          </cell>
          <cell r="BC77" t="str">
            <v>F18SS</v>
          </cell>
        </row>
        <row r="78">
          <cell r="A78" t="str">
            <v>507DS</v>
          </cell>
          <cell r="B78" t="str">
            <v>3</v>
          </cell>
          <cell r="C78" t="str">
            <v>05</v>
          </cell>
          <cell r="D78">
            <v>16</v>
          </cell>
          <cell r="E78" t="str">
            <v>507DS</v>
          </cell>
          <cell r="F78">
            <v>1.64</v>
          </cell>
          <cell r="G78">
            <v>1.64</v>
          </cell>
          <cell r="H78">
            <v>1.64</v>
          </cell>
          <cell r="I78" t="str">
            <v>BK</v>
          </cell>
          <cell r="J78" t="str">
            <v>FC</v>
          </cell>
          <cell r="K78">
            <v>0</v>
          </cell>
          <cell r="L78">
            <v>45961</v>
          </cell>
          <cell r="M78">
            <v>45961</v>
          </cell>
          <cell r="N78">
            <v>33</v>
          </cell>
          <cell r="O78" t="str">
            <v>SK</v>
          </cell>
          <cell r="P78" t="str">
            <v/>
          </cell>
          <cell r="Q78">
            <v>45961</v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>
            <v>1197</v>
          </cell>
          <cell r="W78" t="str">
            <v/>
          </cell>
          <cell r="X78" t="str">
            <v>Lokasi Produksi 507DS ( singkong )</v>
          </cell>
          <cell r="Z78">
            <v>0</v>
          </cell>
          <cell r="AA78">
            <v>45961</v>
          </cell>
          <cell r="AB78">
            <v>76.597336111110053</v>
          </cell>
          <cell r="AC78">
            <v>2.5532445370370018</v>
          </cell>
          <cell r="AD78">
            <v>-20</v>
          </cell>
          <cell r="AE78">
            <v>0</v>
          </cell>
          <cell r="AF78">
            <v>0</v>
          </cell>
          <cell r="AG78">
            <v>-1372.1333333333334</v>
          </cell>
          <cell r="AM78" t="str">
            <v>OK</v>
          </cell>
          <cell r="AO78">
            <v>1.1118517746913616</v>
          </cell>
          <cell r="AP78">
            <v>1.1118517746913616</v>
          </cell>
          <cell r="AQ78">
            <v>0</v>
          </cell>
          <cell r="AR78">
            <v>1.1118517746913616</v>
          </cell>
          <cell r="AS78">
            <v>0</v>
          </cell>
          <cell r="AT78">
            <v>45961</v>
          </cell>
          <cell r="AU78">
            <v>1.1118517746913616</v>
          </cell>
          <cell r="AV78">
            <v>33.355553240740846</v>
          </cell>
          <cell r="AW78">
            <v>1.1118517746913616</v>
          </cell>
          <cell r="AY78">
            <v>38.463691782410024</v>
          </cell>
          <cell r="AZ78" t="str">
            <v>F18</v>
          </cell>
          <cell r="BA78">
            <v>0</v>
          </cell>
          <cell r="BB78" t="str">
            <v>SKBK</v>
          </cell>
          <cell r="BC78" t="str">
            <v>F18</v>
          </cell>
        </row>
        <row r="79">
          <cell r="A79" t="str">
            <v>507E1</v>
          </cell>
          <cell r="B79" t="str">
            <v>3</v>
          </cell>
          <cell r="C79" t="str">
            <v>05</v>
          </cell>
          <cell r="D79">
            <v>16</v>
          </cell>
          <cell r="E79" t="str">
            <v>507E1</v>
          </cell>
          <cell r="F79">
            <v>4.87</v>
          </cell>
          <cell r="G79">
            <v>4.1100000000000003</v>
          </cell>
          <cell r="H79">
            <v>4.1100000000000003</v>
          </cell>
          <cell r="I79" t="str">
            <v>ST</v>
          </cell>
          <cell r="J79" t="str">
            <v>BK</v>
          </cell>
          <cell r="K79">
            <v>0</v>
          </cell>
          <cell r="L79">
            <v>45978</v>
          </cell>
          <cell r="M79">
            <v>45978</v>
          </cell>
          <cell r="N79">
            <v>16</v>
          </cell>
          <cell r="O79" t="str">
            <v>NS</v>
          </cell>
          <cell r="P79" t="str">
            <v/>
          </cell>
          <cell r="Q79">
            <v>45978</v>
          </cell>
          <cell r="R79" t="str">
            <v/>
          </cell>
          <cell r="S79" t="str">
            <v/>
          </cell>
          <cell r="T79" t="str">
            <v/>
          </cell>
          <cell r="U79">
            <v>10130</v>
          </cell>
          <cell r="V79">
            <v>10130</v>
          </cell>
          <cell r="W79">
            <v>45626</v>
          </cell>
          <cell r="X79" t="str">
            <v>Lokasi Produksi 507E1 ( pecahan 507E )</v>
          </cell>
          <cell r="Z79">
            <v>0</v>
          </cell>
          <cell r="AA79">
            <v>45978</v>
          </cell>
          <cell r="AB79">
            <v>521.59733611111005</v>
          </cell>
          <cell r="AC79">
            <v>17.386577870370335</v>
          </cell>
          <cell r="AD79">
            <v>3.3865778703703349</v>
          </cell>
          <cell r="AE79">
            <v>12.17</v>
          </cell>
          <cell r="AF79">
            <v>0</v>
          </cell>
          <cell r="AG79">
            <v>-1357.3</v>
          </cell>
          <cell r="AM79" t="str">
            <v>OK</v>
          </cell>
          <cell r="AO79">
            <v>0.54518510802469489</v>
          </cell>
          <cell r="AP79">
            <v>0.54518510802469489</v>
          </cell>
          <cell r="AQ79">
            <v>0</v>
          </cell>
          <cell r="AR79">
            <v>0.54518510802469489</v>
          </cell>
          <cell r="AS79">
            <v>0</v>
          </cell>
          <cell r="AT79">
            <v>45978</v>
          </cell>
          <cell r="AU79">
            <v>0.54518510802469489</v>
          </cell>
          <cell r="AV79">
            <v>16.355553240740846</v>
          </cell>
          <cell r="AW79">
            <v>0.54518510802469489</v>
          </cell>
          <cell r="AY79">
            <v>21.463691782410024</v>
          </cell>
          <cell r="AZ79" t="str">
            <v>F18</v>
          </cell>
          <cell r="BA79">
            <v>0</v>
          </cell>
          <cell r="BB79" t="str">
            <v>NSST</v>
          </cell>
          <cell r="BC79" t="str">
            <v>F18</v>
          </cell>
        </row>
        <row r="80">
          <cell r="A80" t="str">
            <v>507E2</v>
          </cell>
          <cell r="B80" t="str">
            <v>3</v>
          </cell>
          <cell r="C80" t="str">
            <v>05</v>
          </cell>
          <cell r="D80">
            <v>16</v>
          </cell>
          <cell r="E80" t="str">
            <v>507E2</v>
          </cell>
          <cell r="F80">
            <v>5.65</v>
          </cell>
          <cell r="G80">
            <v>4.72</v>
          </cell>
          <cell r="H80">
            <v>4.72</v>
          </cell>
          <cell r="I80" t="str">
            <v>ST</v>
          </cell>
          <cell r="J80" t="str">
            <v>BK</v>
          </cell>
          <cell r="K80">
            <v>0</v>
          </cell>
          <cell r="L80">
            <v>45978</v>
          </cell>
          <cell r="M80">
            <v>45978</v>
          </cell>
          <cell r="N80">
            <v>16</v>
          </cell>
          <cell r="O80" t="str">
            <v>NS</v>
          </cell>
          <cell r="P80" t="str">
            <v/>
          </cell>
          <cell r="Q80">
            <v>45978</v>
          </cell>
          <cell r="R80" t="str">
            <v/>
          </cell>
          <cell r="S80" t="str">
            <v/>
          </cell>
          <cell r="T80" t="str">
            <v/>
          </cell>
          <cell r="U80">
            <v>11790</v>
          </cell>
          <cell r="V80">
            <v>11654</v>
          </cell>
          <cell r="W80">
            <v>45532</v>
          </cell>
          <cell r="X80" t="str">
            <v>Lokasi Produksi 507E2 ( pecahan 507E )</v>
          </cell>
          <cell r="Z80">
            <v>0</v>
          </cell>
          <cell r="AA80">
            <v>45978</v>
          </cell>
          <cell r="AB80">
            <v>90.597336111110053</v>
          </cell>
          <cell r="AC80">
            <v>3.0199112037036686</v>
          </cell>
          <cell r="AD80">
            <v>-20</v>
          </cell>
          <cell r="AE80">
            <v>0</v>
          </cell>
          <cell r="AF80">
            <v>0</v>
          </cell>
          <cell r="AG80">
            <v>-1371.6666666666667</v>
          </cell>
          <cell r="AM80" t="str">
            <v>OK</v>
          </cell>
          <cell r="AO80">
            <v>0.54518510802469489</v>
          </cell>
          <cell r="AP80">
            <v>0.54518510802469489</v>
          </cell>
          <cell r="AQ80">
            <v>0</v>
          </cell>
          <cell r="AR80">
            <v>0.54518510802469489</v>
          </cell>
          <cell r="AS80">
            <v>0</v>
          </cell>
          <cell r="AT80">
            <v>45978</v>
          </cell>
          <cell r="AU80">
            <v>0.54518510802469489</v>
          </cell>
          <cell r="AV80">
            <v>16.355553240740846</v>
          </cell>
          <cell r="AW80">
            <v>0.54518510802469489</v>
          </cell>
          <cell r="AY80">
            <v>21.463691782410024</v>
          </cell>
          <cell r="AZ80" t="str">
            <v>F18</v>
          </cell>
          <cell r="BA80">
            <v>0</v>
          </cell>
          <cell r="BB80" t="str">
            <v>NSST</v>
          </cell>
          <cell r="BC80" t="str">
            <v>F18</v>
          </cell>
        </row>
        <row r="81">
          <cell r="A81" t="str">
            <v>507F</v>
          </cell>
          <cell r="B81" t="str">
            <v>3</v>
          </cell>
          <cell r="C81" t="str">
            <v>05</v>
          </cell>
          <cell r="D81">
            <v>16</v>
          </cell>
          <cell r="E81" t="str">
            <v>507F</v>
          </cell>
          <cell r="F81">
            <v>17.149999999999999</v>
          </cell>
          <cell r="G81">
            <v>13.54</v>
          </cell>
          <cell r="H81">
            <v>13.54</v>
          </cell>
          <cell r="I81" t="str">
            <v>SC</v>
          </cell>
          <cell r="J81" t="str">
            <v>FC</v>
          </cell>
          <cell r="K81">
            <v>8</v>
          </cell>
          <cell r="L81">
            <v>45846</v>
          </cell>
          <cell r="M81">
            <v>45846</v>
          </cell>
          <cell r="N81">
            <v>148</v>
          </cell>
          <cell r="O81" t="str">
            <v>NS</v>
          </cell>
          <cell r="P81" t="str">
            <v/>
          </cell>
          <cell r="Q81">
            <v>46090</v>
          </cell>
          <cell r="R81" t="str">
            <v/>
          </cell>
          <cell r="S81" t="str">
            <v/>
          </cell>
          <cell r="T81" t="str">
            <v/>
          </cell>
          <cell r="U81">
            <v>70498</v>
          </cell>
          <cell r="V81">
            <v>70147</v>
          </cell>
          <cell r="W81">
            <v>43532</v>
          </cell>
          <cell r="X81" t="str">
            <v>Lokasi Produksi 507F</v>
          </cell>
          <cell r="Z81">
            <v>8</v>
          </cell>
          <cell r="AA81">
            <v>46090</v>
          </cell>
          <cell r="AB81">
            <v>5431.5973361111101</v>
          </cell>
          <cell r="AC81">
            <v>181.05324453703699</v>
          </cell>
          <cell r="AD81">
            <v>-20</v>
          </cell>
          <cell r="AE81">
            <v>0</v>
          </cell>
          <cell r="AF81">
            <v>0</v>
          </cell>
          <cell r="AG81">
            <v>-1193.6333333333334</v>
          </cell>
          <cell r="AM81" t="str">
            <v>OK</v>
          </cell>
          <cell r="AO81">
            <v>4.9451851080246945</v>
          </cell>
          <cell r="AP81">
            <v>-3.0548148919753055</v>
          </cell>
          <cell r="AQ81">
            <v>0</v>
          </cell>
          <cell r="AR81">
            <v>4.9451851080246945</v>
          </cell>
          <cell r="AS81">
            <v>0</v>
          </cell>
          <cell r="AT81">
            <v>46090</v>
          </cell>
          <cell r="AU81">
            <v>-3.0548148919753055</v>
          </cell>
          <cell r="AV81">
            <v>148.35555324074085</v>
          </cell>
          <cell r="AW81">
            <v>-3.0548148919753055</v>
          </cell>
          <cell r="AY81">
            <v>153.46369178241002</v>
          </cell>
          <cell r="AZ81" t="str">
            <v>F18</v>
          </cell>
          <cell r="BA81">
            <v>13.54</v>
          </cell>
          <cell r="BB81" t="str">
            <v>NSSC</v>
          </cell>
          <cell r="BC81" t="str">
            <v>F18</v>
          </cell>
        </row>
        <row r="82">
          <cell r="A82" t="str">
            <v>507F5</v>
          </cell>
          <cell r="B82" t="str">
            <v>3</v>
          </cell>
          <cell r="C82" t="str">
            <v>05</v>
          </cell>
          <cell r="D82">
            <v>16</v>
          </cell>
          <cell r="E82" t="str">
            <v>507F5</v>
          </cell>
          <cell r="F82">
            <v>0.77</v>
          </cell>
          <cell r="G82">
            <v>0.77</v>
          </cell>
          <cell r="H82">
            <v>0.77</v>
          </cell>
          <cell r="I82" t="str">
            <v>FC</v>
          </cell>
          <cell r="J82" t="str">
            <v>ST</v>
          </cell>
          <cell r="K82">
            <v>0</v>
          </cell>
          <cell r="L82">
            <v>45628</v>
          </cell>
          <cell r="M82">
            <v>45628</v>
          </cell>
          <cell r="N82">
            <v>366</v>
          </cell>
          <cell r="O82" t="str">
            <v>SK</v>
          </cell>
          <cell r="P82" t="str">
            <v/>
          </cell>
          <cell r="Q82">
            <v>45628</v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>Lokasi Produksi 507F5 ( singkong )</v>
          </cell>
          <cell r="Z82">
            <v>0</v>
          </cell>
          <cell r="AA82">
            <v>45628</v>
          </cell>
          <cell r="AB82">
            <v>217.59733611111005</v>
          </cell>
          <cell r="AC82">
            <v>7.253244537037002</v>
          </cell>
          <cell r="AD82">
            <v>-20</v>
          </cell>
          <cell r="AE82">
            <v>0</v>
          </cell>
          <cell r="AF82">
            <v>0</v>
          </cell>
          <cell r="AG82">
            <v>-1367.4333333333334</v>
          </cell>
          <cell r="AM82" t="str">
            <v>OK</v>
          </cell>
          <cell r="AO82">
            <v>12.211851774691361</v>
          </cell>
          <cell r="AP82">
            <v>12.211851774691361</v>
          </cell>
          <cell r="AQ82">
            <v>0</v>
          </cell>
          <cell r="AR82">
            <v>12.211851774691361</v>
          </cell>
          <cell r="AS82">
            <v>0</v>
          </cell>
          <cell r="AT82">
            <v>45628</v>
          </cell>
          <cell r="AU82">
            <v>12.211851774691361</v>
          </cell>
          <cell r="AV82">
            <v>366.35555324074085</v>
          </cell>
          <cell r="AW82">
            <v>12.211851774691361</v>
          </cell>
          <cell r="AY82">
            <v>371.46369178241002</v>
          </cell>
          <cell r="AZ82" t="str">
            <v>F18</v>
          </cell>
          <cell r="BA82">
            <v>0</v>
          </cell>
          <cell r="BB82" t="str">
            <v>SKFC</v>
          </cell>
          <cell r="BC82" t="str">
            <v>F18</v>
          </cell>
        </row>
        <row r="83">
          <cell r="A83" t="str">
            <v>507H3</v>
          </cell>
          <cell r="B83" t="str">
            <v>3</v>
          </cell>
          <cell r="C83" t="str">
            <v>05</v>
          </cell>
          <cell r="D83">
            <v>16</v>
          </cell>
          <cell r="E83" t="str">
            <v>507H3</v>
          </cell>
          <cell r="F83">
            <v>5.25</v>
          </cell>
          <cell r="G83">
            <v>4.42</v>
          </cell>
          <cell r="H83">
            <v>4.42</v>
          </cell>
          <cell r="I83" t="str">
            <v>FC</v>
          </cell>
          <cell r="J83" t="str">
            <v>ST</v>
          </cell>
          <cell r="K83">
            <v>14</v>
          </cell>
          <cell r="L83">
            <v>45625</v>
          </cell>
          <cell r="M83">
            <v>45625</v>
          </cell>
          <cell r="N83">
            <v>369</v>
          </cell>
          <cell r="O83" t="str">
            <v>NS</v>
          </cell>
          <cell r="P83" t="str">
            <v>NSF18CK3</v>
          </cell>
          <cell r="Q83">
            <v>46052</v>
          </cell>
          <cell r="R83" t="str">
            <v/>
          </cell>
          <cell r="S83" t="str">
            <v/>
          </cell>
          <cell r="T83" t="str">
            <v/>
          </cell>
          <cell r="U83">
            <v>63091</v>
          </cell>
          <cell r="V83">
            <v>65546</v>
          </cell>
          <cell r="W83">
            <v>45528</v>
          </cell>
          <cell r="X83" t="str">
            <v>Lokasi Produksi 507H3 ( pecahan 507H )</v>
          </cell>
          <cell r="Z83">
            <v>14</v>
          </cell>
          <cell r="AA83">
            <v>46052</v>
          </cell>
          <cell r="AB83">
            <v>393.59733611111005</v>
          </cell>
          <cell r="AC83">
            <v>13.119911203703669</v>
          </cell>
          <cell r="AD83">
            <v>-20</v>
          </cell>
          <cell r="AE83">
            <v>0</v>
          </cell>
          <cell r="AF83">
            <v>0</v>
          </cell>
          <cell r="AG83">
            <v>-1361.5666666666666</v>
          </cell>
          <cell r="AM83" t="str">
            <v>OK</v>
          </cell>
          <cell r="AO83">
            <v>12.311851774691361</v>
          </cell>
          <cell r="AP83">
            <v>-1.6881482253086393</v>
          </cell>
          <cell r="AQ83">
            <v>0</v>
          </cell>
          <cell r="AR83">
            <v>12.311851774691361</v>
          </cell>
          <cell r="AS83">
            <v>0</v>
          </cell>
          <cell r="AT83">
            <v>46052</v>
          </cell>
          <cell r="AU83">
            <v>-1.6881482253086393</v>
          </cell>
          <cell r="AV83">
            <v>369.35555324074085</v>
          </cell>
          <cell r="AW83">
            <v>-1.6881482253086393</v>
          </cell>
          <cell r="AY83">
            <v>374.46369178241002</v>
          </cell>
          <cell r="AZ83" t="str">
            <v>F18</v>
          </cell>
          <cell r="BA83">
            <v>4.42</v>
          </cell>
          <cell r="BB83" t="str">
            <v>NSFC</v>
          </cell>
          <cell r="BC83" t="str">
            <v>F18CK</v>
          </cell>
        </row>
        <row r="84">
          <cell r="A84" t="str">
            <v>507H4</v>
          </cell>
          <cell r="B84" t="str">
            <v>3</v>
          </cell>
          <cell r="C84" t="str">
            <v>05</v>
          </cell>
          <cell r="D84">
            <v>16</v>
          </cell>
          <cell r="E84" t="str">
            <v>507H4</v>
          </cell>
          <cell r="F84">
            <v>5.18</v>
          </cell>
          <cell r="G84">
            <v>4.38</v>
          </cell>
          <cell r="H84">
            <v>4.38</v>
          </cell>
          <cell r="I84" t="str">
            <v>FC</v>
          </cell>
          <cell r="J84" t="str">
            <v>ST</v>
          </cell>
          <cell r="K84">
            <v>14</v>
          </cell>
          <cell r="L84">
            <v>45635</v>
          </cell>
          <cell r="M84">
            <v>45635</v>
          </cell>
          <cell r="N84">
            <v>359</v>
          </cell>
          <cell r="O84" t="str">
            <v>NS</v>
          </cell>
          <cell r="P84" t="str">
            <v>NSF18CK3</v>
          </cell>
          <cell r="Q84">
            <v>46062</v>
          </cell>
          <cell r="R84" t="str">
            <v/>
          </cell>
          <cell r="S84" t="str">
            <v/>
          </cell>
          <cell r="T84" t="str">
            <v/>
          </cell>
          <cell r="U84">
            <v>62369</v>
          </cell>
          <cell r="V84">
            <v>67831</v>
          </cell>
          <cell r="W84">
            <v>45553</v>
          </cell>
          <cell r="X84" t="str">
            <v>Lokasi Produksi 507H4 ( pecahan 507H )</v>
          </cell>
          <cell r="Z84">
            <v>14</v>
          </cell>
          <cell r="AA84">
            <v>46062</v>
          </cell>
          <cell r="AB84">
            <v>210.59733611111005</v>
          </cell>
          <cell r="AC84">
            <v>7.0199112037036686</v>
          </cell>
          <cell r="AD84">
            <v>-20</v>
          </cell>
          <cell r="AE84">
            <v>0</v>
          </cell>
          <cell r="AF84">
            <v>0</v>
          </cell>
          <cell r="AG84">
            <v>-1367.6666666666667</v>
          </cell>
          <cell r="AM84" t="str">
            <v>OK</v>
          </cell>
          <cell r="AO84">
            <v>11.978518441358029</v>
          </cell>
          <cell r="AP84">
            <v>-2.0214815586419714</v>
          </cell>
          <cell r="AQ84">
            <v>0</v>
          </cell>
          <cell r="AR84">
            <v>11.978518441358029</v>
          </cell>
          <cell r="AS84">
            <v>0</v>
          </cell>
          <cell r="AT84">
            <v>46062</v>
          </cell>
          <cell r="AU84">
            <v>-2.0214815586419714</v>
          </cell>
          <cell r="AV84">
            <v>359.35555324074085</v>
          </cell>
          <cell r="AW84">
            <v>-2.0214815586419714</v>
          </cell>
          <cell r="AY84">
            <v>364.46369178241002</v>
          </cell>
          <cell r="AZ84" t="str">
            <v>F18</v>
          </cell>
          <cell r="BA84">
            <v>4.38</v>
          </cell>
          <cell r="BB84" t="str">
            <v>NSFC</v>
          </cell>
          <cell r="BC84" t="str">
            <v>F18CK</v>
          </cell>
        </row>
        <row r="85">
          <cell r="A85" t="str">
            <v>507H6</v>
          </cell>
          <cell r="B85" t="str">
            <v>3</v>
          </cell>
          <cell r="C85" t="str">
            <v>05</v>
          </cell>
          <cell r="D85">
            <v>16</v>
          </cell>
          <cell r="E85" t="str">
            <v>507H6</v>
          </cell>
          <cell r="F85">
            <v>5.45</v>
          </cell>
          <cell r="G85">
            <v>4.58</v>
          </cell>
          <cell r="H85">
            <v>4.58</v>
          </cell>
          <cell r="I85" t="str">
            <v>FC</v>
          </cell>
          <cell r="J85" t="str">
            <v>ST</v>
          </cell>
          <cell r="K85">
            <v>14</v>
          </cell>
          <cell r="L85">
            <v>45621</v>
          </cell>
          <cell r="M85">
            <v>45621</v>
          </cell>
          <cell r="N85">
            <v>373</v>
          </cell>
          <cell r="O85" t="str">
            <v>NS</v>
          </cell>
          <cell r="P85" t="str">
            <v>NSF18CK3</v>
          </cell>
          <cell r="Q85">
            <v>46048</v>
          </cell>
          <cell r="R85" t="str">
            <v/>
          </cell>
          <cell r="S85" t="str">
            <v/>
          </cell>
          <cell r="T85" t="str">
            <v/>
          </cell>
          <cell r="U85">
            <v>60310</v>
          </cell>
          <cell r="V85">
            <v>66963</v>
          </cell>
          <cell r="W85">
            <v>45593</v>
          </cell>
          <cell r="X85" t="str">
            <v>Lokasi Produksi 507H6 ( pecahan 507H )</v>
          </cell>
          <cell r="Z85">
            <v>14</v>
          </cell>
          <cell r="AA85">
            <v>46048</v>
          </cell>
          <cell r="AB85">
            <v>211.59733611111005</v>
          </cell>
          <cell r="AC85">
            <v>7.0532445370370018</v>
          </cell>
          <cell r="AD85">
            <v>-20</v>
          </cell>
          <cell r="AE85">
            <v>0</v>
          </cell>
          <cell r="AF85">
            <v>0</v>
          </cell>
          <cell r="AG85">
            <v>-1367.6333333333334</v>
          </cell>
          <cell r="AK85">
            <v>40474</v>
          </cell>
          <cell r="AM85" t="str">
            <v>OK</v>
          </cell>
          <cell r="AO85">
            <v>12.445185108024695</v>
          </cell>
          <cell r="AP85">
            <v>-1.5548148919753046</v>
          </cell>
          <cell r="AQ85">
            <v>0</v>
          </cell>
          <cell r="AR85">
            <v>12.445185108024695</v>
          </cell>
          <cell r="AS85">
            <v>0</v>
          </cell>
          <cell r="AT85">
            <v>46048</v>
          </cell>
          <cell r="AU85">
            <v>-1.5548148919753046</v>
          </cell>
          <cell r="AV85">
            <v>373.35555324074085</v>
          </cell>
          <cell r="AW85">
            <v>-1.5548148919753046</v>
          </cell>
          <cell r="AY85">
            <v>378.46369178241002</v>
          </cell>
          <cell r="AZ85" t="str">
            <v>F18</v>
          </cell>
          <cell r="BA85">
            <v>4.58</v>
          </cell>
          <cell r="BB85" t="str">
            <v>NSFC</v>
          </cell>
          <cell r="BC85" t="str">
            <v>F18CK</v>
          </cell>
        </row>
        <row r="86">
          <cell r="A86" t="str">
            <v>507I</v>
          </cell>
          <cell r="B86" t="str">
            <v>3</v>
          </cell>
          <cell r="C86" t="str">
            <v>05</v>
          </cell>
          <cell r="D86">
            <v>16</v>
          </cell>
          <cell r="E86" t="str">
            <v>507I</v>
          </cell>
          <cell r="F86">
            <v>10.77</v>
          </cell>
          <cell r="G86">
            <v>8.57</v>
          </cell>
          <cell r="H86">
            <v>8.57</v>
          </cell>
          <cell r="I86" t="str">
            <v>SC</v>
          </cell>
          <cell r="J86" t="str">
            <v>BB</v>
          </cell>
          <cell r="K86">
            <v>8</v>
          </cell>
          <cell r="L86">
            <v>45894</v>
          </cell>
          <cell r="M86">
            <v>45894</v>
          </cell>
          <cell r="N86">
            <v>100</v>
          </cell>
          <cell r="O86" t="str">
            <v>NS</v>
          </cell>
          <cell r="P86" t="str">
            <v/>
          </cell>
          <cell r="Q86">
            <v>46138</v>
          </cell>
          <cell r="R86" t="str">
            <v/>
          </cell>
          <cell r="S86" t="str">
            <v/>
          </cell>
          <cell r="T86" t="str">
            <v/>
          </cell>
          <cell r="U86">
            <v>66656</v>
          </cell>
          <cell r="V86">
            <v>65936</v>
          </cell>
          <cell r="W86" t="str">
            <v/>
          </cell>
          <cell r="X86" t="str">
            <v>Lokasi Produksi 507I</v>
          </cell>
          <cell r="Z86">
            <v>8</v>
          </cell>
          <cell r="AA86">
            <v>46138</v>
          </cell>
          <cell r="AB86">
            <v>600.59733611111005</v>
          </cell>
          <cell r="AC86">
            <v>20.019911203703668</v>
          </cell>
          <cell r="AD86">
            <v>8.0199112037036677</v>
          </cell>
          <cell r="AE86">
            <v>4.43</v>
          </cell>
          <cell r="AF86">
            <v>0</v>
          </cell>
          <cell r="AG86">
            <v>-1354.6666666666667</v>
          </cell>
          <cell r="AM86" t="str">
            <v>OK</v>
          </cell>
          <cell r="AO86">
            <v>3.3451851080246948</v>
          </cell>
          <cell r="AP86">
            <v>-4.6548148919753052</v>
          </cell>
          <cell r="AQ86">
            <v>0</v>
          </cell>
          <cell r="AR86">
            <v>3.3451851080246948</v>
          </cell>
          <cell r="AS86">
            <v>0</v>
          </cell>
          <cell r="AT86">
            <v>46138</v>
          </cell>
          <cell r="AU86">
            <v>-4.6548148919753052</v>
          </cell>
          <cell r="AV86">
            <v>100.35555324074085</v>
          </cell>
          <cell r="AW86">
            <v>-4.6548148919753052</v>
          </cell>
          <cell r="AY86">
            <v>105.46369178241002</v>
          </cell>
          <cell r="AZ86" t="str">
            <v>F18</v>
          </cell>
          <cell r="BA86">
            <v>8.57</v>
          </cell>
          <cell r="BB86" t="str">
            <v>NSSC</v>
          </cell>
          <cell r="BC86" t="str">
            <v>F18</v>
          </cell>
        </row>
        <row r="87">
          <cell r="A87" t="str">
            <v>507SS</v>
          </cell>
          <cell r="B87" t="str">
            <v>3</v>
          </cell>
          <cell r="C87" t="str">
            <v>05</v>
          </cell>
          <cell r="D87">
            <v>16</v>
          </cell>
          <cell r="E87" t="str">
            <v>507SS</v>
          </cell>
          <cell r="F87">
            <v>2</v>
          </cell>
          <cell r="G87">
            <v>2</v>
          </cell>
          <cell r="H87">
            <v>2</v>
          </cell>
          <cell r="I87" t="str">
            <v>FC</v>
          </cell>
          <cell r="J87" t="str">
            <v>ST</v>
          </cell>
          <cell r="K87">
            <v>0</v>
          </cell>
          <cell r="L87">
            <v>45927</v>
          </cell>
          <cell r="M87">
            <v>45927</v>
          </cell>
          <cell r="N87">
            <v>67</v>
          </cell>
          <cell r="O87" t="str">
            <v>SK</v>
          </cell>
          <cell r="P87" t="str">
            <v/>
          </cell>
          <cell r="Q87">
            <v>45927</v>
          </cell>
          <cell r="R87" t="str">
            <v/>
          </cell>
          <cell r="S87" t="str">
            <v/>
          </cell>
          <cell r="T87" t="str">
            <v/>
          </cell>
          <cell r="U87">
            <v>25766</v>
          </cell>
          <cell r="V87">
            <v>25766</v>
          </cell>
          <cell r="W87" t="str">
            <v/>
          </cell>
          <cell r="X87" t="str">
            <v>Lokasi Produksi 507SS ( singkong )</v>
          </cell>
          <cell r="Z87">
            <v>0</v>
          </cell>
          <cell r="AA87">
            <v>45927</v>
          </cell>
          <cell r="AB87">
            <v>679.59733611111005</v>
          </cell>
          <cell r="AC87">
            <v>22.653244537037001</v>
          </cell>
          <cell r="AD87">
            <v>6.6532445370370006</v>
          </cell>
          <cell r="AE87">
            <v>14.22</v>
          </cell>
          <cell r="AF87">
            <v>0</v>
          </cell>
          <cell r="AG87">
            <v>-1352.0333333333333</v>
          </cell>
          <cell r="AM87" t="str">
            <v>OK</v>
          </cell>
          <cell r="AO87">
            <v>2.2451851080246947</v>
          </cell>
          <cell r="AP87">
            <v>2.2451851080246947</v>
          </cell>
          <cell r="AQ87">
            <v>0</v>
          </cell>
          <cell r="AR87">
            <v>2.2451851080246947</v>
          </cell>
          <cell r="AS87">
            <v>0</v>
          </cell>
          <cell r="AT87">
            <v>45927</v>
          </cell>
          <cell r="AU87">
            <v>2.2451851080246947</v>
          </cell>
          <cell r="AV87">
            <v>67.355553240740846</v>
          </cell>
          <cell r="AW87">
            <v>2.2451851080246947</v>
          </cell>
          <cell r="AY87">
            <v>72.463691782410024</v>
          </cell>
          <cell r="AZ87" t="str">
            <v>F18</v>
          </cell>
          <cell r="BA87">
            <v>0</v>
          </cell>
          <cell r="BB87" t="str">
            <v>SKFC</v>
          </cell>
          <cell r="BC87" t="str">
            <v>F18</v>
          </cell>
        </row>
        <row r="88">
          <cell r="A88" t="str">
            <v>507SS1</v>
          </cell>
          <cell r="B88" t="str">
            <v>3</v>
          </cell>
          <cell r="C88" t="str">
            <v>05</v>
          </cell>
          <cell r="D88">
            <v>16</v>
          </cell>
          <cell r="E88" t="str">
            <v>507SS1</v>
          </cell>
          <cell r="F88">
            <v>2.8</v>
          </cell>
          <cell r="G88">
            <v>1.1299999999999999</v>
          </cell>
          <cell r="H88">
            <v>1.1299999999999999</v>
          </cell>
          <cell r="I88" t="str">
            <v>FC</v>
          </cell>
          <cell r="J88" t="str">
            <v>ST</v>
          </cell>
          <cell r="K88">
            <v>0</v>
          </cell>
          <cell r="L88">
            <v>45602</v>
          </cell>
          <cell r="M88">
            <v>45602</v>
          </cell>
          <cell r="N88">
            <v>392</v>
          </cell>
          <cell r="O88" t="str">
            <v>SK</v>
          </cell>
          <cell r="P88" t="str">
            <v/>
          </cell>
          <cell r="Q88">
            <v>45602</v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>
            <v>45967</v>
          </cell>
          <cell r="X88" t="str">
            <v>Lokasi Produksi 507SS1 ( singkong )</v>
          </cell>
          <cell r="Z88">
            <v>0</v>
          </cell>
          <cell r="AA88">
            <v>45602</v>
          </cell>
          <cell r="AB88">
            <v>579.59733611111005</v>
          </cell>
          <cell r="AC88">
            <v>19.319911203703668</v>
          </cell>
          <cell r="AD88">
            <v>5.3199112037036684</v>
          </cell>
          <cell r="AE88">
            <v>23.21</v>
          </cell>
          <cell r="AF88">
            <v>0</v>
          </cell>
          <cell r="AG88">
            <v>-1355.3666666666666</v>
          </cell>
          <cell r="AM88" t="str">
            <v>OK</v>
          </cell>
          <cell r="AO88">
            <v>13.078518441358028</v>
          </cell>
          <cell r="AP88">
            <v>13.078518441358028</v>
          </cell>
          <cell r="AQ88">
            <v>0</v>
          </cell>
          <cell r="AR88">
            <v>13.078518441358028</v>
          </cell>
          <cell r="AS88">
            <v>0</v>
          </cell>
          <cell r="AT88">
            <v>45602</v>
          </cell>
          <cell r="AU88">
            <v>13.078518441358028</v>
          </cell>
          <cell r="AV88">
            <v>392.35555324074085</v>
          </cell>
          <cell r="AW88">
            <v>13.078518441358028</v>
          </cell>
          <cell r="AY88">
            <v>397.46369178241002</v>
          </cell>
          <cell r="AZ88" t="str">
            <v>F18</v>
          </cell>
          <cell r="BA88">
            <v>0</v>
          </cell>
          <cell r="BB88" t="str">
            <v>SKFC</v>
          </cell>
          <cell r="BC88" t="str">
            <v>F18</v>
          </cell>
        </row>
        <row r="89">
          <cell r="A89" t="str">
            <v>507SS2</v>
          </cell>
          <cell r="B89" t="str">
            <v>3</v>
          </cell>
          <cell r="C89" t="str">
            <v>05</v>
          </cell>
          <cell r="D89">
            <v>16</v>
          </cell>
          <cell r="E89" t="str">
            <v>507SS2</v>
          </cell>
          <cell r="F89">
            <v>0.17</v>
          </cell>
          <cell r="G89">
            <v>0.17</v>
          </cell>
          <cell r="H89">
            <v>0.17</v>
          </cell>
          <cell r="I89" t="str">
            <v>FC</v>
          </cell>
          <cell r="J89" t="str">
            <v>ST</v>
          </cell>
          <cell r="K89">
            <v>0</v>
          </cell>
          <cell r="L89">
            <v>45600</v>
          </cell>
          <cell r="M89">
            <v>45600</v>
          </cell>
          <cell r="N89">
            <v>394</v>
          </cell>
          <cell r="O89" t="str">
            <v>SK</v>
          </cell>
          <cell r="P89" t="str">
            <v/>
          </cell>
          <cell r="Q89">
            <v>45600</v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>Lokasi Produksi 507SS2 ( singkong )</v>
          </cell>
          <cell r="Z89">
            <v>0</v>
          </cell>
          <cell r="AA89">
            <v>45600</v>
          </cell>
          <cell r="AB89">
            <v>495.59733611111005</v>
          </cell>
          <cell r="AC89">
            <v>16.519911203703668</v>
          </cell>
          <cell r="AD89">
            <v>2.5199112037036677</v>
          </cell>
          <cell r="AE89">
            <v>6.82</v>
          </cell>
          <cell r="AF89">
            <v>0</v>
          </cell>
          <cell r="AG89">
            <v>-1358.1666666666667</v>
          </cell>
          <cell r="AM89" t="str">
            <v>OK</v>
          </cell>
          <cell r="AO89">
            <v>13.145185108024695</v>
          </cell>
          <cell r="AP89">
            <v>13.145185108024695</v>
          </cell>
          <cell r="AQ89">
            <v>0</v>
          </cell>
          <cell r="AR89">
            <v>13.145185108024695</v>
          </cell>
          <cell r="AS89">
            <v>0</v>
          </cell>
          <cell r="AT89">
            <v>45600</v>
          </cell>
          <cell r="AU89">
            <v>13.145185108024695</v>
          </cell>
          <cell r="AV89">
            <v>394.35555324074085</v>
          </cell>
          <cell r="AW89">
            <v>13.145185108024695</v>
          </cell>
          <cell r="AY89">
            <v>399.46369178241002</v>
          </cell>
          <cell r="AZ89" t="str">
            <v>F18</v>
          </cell>
          <cell r="BA89">
            <v>0</v>
          </cell>
          <cell r="BB89" t="str">
            <v>SKFC</v>
          </cell>
          <cell r="BC89" t="str">
            <v>F18</v>
          </cell>
        </row>
        <row r="90">
          <cell r="A90" t="str">
            <v>508A1</v>
          </cell>
          <cell r="B90" t="str">
            <v>3</v>
          </cell>
          <cell r="C90" t="str">
            <v>05</v>
          </cell>
          <cell r="D90">
            <v>16</v>
          </cell>
          <cell r="E90" t="str">
            <v>508A1</v>
          </cell>
          <cell r="F90">
            <v>5.66</v>
          </cell>
          <cell r="G90">
            <v>4.0999999999999996</v>
          </cell>
          <cell r="H90">
            <v>4.0999999999999996</v>
          </cell>
          <cell r="I90" t="str">
            <v>Y2</v>
          </cell>
          <cell r="J90" t="str">
            <v>FC</v>
          </cell>
          <cell r="K90">
            <v>0</v>
          </cell>
          <cell r="L90">
            <v>45705</v>
          </cell>
          <cell r="M90">
            <v>45705</v>
          </cell>
          <cell r="N90">
            <v>289</v>
          </cell>
          <cell r="O90" t="str">
            <v>PS</v>
          </cell>
          <cell r="P90" t="str">
            <v/>
          </cell>
          <cell r="Q90">
            <v>45705</v>
          </cell>
          <cell r="R90" t="str">
            <v/>
          </cell>
          <cell r="S90" t="str">
            <v/>
          </cell>
          <cell r="T90" t="str">
            <v/>
          </cell>
          <cell r="U90">
            <v>11132</v>
          </cell>
          <cell r="V90" t="str">
            <v/>
          </cell>
          <cell r="W90">
            <v>45705</v>
          </cell>
          <cell r="X90" t="str">
            <v>Lokasi Produksi 508A1 ( pecahan 508A )</v>
          </cell>
          <cell r="Z90">
            <v>0</v>
          </cell>
          <cell r="AA90">
            <v>45705</v>
          </cell>
          <cell r="AB90">
            <v>363.59733611111005</v>
          </cell>
          <cell r="AC90">
            <v>12.119911203703669</v>
          </cell>
          <cell r="AD90">
            <v>-1.8800887962963309</v>
          </cell>
          <cell r="AE90">
            <v>5.37</v>
          </cell>
          <cell r="AF90">
            <v>0</v>
          </cell>
          <cell r="AG90">
            <v>-1362.5666666666666</v>
          </cell>
          <cell r="AM90" t="str">
            <v>OK</v>
          </cell>
          <cell r="AO90">
            <v>9.6451851080246946</v>
          </cell>
          <cell r="AP90">
            <v>9.6451851080246946</v>
          </cell>
          <cell r="AQ90">
            <v>0</v>
          </cell>
          <cell r="AR90">
            <v>9.6451851080246946</v>
          </cell>
          <cell r="AS90">
            <v>0</v>
          </cell>
          <cell r="AT90">
            <v>45705</v>
          </cell>
          <cell r="AU90">
            <v>9.6451851080246946</v>
          </cell>
          <cell r="AV90">
            <v>289.35555324074085</v>
          </cell>
          <cell r="AW90">
            <v>9.6451851080246946</v>
          </cell>
          <cell r="AY90">
            <v>294.46369178241002</v>
          </cell>
          <cell r="AZ90" t="str">
            <v>F18</v>
          </cell>
          <cell r="BA90">
            <v>0</v>
          </cell>
          <cell r="BB90" t="str">
            <v>PSY2</v>
          </cell>
          <cell r="BC90" t="str">
            <v>F18</v>
          </cell>
        </row>
        <row r="91">
          <cell r="A91" t="str">
            <v>508A2A</v>
          </cell>
          <cell r="B91" t="str">
            <v>3</v>
          </cell>
          <cell r="C91" t="str">
            <v>05</v>
          </cell>
          <cell r="D91">
            <v>16</v>
          </cell>
          <cell r="E91" t="str">
            <v>508A2A</v>
          </cell>
          <cell r="F91">
            <v>4.59</v>
          </cell>
          <cell r="G91">
            <v>3.28</v>
          </cell>
          <cell r="H91">
            <v>3.28</v>
          </cell>
          <cell r="I91" t="str">
            <v>Y2</v>
          </cell>
          <cell r="J91" t="str">
            <v>FC</v>
          </cell>
          <cell r="K91">
            <v>0</v>
          </cell>
          <cell r="L91">
            <v>45740</v>
          </cell>
          <cell r="M91">
            <v>45740</v>
          </cell>
          <cell r="N91">
            <v>254</v>
          </cell>
          <cell r="O91" t="str">
            <v>PS</v>
          </cell>
          <cell r="P91" t="str">
            <v/>
          </cell>
          <cell r="Q91">
            <v>45740</v>
          </cell>
          <cell r="R91" t="str">
            <v/>
          </cell>
          <cell r="S91" t="str">
            <v/>
          </cell>
          <cell r="T91" t="str">
            <v/>
          </cell>
          <cell r="U91">
            <v>8988</v>
          </cell>
          <cell r="V91" t="str">
            <v/>
          </cell>
          <cell r="W91">
            <v>45740</v>
          </cell>
          <cell r="X91" t="str">
            <v>Lokasi Produksi 508A2A ( pecahan 508A2 )</v>
          </cell>
          <cell r="Z91">
            <v>0</v>
          </cell>
          <cell r="AA91">
            <v>45740</v>
          </cell>
          <cell r="AB91">
            <v>277.59733611111005</v>
          </cell>
          <cell r="AC91">
            <v>9.253244537037002</v>
          </cell>
          <cell r="AD91">
            <v>1.253244537037002</v>
          </cell>
          <cell r="AE91">
            <v>11.96</v>
          </cell>
          <cell r="AF91">
            <v>0</v>
          </cell>
          <cell r="AG91">
            <v>-1365.4333333333334</v>
          </cell>
          <cell r="AM91" t="str">
            <v>OK</v>
          </cell>
          <cell r="AO91">
            <v>8.4785184413580286</v>
          </cell>
          <cell r="AP91">
            <v>8.4785184413580286</v>
          </cell>
          <cell r="AQ91">
            <v>0</v>
          </cell>
          <cell r="AR91">
            <v>8.4785184413580286</v>
          </cell>
          <cell r="AS91">
            <v>0</v>
          </cell>
          <cell r="AT91">
            <v>45740</v>
          </cell>
          <cell r="AU91">
            <v>8.4785184413580286</v>
          </cell>
          <cell r="AV91">
            <v>254.35555324074085</v>
          </cell>
          <cell r="AW91">
            <v>8.4785184413580286</v>
          </cell>
          <cell r="AY91">
            <v>259.46369178241002</v>
          </cell>
          <cell r="AZ91" t="str">
            <v>F18</v>
          </cell>
          <cell r="BA91">
            <v>0</v>
          </cell>
          <cell r="BB91" t="str">
            <v>PSY2</v>
          </cell>
          <cell r="BC91" t="str">
            <v>F18</v>
          </cell>
        </row>
        <row r="92">
          <cell r="A92" t="str">
            <v>508A2B</v>
          </cell>
          <cell r="B92" t="str">
            <v>3</v>
          </cell>
          <cell r="C92" t="str">
            <v>05</v>
          </cell>
          <cell r="D92">
            <v>16</v>
          </cell>
          <cell r="E92" t="str">
            <v>508A2B</v>
          </cell>
          <cell r="F92">
            <v>7.08</v>
          </cell>
          <cell r="G92">
            <v>5.4</v>
          </cell>
          <cell r="H92">
            <v>5.4</v>
          </cell>
          <cell r="I92" t="str">
            <v>Y2</v>
          </cell>
          <cell r="J92" t="str">
            <v>FC</v>
          </cell>
          <cell r="K92">
            <v>0</v>
          </cell>
          <cell r="L92">
            <v>45740</v>
          </cell>
          <cell r="M92">
            <v>45740</v>
          </cell>
          <cell r="N92">
            <v>254</v>
          </cell>
          <cell r="O92" t="str">
            <v>PS</v>
          </cell>
          <cell r="P92" t="str">
            <v/>
          </cell>
          <cell r="Q92">
            <v>45740</v>
          </cell>
          <cell r="R92" t="str">
            <v/>
          </cell>
          <cell r="S92" t="str">
            <v/>
          </cell>
          <cell r="T92" t="str">
            <v/>
          </cell>
          <cell r="U92">
            <v>14520</v>
          </cell>
          <cell r="V92" t="str">
            <v/>
          </cell>
          <cell r="W92">
            <v>45740</v>
          </cell>
          <cell r="X92" t="str">
            <v>Lokasi Produksi 508A2B ( pecahan 508A2 )</v>
          </cell>
          <cell r="Z92">
            <v>0</v>
          </cell>
          <cell r="AA92">
            <v>45740</v>
          </cell>
          <cell r="AB92">
            <v>5431.5973361111101</v>
          </cell>
          <cell r="AC92">
            <v>181.05324453703699</v>
          </cell>
          <cell r="AD92">
            <v>-20</v>
          </cell>
          <cell r="AE92">
            <v>0</v>
          </cell>
          <cell r="AF92">
            <v>0</v>
          </cell>
          <cell r="AG92">
            <v>-1193.6333333333334</v>
          </cell>
          <cell r="AM92" t="str">
            <v>OK</v>
          </cell>
          <cell r="AO92">
            <v>8.4785184413580286</v>
          </cell>
          <cell r="AP92">
            <v>8.4785184413580286</v>
          </cell>
          <cell r="AQ92">
            <v>0</v>
          </cell>
          <cell r="AR92">
            <v>8.4785184413580286</v>
          </cell>
          <cell r="AS92">
            <v>0</v>
          </cell>
          <cell r="AT92">
            <v>45740</v>
          </cell>
          <cell r="AU92">
            <v>8.4785184413580286</v>
          </cell>
          <cell r="AV92">
            <v>254.35555324074085</v>
          </cell>
          <cell r="AW92">
            <v>8.4785184413580286</v>
          </cell>
          <cell r="AY92">
            <v>259.46369178241002</v>
          </cell>
          <cell r="AZ92" t="str">
            <v>F18</v>
          </cell>
          <cell r="BA92">
            <v>0</v>
          </cell>
          <cell r="BB92" t="str">
            <v>PSY2</v>
          </cell>
          <cell r="BC92" t="str">
            <v>F18</v>
          </cell>
        </row>
        <row r="93">
          <cell r="A93" t="str">
            <v>508A3</v>
          </cell>
          <cell r="B93" t="str">
            <v>3</v>
          </cell>
          <cell r="C93" t="str">
            <v>05</v>
          </cell>
          <cell r="D93">
            <v>16</v>
          </cell>
          <cell r="E93" t="str">
            <v>508A3</v>
          </cell>
          <cell r="F93">
            <v>8.7799999999999994</v>
          </cell>
          <cell r="G93">
            <v>6.34</v>
          </cell>
          <cell r="H93">
            <v>6.34</v>
          </cell>
          <cell r="I93" t="str">
            <v>Y2</v>
          </cell>
          <cell r="J93" t="str">
            <v>Y1</v>
          </cell>
          <cell r="K93">
            <v>0</v>
          </cell>
          <cell r="L93">
            <v>45754</v>
          </cell>
          <cell r="M93">
            <v>45754</v>
          </cell>
          <cell r="N93">
            <v>240</v>
          </cell>
          <cell r="O93" t="str">
            <v>PS</v>
          </cell>
          <cell r="P93" t="str">
            <v/>
          </cell>
          <cell r="Q93">
            <v>45754</v>
          </cell>
          <cell r="R93" t="str">
            <v/>
          </cell>
          <cell r="S93" t="str">
            <v/>
          </cell>
          <cell r="T93" t="str">
            <v/>
          </cell>
          <cell r="U93">
            <v>17082</v>
          </cell>
          <cell r="V93">
            <v>71607</v>
          </cell>
          <cell r="W93">
            <v>45754</v>
          </cell>
          <cell r="X93" t="str">
            <v>Lokasi Produksi 508A3 ( pecahan 508A )</v>
          </cell>
          <cell r="Z93">
            <v>0</v>
          </cell>
          <cell r="AA93">
            <v>45754</v>
          </cell>
          <cell r="AB93">
            <v>1426.5973361111101</v>
          </cell>
          <cell r="AC93">
            <v>47.553244537037003</v>
          </cell>
          <cell r="AD93">
            <v>-20</v>
          </cell>
          <cell r="AE93">
            <v>0</v>
          </cell>
          <cell r="AF93">
            <v>0</v>
          </cell>
          <cell r="AG93">
            <v>-1327.1333333333334</v>
          </cell>
          <cell r="AM93" t="str">
            <v>OK</v>
          </cell>
          <cell r="AO93">
            <v>8.0118517746913618</v>
          </cell>
          <cell r="AP93">
            <v>8.0118517746913618</v>
          </cell>
          <cell r="AQ93">
            <v>0</v>
          </cell>
          <cell r="AR93">
            <v>8.0118517746913618</v>
          </cell>
          <cell r="AS93">
            <v>0</v>
          </cell>
          <cell r="AT93">
            <v>45754</v>
          </cell>
          <cell r="AU93">
            <v>8.0118517746913618</v>
          </cell>
          <cell r="AV93">
            <v>240.35555324074085</v>
          </cell>
          <cell r="AW93">
            <v>8.0118517746913618</v>
          </cell>
          <cell r="AY93">
            <v>245.46369178241002</v>
          </cell>
          <cell r="AZ93" t="str">
            <v>F18</v>
          </cell>
          <cell r="BA93">
            <v>0</v>
          </cell>
          <cell r="BB93" t="str">
            <v>PSY2</v>
          </cell>
          <cell r="BC93" t="str">
            <v>F18</v>
          </cell>
        </row>
        <row r="94">
          <cell r="A94" t="str">
            <v>508B4A</v>
          </cell>
          <cell r="B94" t="str">
            <v>3</v>
          </cell>
          <cell r="C94" t="str">
            <v>05</v>
          </cell>
          <cell r="D94">
            <v>16</v>
          </cell>
          <cell r="E94" t="str">
            <v>508B4A</v>
          </cell>
          <cell r="F94">
            <v>5.63</v>
          </cell>
          <cell r="G94">
            <v>4.17</v>
          </cell>
          <cell r="H94">
            <v>4.17</v>
          </cell>
          <cell r="I94" t="str">
            <v>Y2</v>
          </cell>
          <cell r="J94" t="str">
            <v>FC</v>
          </cell>
          <cell r="K94">
            <v>0</v>
          </cell>
          <cell r="L94">
            <v>45618</v>
          </cell>
          <cell r="M94">
            <v>45618</v>
          </cell>
          <cell r="N94">
            <v>376</v>
          </cell>
          <cell r="O94" t="str">
            <v>PS</v>
          </cell>
          <cell r="P94" t="str">
            <v/>
          </cell>
          <cell r="Q94">
            <v>45618</v>
          </cell>
          <cell r="R94" t="str">
            <v/>
          </cell>
          <cell r="S94" t="str">
            <v/>
          </cell>
          <cell r="T94" t="str">
            <v/>
          </cell>
          <cell r="U94">
            <v>11259</v>
          </cell>
          <cell r="V94" t="str">
            <v/>
          </cell>
          <cell r="W94">
            <v>45618</v>
          </cell>
          <cell r="X94" t="str">
            <v>Lokasi Produksi 508B4A ( pecahan 508B4 )</v>
          </cell>
          <cell r="Z94">
            <v>0</v>
          </cell>
          <cell r="AA94">
            <v>45618</v>
          </cell>
          <cell r="AB94">
            <v>1426.5973361111101</v>
          </cell>
          <cell r="AC94">
            <v>47.553244537037003</v>
          </cell>
          <cell r="AD94">
            <v>-20</v>
          </cell>
          <cell r="AE94">
            <v>0</v>
          </cell>
          <cell r="AF94">
            <v>0</v>
          </cell>
          <cell r="AG94">
            <v>-1327.1333333333334</v>
          </cell>
          <cell r="AK94">
            <v>40328</v>
          </cell>
          <cell r="AM94" t="str">
            <v>OK</v>
          </cell>
          <cell r="AO94">
            <v>12.545185108024695</v>
          </cell>
          <cell r="AP94">
            <v>12.545185108024695</v>
          </cell>
          <cell r="AQ94">
            <v>0</v>
          </cell>
          <cell r="AR94">
            <v>12.545185108024695</v>
          </cell>
          <cell r="AS94">
            <v>0</v>
          </cell>
          <cell r="AT94">
            <v>45618</v>
          </cell>
          <cell r="AU94">
            <v>12.545185108024695</v>
          </cell>
          <cell r="AV94">
            <v>376.35555324074085</v>
          </cell>
          <cell r="AW94">
            <v>12.545185108024695</v>
          </cell>
          <cell r="AY94">
            <v>381.46369178241002</v>
          </cell>
          <cell r="AZ94" t="str">
            <v>F18</v>
          </cell>
          <cell r="BA94">
            <v>0</v>
          </cell>
          <cell r="BB94" t="str">
            <v>PSY2</v>
          </cell>
          <cell r="BC94" t="str">
            <v>F18</v>
          </cell>
        </row>
        <row r="95">
          <cell r="A95" t="str">
            <v>508B4B</v>
          </cell>
          <cell r="B95" t="str">
            <v>3</v>
          </cell>
          <cell r="C95" t="str">
            <v>05</v>
          </cell>
          <cell r="D95">
            <v>16</v>
          </cell>
          <cell r="E95" t="str">
            <v>508B4B</v>
          </cell>
          <cell r="F95">
            <v>4.13</v>
          </cell>
          <cell r="G95">
            <v>3.04</v>
          </cell>
          <cell r="H95">
            <v>3.04</v>
          </cell>
          <cell r="I95" t="str">
            <v>Y2</v>
          </cell>
          <cell r="J95" t="str">
            <v>FC</v>
          </cell>
          <cell r="K95">
            <v>0</v>
          </cell>
          <cell r="L95">
            <v>45618</v>
          </cell>
          <cell r="M95">
            <v>45618</v>
          </cell>
          <cell r="N95">
            <v>376</v>
          </cell>
          <cell r="O95" t="str">
            <v>PS</v>
          </cell>
          <cell r="P95" t="str">
            <v/>
          </cell>
          <cell r="Q95">
            <v>45618</v>
          </cell>
          <cell r="R95" t="str">
            <v/>
          </cell>
          <cell r="S95" t="str">
            <v/>
          </cell>
          <cell r="T95" t="str">
            <v/>
          </cell>
          <cell r="U95">
            <v>8056</v>
          </cell>
          <cell r="V95" t="str">
            <v/>
          </cell>
          <cell r="W95">
            <v>45618</v>
          </cell>
          <cell r="X95" t="str">
            <v>Lokasi Produksi 508B4B ( pecahan 508B4 )</v>
          </cell>
          <cell r="Z95">
            <v>0</v>
          </cell>
          <cell r="AA95">
            <v>45618</v>
          </cell>
          <cell r="AB95">
            <v>665.59733611111005</v>
          </cell>
          <cell r="AC95">
            <v>22.186577870370336</v>
          </cell>
          <cell r="AD95">
            <v>-20</v>
          </cell>
          <cell r="AE95">
            <v>0</v>
          </cell>
          <cell r="AF95">
            <v>0</v>
          </cell>
          <cell r="AG95">
            <v>-1352.5</v>
          </cell>
          <cell r="AM95" t="str">
            <v>OK</v>
          </cell>
          <cell r="AO95">
            <v>12.545185108024695</v>
          </cell>
          <cell r="AP95">
            <v>12.545185108024695</v>
          </cell>
          <cell r="AQ95">
            <v>0</v>
          </cell>
          <cell r="AR95">
            <v>12.545185108024695</v>
          </cell>
          <cell r="AS95">
            <v>0</v>
          </cell>
          <cell r="AT95">
            <v>45618</v>
          </cell>
          <cell r="AU95">
            <v>12.545185108024695</v>
          </cell>
          <cell r="AV95">
            <v>376.35555324074085</v>
          </cell>
          <cell r="AW95">
            <v>12.545185108024695</v>
          </cell>
          <cell r="AY95">
            <v>381.46369178241002</v>
          </cell>
          <cell r="AZ95" t="str">
            <v>F18</v>
          </cell>
          <cell r="BA95">
            <v>0</v>
          </cell>
          <cell r="BB95" t="str">
            <v>PSY2</v>
          </cell>
          <cell r="BC95" t="str">
            <v>F18</v>
          </cell>
        </row>
        <row r="96">
          <cell r="A96" t="str">
            <v>508B5A</v>
          </cell>
          <cell r="B96" t="str">
            <v>3</v>
          </cell>
          <cell r="C96" t="str">
            <v>05</v>
          </cell>
          <cell r="D96">
            <v>16</v>
          </cell>
          <cell r="E96" t="str">
            <v>508B5A</v>
          </cell>
          <cell r="F96">
            <v>7.02</v>
          </cell>
          <cell r="G96">
            <v>5.04</v>
          </cell>
          <cell r="H96">
            <v>5.04</v>
          </cell>
          <cell r="I96" t="str">
            <v>Y2</v>
          </cell>
          <cell r="J96" t="str">
            <v>FC</v>
          </cell>
          <cell r="K96">
            <v>0</v>
          </cell>
          <cell r="L96">
            <v>45618</v>
          </cell>
          <cell r="M96">
            <v>45618</v>
          </cell>
          <cell r="N96">
            <v>376</v>
          </cell>
          <cell r="O96" t="str">
            <v>PS</v>
          </cell>
          <cell r="P96" t="str">
            <v/>
          </cell>
          <cell r="Q96">
            <v>45618</v>
          </cell>
          <cell r="R96" t="str">
            <v/>
          </cell>
          <cell r="S96" t="str">
            <v/>
          </cell>
          <cell r="T96" t="str">
            <v/>
          </cell>
          <cell r="U96">
            <v>13608</v>
          </cell>
          <cell r="V96" t="str">
            <v/>
          </cell>
          <cell r="W96">
            <v>45618</v>
          </cell>
          <cell r="X96" t="str">
            <v>Lokasi Produksi 508B5A ( pecahan 508B5 )</v>
          </cell>
          <cell r="Z96">
            <v>0</v>
          </cell>
          <cell r="AA96">
            <v>45618</v>
          </cell>
          <cell r="AB96">
            <v>58.597336111110053</v>
          </cell>
          <cell r="AC96">
            <v>1.9532445370370017</v>
          </cell>
          <cell r="AD96">
            <v>-6.0467554629629987</v>
          </cell>
          <cell r="AE96">
            <v>9.61</v>
          </cell>
          <cell r="AF96">
            <v>0</v>
          </cell>
          <cell r="AG96">
            <v>-1372.7333333333333</v>
          </cell>
          <cell r="AM96" t="str">
            <v>OK</v>
          </cell>
          <cell r="AO96">
            <v>12.545185108024695</v>
          </cell>
          <cell r="AP96">
            <v>12.545185108024695</v>
          </cell>
          <cell r="AQ96">
            <v>0</v>
          </cell>
          <cell r="AR96">
            <v>12.545185108024695</v>
          </cell>
          <cell r="AS96">
            <v>0</v>
          </cell>
          <cell r="AT96">
            <v>45618</v>
          </cell>
          <cell r="AU96">
            <v>12.545185108024695</v>
          </cell>
          <cell r="AV96">
            <v>376.35555324074085</v>
          </cell>
          <cell r="AW96">
            <v>12.545185108024695</v>
          </cell>
          <cell r="AY96">
            <v>381.46369178241002</v>
          </cell>
          <cell r="AZ96" t="str">
            <v>F18</v>
          </cell>
          <cell r="BA96">
            <v>0</v>
          </cell>
          <cell r="BB96" t="str">
            <v>PSY2</v>
          </cell>
          <cell r="BC96" t="str">
            <v>F18</v>
          </cell>
        </row>
        <row r="97">
          <cell r="A97" t="str">
            <v>508B5B</v>
          </cell>
          <cell r="B97" t="str">
            <v>3</v>
          </cell>
          <cell r="C97" t="str">
            <v>05</v>
          </cell>
          <cell r="D97">
            <v>16</v>
          </cell>
          <cell r="E97" t="str">
            <v>508B5B</v>
          </cell>
          <cell r="F97">
            <v>6.01</v>
          </cell>
          <cell r="G97">
            <v>4.3600000000000003</v>
          </cell>
          <cell r="H97">
            <v>4.3600000000000003</v>
          </cell>
          <cell r="I97" t="str">
            <v>Y2</v>
          </cell>
          <cell r="J97" t="str">
            <v>FC</v>
          </cell>
          <cell r="K97">
            <v>0</v>
          </cell>
          <cell r="L97">
            <v>45618</v>
          </cell>
          <cell r="M97">
            <v>45618</v>
          </cell>
          <cell r="N97">
            <v>376</v>
          </cell>
          <cell r="O97" t="str">
            <v>PS</v>
          </cell>
          <cell r="P97" t="str">
            <v/>
          </cell>
          <cell r="Q97">
            <v>45618</v>
          </cell>
          <cell r="R97" t="str">
            <v/>
          </cell>
          <cell r="S97" t="str">
            <v/>
          </cell>
          <cell r="T97" t="str">
            <v/>
          </cell>
          <cell r="U97">
            <v>11554</v>
          </cell>
          <cell r="V97" t="str">
            <v/>
          </cell>
          <cell r="W97">
            <v>45618</v>
          </cell>
          <cell r="X97" t="str">
            <v>Lokasi Produksi 508B5B ( pecahan 508B5 )</v>
          </cell>
          <cell r="Z97">
            <v>0</v>
          </cell>
          <cell r="AA97">
            <v>45618</v>
          </cell>
          <cell r="AB97">
            <v>59.597336111110053</v>
          </cell>
          <cell r="AC97">
            <v>1.9865778703703352</v>
          </cell>
          <cell r="AD97">
            <v>-20</v>
          </cell>
          <cell r="AE97">
            <v>0</v>
          </cell>
          <cell r="AF97">
            <v>0</v>
          </cell>
          <cell r="AG97">
            <v>-1372.7</v>
          </cell>
          <cell r="AM97" t="str">
            <v>OK</v>
          </cell>
          <cell r="AO97">
            <v>12.545185108024695</v>
          </cell>
          <cell r="AP97">
            <v>12.545185108024695</v>
          </cell>
          <cell r="AQ97">
            <v>0</v>
          </cell>
          <cell r="AR97">
            <v>12.545185108024695</v>
          </cell>
          <cell r="AS97">
            <v>0</v>
          </cell>
          <cell r="AT97">
            <v>45618</v>
          </cell>
          <cell r="AU97">
            <v>12.545185108024695</v>
          </cell>
          <cell r="AV97">
            <v>376.35555324074085</v>
          </cell>
          <cell r="AW97">
            <v>12.545185108024695</v>
          </cell>
          <cell r="AY97">
            <v>381.46369178241002</v>
          </cell>
          <cell r="AZ97" t="str">
            <v>F18</v>
          </cell>
          <cell r="BA97">
            <v>0</v>
          </cell>
          <cell r="BB97" t="str">
            <v>PSY2</v>
          </cell>
          <cell r="BC97" t="str">
            <v>F18</v>
          </cell>
        </row>
        <row r="98">
          <cell r="A98" t="str">
            <v>508C3</v>
          </cell>
          <cell r="B98" t="str">
            <v>3</v>
          </cell>
          <cell r="C98" t="str">
            <v>05</v>
          </cell>
          <cell r="D98">
            <v>16</v>
          </cell>
          <cell r="E98" t="str">
            <v>508C3</v>
          </cell>
          <cell r="F98">
            <v>12.94</v>
          </cell>
          <cell r="G98">
            <v>9.52</v>
          </cell>
          <cell r="H98">
            <v>9.52</v>
          </cell>
          <cell r="I98" t="str">
            <v>SR</v>
          </cell>
          <cell r="J98" t="str">
            <v>SC</v>
          </cell>
          <cell r="K98">
            <v>0</v>
          </cell>
          <cell r="L98">
            <v>45618</v>
          </cell>
          <cell r="M98">
            <v>45618</v>
          </cell>
          <cell r="N98">
            <v>376</v>
          </cell>
          <cell r="O98" t="str">
            <v>PS</v>
          </cell>
          <cell r="P98" t="str">
            <v/>
          </cell>
          <cell r="Q98">
            <v>45618</v>
          </cell>
          <cell r="R98" t="str">
            <v/>
          </cell>
          <cell r="S98" t="str">
            <v/>
          </cell>
          <cell r="T98" t="str">
            <v/>
          </cell>
          <cell r="U98">
            <v>25704</v>
          </cell>
          <cell r="V98">
            <v>27468</v>
          </cell>
          <cell r="W98">
            <v>45618</v>
          </cell>
          <cell r="X98" t="str">
            <v>Lokasi Produksi 508C3 ( pecahan 508C )_</v>
          </cell>
          <cell r="Z98">
            <v>0</v>
          </cell>
          <cell r="AA98">
            <v>45618</v>
          </cell>
          <cell r="AB98">
            <v>332.59733611111005</v>
          </cell>
          <cell r="AC98">
            <v>11.086577870370336</v>
          </cell>
          <cell r="AD98">
            <v>1.0865778703703359</v>
          </cell>
          <cell r="AE98">
            <v>3.26</v>
          </cell>
          <cell r="AF98">
            <v>0</v>
          </cell>
          <cell r="AG98">
            <v>-1363.6</v>
          </cell>
          <cell r="AM98" t="str">
            <v>OK</v>
          </cell>
          <cell r="AO98">
            <v>12.545185108024695</v>
          </cell>
          <cell r="AP98">
            <v>12.545185108024695</v>
          </cell>
          <cell r="AQ98">
            <v>0</v>
          </cell>
          <cell r="AR98">
            <v>12.545185108024695</v>
          </cell>
          <cell r="AS98">
            <v>0</v>
          </cell>
          <cell r="AT98">
            <v>45618</v>
          </cell>
          <cell r="AU98">
            <v>12.545185108024695</v>
          </cell>
          <cell r="AV98">
            <v>376.35555324074085</v>
          </cell>
          <cell r="AW98">
            <v>12.545185108024695</v>
          </cell>
          <cell r="AY98">
            <v>381.46369178241002</v>
          </cell>
          <cell r="AZ98" t="str">
            <v>F18</v>
          </cell>
          <cell r="BA98">
            <v>0</v>
          </cell>
          <cell r="BB98" t="str">
            <v>PSSR</v>
          </cell>
          <cell r="BC98" t="str">
            <v>F18</v>
          </cell>
        </row>
        <row r="99">
          <cell r="A99" t="str">
            <v>508C4</v>
          </cell>
          <cell r="B99" t="str">
            <v>3</v>
          </cell>
          <cell r="C99" t="str">
            <v>05</v>
          </cell>
          <cell r="D99">
            <v>16</v>
          </cell>
          <cell r="E99" t="str">
            <v>508C4</v>
          </cell>
          <cell r="F99">
            <v>5.59</v>
          </cell>
          <cell r="G99">
            <v>4.66</v>
          </cell>
          <cell r="H99">
            <v>4.66</v>
          </cell>
          <cell r="I99" t="str">
            <v>FC</v>
          </cell>
          <cell r="J99" t="str">
            <v>ST</v>
          </cell>
          <cell r="K99">
            <v>12</v>
          </cell>
          <cell r="L99">
            <v>45767</v>
          </cell>
          <cell r="M99">
            <v>45767</v>
          </cell>
          <cell r="N99">
            <v>227</v>
          </cell>
          <cell r="O99" t="str">
            <v>NS</v>
          </cell>
          <cell r="P99" t="str">
            <v>NSF18SS3</v>
          </cell>
          <cell r="Q99">
            <v>46133</v>
          </cell>
          <cell r="R99" t="str">
            <v/>
          </cell>
          <cell r="S99" t="str">
            <v/>
          </cell>
          <cell r="T99" t="str">
            <v/>
          </cell>
          <cell r="U99">
            <v>70253</v>
          </cell>
          <cell r="V99">
            <v>72308</v>
          </cell>
          <cell r="W99">
            <v>45551</v>
          </cell>
          <cell r="X99" t="str">
            <v>Lokasi Produksi 508C4 ( pecahan 508C )</v>
          </cell>
          <cell r="Z99">
            <v>12</v>
          </cell>
          <cell r="AA99">
            <v>46133</v>
          </cell>
          <cell r="AB99">
            <v>917.59733611111005</v>
          </cell>
          <cell r="AC99">
            <v>30.586577870370334</v>
          </cell>
          <cell r="AD99">
            <v>-20</v>
          </cell>
          <cell r="AE99">
            <v>0</v>
          </cell>
          <cell r="AF99">
            <v>0</v>
          </cell>
          <cell r="AG99">
            <v>-1344.1</v>
          </cell>
          <cell r="AK99">
            <v>40321</v>
          </cell>
          <cell r="AM99" t="str">
            <v>OK</v>
          </cell>
          <cell r="AO99">
            <v>7.5785184413580282</v>
          </cell>
          <cell r="AP99">
            <v>-4.4214815586419718</v>
          </cell>
          <cell r="AQ99">
            <v>0</v>
          </cell>
          <cell r="AR99">
            <v>7.5785184413580282</v>
          </cell>
          <cell r="AS99">
            <v>0</v>
          </cell>
          <cell r="AT99">
            <v>46133</v>
          </cell>
          <cell r="AU99">
            <v>-4.4214815586419718</v>
          </cell>
          <cell r="AV99">
            <v>227.35555324074085</v>
          </cell>
          <cell r="AW99">
            <v>-4.4214815586419718</v>
          </cell>
          <cell r="AY99">
            <v>232.46369178241002</v>
          </cell>
          <cell r="AZ99" t="str">
            <v>F18</v>
          </cell>
          <cell r="BA99">
            <v>4.66</v>
          </cell>
          <cell r="BB99" t="str">
            <v>NSFC</v>
          </cell>
          <cell r="BC99" t="str">
            <v>F18SS</v>
          </cell>
        </row>
        <row r="100">
          <cell r="A100" t="str">
            <v>508D</v>
          </cell>
          <cell r="B100" t="str">
            <v>3</v>
          </cell>
          <cell r="C100" t="str">
            <v>05</v>
          </cell>
          <cell r="D100">
            <v>16</v>
          </cell>
          <cell r="E100" t="str">
            <v>508D</v>
          </cell>
          <cell r="F100">
            <v>14.18</v>
          </cell>
          <cell r="G100">
            <v>11.06</v>
          </cell>
          <cell r="H100">
            <v>11.06</v>
          </cell>
          <cell r="I100" t="str">
            <v>SC</v>
          </cell>
          <cell r="J100" t="str">
            <v>BB</v>
          </cell>
          <cell r="K100">
            <v>8</v>
          </cell>
          <cell r="L100">
            <v>45833</v>
          </cell>
          <cell r="M100">
            <v>45833</v>
          </cell>
          <cell r="N100">
            <v>161</v>
          </cell>
          <cell r="O100" t="str">
            <v>NS</v>
          </cell>
          <cell r="P100" t="str">
            <v/>
          </cell>
          <cell r="Q100">
            <v>46077</v>
          </cell>
          <cell r="R100" t="str">
            <v/>
          </cell>
          <cell r="S100" t="str">
            <v/>
          </cell>
          <cell r="T100" t="str">
            <v/>
          </cell>
          <cell r="U100">
            <v>68417</v>
          </cell>
          <cell r="V100">
            <v>70371</v>
          </cell>
          <cell r="W100">
            <v>43466</v>
          </cell>
          <cell r="X100" t="str">
            <v>Lokasi Produksi 508D</v>
          </cell>
          <cell r="Z100">
            <v>8</v>
          </cell>
          <cell r="AA100">
            <v>46077</v>
          </cell>
          <cell r="AB100">
            <v>917.59733611111005</v>
          </cell>
          <cell r="AC100">
            <v>30.586577870370334</v>
          </cell>
          <cell r="AD100">
            <v>-20</v>
          </cell>
          <cell r="AE100">
            <v>0</v>
          </cell>
          <cell r="AF100">
            <v>0</v>
          </cell>
          <cell r="AG100">
            <v>-1344.1</v>
          </cell>
          <cell r="AK100">
            <v>40391</v>
          </cell>
          <cell r="AM100" t="str">
            <v>OK</v>
          </cell>
          <cell r="AO100">
            <v>5.378518441358028</v>
          </cell>
          <cell r="AP100">
            <v>-2.621481558641972</v>
          </cell>
          <cell r="AQ100">
            <v>0</v>
          </cell>
          <cell r="AR100">
            <v>5.378518441358028</v>
          </cell>
          <cell r="AS100">
            <v>0</v>
          </cell>
          <cell r="AT100">
            <v>46077</v>
          </cell>
          <cell r="AU100">
            <v>-2.621481558641972</v>
          </cell>
          <cell r="AV100">
            <v>161.35555324074085</v>
          </cell>
          <cell r="AW100">
            <v>-2.621481558641972</v>
          </cell>
          <cell r="AY100">
            <v>166.46369178241002</v>
          </cell>
          <cell r="AZ100" t="str">
            <v>F18</v>
          </cell>
          <cell r="BA100">
            <v>11.06</v>
          </cell>
          <cell r="BB100" t="str">
            <v>NSSC</v>
          </cell>
          <cell r="BC100" t="str">
            <v>F18</v>
          </cell>
        </row>
        <row r="101">
          <cell r="A101" t="str">
            <v>508DS</v>
          </cell>
          <cell r="B101" t="str">
            <v>3</v>
          </cell>
          <cell r="C101" t="str">
            <v>05</v>
          </cell>
          <cell r="D101">
            <v>16</v>
          </cell>
          <cell r="E101" t="str">
            <v>508DS</v>
          </cell>
          <cell r="F101">
            <v>1.3</v>
          </cell>
          <cell r="G101">
            <v>1.23</v>
          </cell>
          <cell r="H101">
            <v>1.23</v>
          </cell>
          <cell r="I101" t="str">
            <v>FC</v>
          </cell>
          <cell r="J101" t="str">
            <v>ST</v>
          </cell>
          <cell r="K101">
            <v>0</v>
          </cell>
          <cell r="L101">
            <v>45934</v>
          </cell>
          <cell r="M101">
            <v>45934</v>
          </cell>
          <cell r="N101">
            <v>60</v>
          </cell>
          <cell r="O101" t="str">
            <v>SK</v>
          </cell>
          <cell r="P101" t="str">
            <v/>
          </cell>
          <cell r="Q101">
            <v>45934</v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>Lokasi Produksi 508DS ( singkong )</v>
          </cell>
          <cell r="Z101">
            <v>0</v>
          </cell>
          <cell r="AA101">
            <v>45934</v>
          </cell>
          <cell r="AB101">
            <v>931.59733611111005</v>
          </cell>
          <cell r="AC101">
            <v>31.053244537037003</v>
          </cell>
          <cell r="AD101">
            <v>-20</v>
          </cell>
          <cell r="AE101">
            <v>0</v>
          </cell>
          <cell r="AF101">
            <v>0</v>
          </cell>
          <cell r="AG101">
            <v>-1343.6333333333334</v>
          </cell>
          <cell r="AM101" t="str">
            <v>OK</v>
          </cell>
          <cell r="AO101">
            <v>2.0118517746913613</v>
          </cell>
          <cell r="AP101">
            <v>2.0118517746913613</v>
          </cell>
          <cell r="AQ101">
            <v>0</v>
          </cell>
          <cell r="AR101">
            <v>2.0118517746913613</v>
          </cell>
          <cell r="AS101">
            <v>0</v>
          </cell>
          <cell r="AT101">
            <v>45934</v>
          </cell>
          <cell r="AU101">
            <v>2.0118517746913613</v>
          </cell>
          <cell r="AV101">
            <v>60.355553240740839</v>
          </cell>
          <cell r="AW101">
            <v>2.0118517746913613</v>
          </cell>
          <cell r="AY101">
            <v>65.463691782410024</v>
          </cell>
          <cell r="AZ101" t="str">
            <v>F18</v>
          </cell>
          <cell r="BA101">
            <v>0</v>
          </cell>
          <cell r="BB101" t="str">
            <v>SKFC</v>
          </cell>
          <cell r="BC101" t="str">
            <v>F18</v>
          </cell>
        </row>
        <row r="102">
          <cell r="A102" t="str">
            <v>508E1</v>
          </cell>
          <cell r="B102" t="str">
            <v>3</v>
          </cell>
          <cell r="C102" t="str">
            <v>05</v>
          </cell>
          <cell r="D102">
            <v>16</v>
          </cell>
          <cell r="E102" t="str">
            <v>508E1</v>
          </cell>
          <cell r="F102">
            <v>8.5299999999999994</v>
          </cell>
          <cell r="G102">
            <v>5.81</v>
          </cell>
          <cell r="H102">
            <v>5.81</v>
          </cell>
          <cell r="I102" t="str">
            <v>SR</v>
          </cell>
          <cell r="J102" t="str">
            <v>SC</v>
          </cell>
          <cell r="K102">
            <v>0</v>
          </cell>
          <cell r="L102">
            <v>45705</v>
          </cell>
          <cell r="M102">
            <v>45705</v>
          </cell>
          <cell r="N102">
            <v>289</v>
          </cell>
          <cell r="O102" t="str">
            <v>PS</v>
          </cell>
          <cell r="P102" t="str">
            <v/>
          </cell>
          <cell r="Q102">
            <v>45705</v>
          </cell>
          <cell r="R102" t="str">
            <v/>
          </cell>
          <cell r="S102" t="str">
            <v/>
          </cell>
          <cell r="T102" t="str">
            <v/>
          </cell>
          <cell r="U102">
            <v>15687</v>
          </cell>
          <cell r="V102">
            <v>64231</v>
          </cell>
          <cell r="W102">
            <v>45850</v>
          </cell>
          <cell r="X102" t="str">
            <v>Lokasi Produksi 508E1 ( pecahan 508E )</v>
          </cell>
          <cell r="Z102">
            <v>0</v>
          </cell>
          <cell r="AA102">
            <v>45705</v>
          </cell>
          <cell r="AB102">
            <v>220.59733611111005</v>
          </cell>
          <cell r="AC102">
            <v>7.3532445370370016</v>
          </cell>
          <cell r="AD102">
            <v>-0.64675546296299835</v>
          </cell>
          <cell r="AE102">
            <v>4.72</v>
          </cell>
          <cell r="AF102">
            <v>0</v>
          </cell>
          <cell r="AG102">
            <v>-1367.3333333333333</v>
          </cell>
          <cell r="AM102" t="str">
            <v>OK</v>
          </cell>
          <cell r="AO102">
            <v>9.6451851080246946</v>
          </cell>
          <cell r="AP102">
            <v>9.6451851080246946</v>
          </cell>
          <cell r="AQ102">
            <v>0</v>
          </cell>
          <cell r="AR102">
            <v>9.6451851080246946</v>
          </cell>
          <cell r="AS102">
            <v>0</v>
          </cell>
          <cell r="AT102">
            <v>45705</v>
          </cell>
          <cell r="AU102">
            <v>9.6451851080246946</v>
          </cell>
          <cell r="AV102">
            <v>289.35555324074085</v>
          </cell>
          <cell r="AW102">
            <v>9.6451851080246946</v>
          </cell>
          <cell r="AY102">
            <v>294.46369178241002</v>
          </cell>
          <cell r="AZ102" t="str">
            <v>F18</v>
          </cell>
          <cell r="BA102">
            <v>0</v>
          </cell>
          <cell r="BB102" t="str">
            <v>PSSR</v>
          </cell>
          <cell r="BC102" t="str">
            <v>F18</v>
          </cell>
        </row>
        <row r="103">
          <cell r="A103" t="str">
            <v>508E2</v>
          </cell>
          <cell r="B103" t="str">
            <v>3</v>
          </cell>
          <cell r="C103" t="str">
            <v>05</v>
          </cell>
          <cell r="D103">
            <v>16</v>
          </cell>
          <cell r="E103" t="str">
            <v>508E2</v>
          </cell>
          <cell r="F103">
            <v>9</v>
          </cell>
          <cell r="G103">
            <v>6.04</v>
          </cell>
          <cell r="H103">
            <v>6.04</v>
          </cell>
          <cell r="I103" t="str">
            <v>SR</v>
          </cell>
          <cell r="J103" t="str">
            <v>SC</v>
          </cell>
          <cell r="K103">
            <v>0</v>
          </cell>
          <cell r="L103">
            <v>45705</v>
          </cell>
          <cell r="M103">
            <v>45705</v>
          </cell>
          <cell r="N103">
            <v>289</v>
          </cell>
          <cell r="O103" t="str">
            <v>PS</v>
          </cell>
          <cell r="P103" t="str">
            <v/>
          </cell>
          <cell r="Q103">
            <v>45705</v>
          </cell>
          <cell r="R103" t="str">
            <v/>
          </cell>
          <cell r="S103" t="str">
            <v/>
          </cell>
          <cell r="T103" t="str">
            <v/>
          </cell>
          <cell r="U103">
            <v>16308</v>
          </cell>
          <cell r="V103">
            <v>67112</v>
          </cell>
          <cell r="W103">
            <v>45850</v>
          </cell>
          <cell r="X103" t="str">
            <v>Lokasi Produksi 508E2 ( pecahan 508E )</v>
          </cell>
          <cell r="Z103">
            <v>0</v>
          </cell>
          <cell r="AA103">
            <v>45705</v>
          </cell>
          <cell r="AB103">
            <v>270.59733611111005</v>
          </cell>
          <cell r="AC103">
            <v>9.0199112037036677</v>
          </cell>
          <cell r="AD103">
            <v>-20</v>
          </cell>
          <cell r="AE103">
            <v>0</v>
          </cell>
          <cell r="AF103">
            <v>0</v>
          </cell>
          <cell r="AG103">
            <v>-1365.6666666666667</v>
          </cell>
          <cell r="AM103" t="str">
            <v>OK</v>
          </cell>
          <cell r="AO103">
            <v>9.6451851080246946</v>
          </cell>
          <cell r="AP103">
            <v>9.6451851080246946</v>
          </cell>
          <cell r="AQ103">
            <v>0</v>
          </cell>
          <cell r="AR103">
            <v>9.6451851080246946</v>
          </cell>
          <cell r="AS103">
            <v>0</v>
          </cell>
          <cell r="AT103">
            <v>45705</v>
          </cell>
          <cell r="AU103">
            <v>9.6451851080246946</v>
          </cell>
          <cell r="AV103">
            <v>289.35555324074085</v>
          </cell>
          <cell r="AW103">
            <v>9.6451851080246946</v>
          </cell>
          <cell r="AY103">
            <v>294.46369178241002</v>
          </cell>
          <cell r="AZ103" t="str">
            <v>F18</v>
          </cell>
          <cell r="BA103">
            <v>0</v>
          </cell>
          <cell r="BB103" t="str">
            <v>PSSR</v>
          </cell>
          <cell r="BC103" t="str">
            <v>F18</v>
          </cell>
        </row>
        <row r="104">
          <cell r="A104" t="str">
            <v>509A1</v>
          </cell>
          <cell r="B104" t="str">
            <v>3</v>
          </cell>
          <cell r="C104" t="str">
            <v>05</v>
          </cell>
          <cell r="D104">
            <v>16</v>
          </cell>
          <cell r="E104" t="str">
            <v>509A1</v>
          </cell>
          <cell r="F104">
            <v>6.94</v>
          </cell>
          <cell r="G104">
            <v>5.73</v>
          </cell>
          <cell r="H104">
            <v>5.73</v>
          </cell>
          <cell r="I104" t="str">
            <v>FC</v>
          </cell>
          <cell r="J104" t="str">
            <v>ST</v>
          </cell>
          <cell r="K104">
            <v>14</v>
          </cell>
          <cell r="L104">
            <v>45726</v>
          </cell>
          <cell r="M104">
            <v>45726</v>
          </cell>
          <cell r="N104">
            <v>268</v>
          </cell>
          <cell r="O104" t="str">
            <v>NS</v>
          </cell>
          <cell r="P104" t="str">
            <v>NSF18CK3</v>
          </cell>
          <cell r="Q104">
            <v>46153</v>
          </cell>
          <cell r="R104" t="str">
            <v/>
          </cell>
          <cell r="S104" t="str">
            <v/>
          </cell>
          <cell r="T104" t="str">
            <v/>
          </cell>
          <cell r="U104">
            <v>65975</v>
          </cell>
          <cell r="V104">
            <v>68725</v>
          </cell>
          <cell r="W104">
            <v>44555</v>
          </cell>
          <cell r="X104" t="str">
            <v>Lokasi Produksi 509A1 ( pecahan 5096A )</v>
          </cell>
          <cell r="Z104">
            <v>14</v>
          </cell>
          <cell r="AA104">
            <v>46153</v>
          </cell>
          <cell r="AB104">
            <v>557.59733611111005</v>
          </cell>
          <cell r="AC104">
            <v>18.586577870370334</v>
          </cell>
          <cell r="AD104">
            <v>4.5865778703703342</v>
          </cell>
          <cell r="AE104">
            <v>10.68</v>
          </cell>
          <cell r="AF104">
            <v>0</v>
          </cell>
          <cell r="AG104">
            <v>-1356.1</v>
          </cell>
          <cell r="AM104" t="str">
            <v>OK</v>
          </cell>
          <cell r="AO104">
            <v>8.9451851080246954</v>
          </cell>
          <cell r="AP104">
            <v>-5.0548148919753046</v>
          </cell>
          <cell r="AQ104">
            <v>0</v>
          </cell>
          <cell r="AR104">
            <v>8.9451851080246954</v>
          </cell>
          <cell r="AS104">
            <v>0</v>
          </cell>
          <cell r="AT104">
            <v>46153</v>
          </cell>
          <cell r="AU104">
            <v>-5.0548148919753046</v>
          </cell>
          <cell r="AV104">
            <v>268.35555324074085</v>
          </cell>
          <cell r="AW104">
            <v>-5.0548148919753046</v>
          </cell>
          <cell r="AY104">
            <v>273.46369178241002</v>
          </cell>
          <cell r="AZ104" t="str">
            <v>F18</v>
          </cell>
          <cell r="BA104">
            <v>5.73</v>
          </cell>
          <cell r="BB104" t="str">
            <v>NSFC</v>
          </cell>
          <cell r="BC104" t="str">
            <v>F18CK</v>
          </cell>
        </row>
        <row r="105">
          <cell r="A105" t="str">
            <v>509A2</v>
          </cell>
          <cell r="B105" t="str">
            <v>3</v>
          </cell>
          <cell r="C105" t="str">
            <v>05</v>
          </cell>
          <cell r="D105">
            <v>16</v>
          </cell>
          <cell r="E105" t="str">
            <v>509A2</v>
          </cell>
          <cell r="F105">
            <v>7.92</v>
          </cell>
          <cell r="G105">
            <v>6.76</v>
          </cell>
          <cell r="H105">
            <v>6.76</v>
          </cell>
          <cell r="I105" t="str">
            <v>FC</v>
          </cell>
          <cell r="J105" t="str">
            <v>ST</v>
          </cell>
          <cell r="K105">
            <v>14</v>
          </cell>
          <cell r="L105">
            <v>45726</v>
          </cell>
          <cell r="M105">
            <v>45726</v>
          </cell>
          <cell r="N105">
            <v>268</v>
          </cell>
          <cell r="O105" t="str">
            <v>NS</v>
          </cell>
          <cell r="P105" t="str">
            <v>NSF18CK3</v>
          </cell>
          <cell r="Q105">
            <v>46153</v>
          </cell>
          <cell r="R105" t="str">
            <v/>
          </cell>
          <cell r="S105" t="str">
            <v/>
          </cell>
          <cell r="T105" t="str">
            <v/>
          </cell>
          <cell r="U105">
            <v>66533</v>
          </cell>
          <cell r="V105">
            <v>68997</v>
          </cell>
          <cell r="W105">
            <v>44555</v>
          </cell>
          <cell r="X105" t="str">
            <v>Lokasi Produksi 509A2 ( pecahan 509A )</v>
          </cell>
          <cell r="Z105">
            <v>14</v>
          </cell>
          <cell r="AA105">
            <v>46153</v>
          </cell>
          <cell r="AB105">
            <v>932.59733611111005</v>
          </cell>
          <cell r="AC105">
            <v>31.086577870370334</v>
          </cell>
          <cell r="AD105">
            <v>-20</v>
          </cell>
          <cell r="AE105">
            <v>0</v>
          </cell>
          <cell r="AF105">
            <v>0</v>
          </cell>
          <cell r="AG105">
            <v>-1343.6</v>
          </cell>
          <cell r="AM105" t="str">
            <v>OK</v>
          </cell>
          <cell r="AO105">
            <v>8.9451851080246954</v>
          </cell>
          <cell r="AP105">
            <v>-5.0548148919753046</v>
          </cell>
          <cell r="AQ105">
            <v>0</v>
          </cell>
          <cell r="AR105">
            <v>8.9451851080246954</v>
          </cell>
          <cell r="AS105">
            <v>0</v>
          </cell>
          <cell r="AT105">
            <v>46153</v>
          </cell>
          <cell r="AU105">
            <v>-5.0548148919753046</v>
          </cell>
          <cell r="AV105">
            <v>268.35555324074085</v>
          </cell>
          <cell r="AW105">
            <v>-5.0548148919753046</v>
          </cell>
          <cell r="AY105">
            <v>273.46369178241002</v>
          </cell>
          <cell r="AZ105" t="str">
            <v>F18</v>
          </cell>
          <cell r="BA105">
            <v>6.76</v>
          </cell>
          <cell r="BB105" t="str">
            <v>NSFC</v>
          </cell>
          <cell r="BC105" t="str">
            <v>F18CK</v>
          </cell>
        </row>
        <row r="106">
          <cell r="A106" t="str">
            <v>509A3</v>
          </cell>
          <cell r="B106" t="str">
            <v>3</v>
          </cell>
          <cell r="C106" t="str">
            <v>05</v>
          </cell>
          <cell r="D106">
            <v>16</v>
          </cell>
          <cell r="E106" t="str">
            <v>509A3</v>
          </cell>
          <cell r="F106">
            <v>1.73</v>
          </cell>
          <cell r="G106">
            <v>1.72</v>
          </cell>
          <cell r="H106">
            <v>1.72</v>
          </cell>
          <cell r="I106" t="str">
            <v>FC</v>
          </cell>
          <cell r="J106" t="str">
            <v>ST</v>
          </cell>
          <cell r="K106">
            <v>0</v>
          </cell>
          <cell r="L106">
            <v>45673</v>
          </cell>
          <cell r="M106">
            <v>45673</v>
          </cell>
          <cell r="N106">
            <v>321</v>
          </cell>
          <cell r="O106" t="str">
            <v>SK</v>
          </cell>
          <cell r="P106" t="str">
            <v/>
          </cell>
          <cell r="Q106">
            <v>45673</v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>Lokasi Produksi 509A3 ( singkong )</v>
          </cell>
          <cell r="Z106">
            <v>0</v>
          </cell>
          <cell r="AA106">
            <v>45673</v>
          </cell>
          <cell r="AB106">
            <v>320.59733611111005</v>
          </cell>
          <cell r="AC106">
            <v>10.686577870370336</v>
          </cell>
          <cell r="AD106">
            <v>-3.3134221296296644</v>
          </cell>
          <cell r="AE106">
            <v>11.66</v>
          </cell>
          <cell r="AF106">
            <v>0</v>
          </cell>
          <cell r="AG106">
            <v>-1364</v>
          </cell>
          <cell r="AM106" t="str">
            <v>OK</v>
          </cell>
          <cell r="AO106">
            <v>10.711851774691361</v>
          </cell>
          <cell r="AP106">
            <v>10.711851774691361</v>
          </cell>
          <cell r="AQ106">
            <v>0</v>
          </cell>
          <cell r="AR106">
            <v>10.711851774691361</v>
          </cell>
          <cell r="AS106">
            <v>0</v>
          </cell>
          <cell r="AT106">
            <v>45673</v>
          </cell>
          <cell r="AU106">
            <v>10.711851774691361</v>
          </cell>
          <cell r="AV106">
            <v>321.35555324074085</v>
          </cell>
          <cell r="AW106">
            <v>10.711851774691361</v>
          </cell>
          <cell r="AY106">
            <v>326.46369178241002</v>
          </cell>
          <cell r="AZ106" t="str">
            <v>F18</v>
          </cell>
          <cell r="BA106">
            <v>0</v>
          </cell>
          <cell r="BB106" t="str">
            <v>SKFC</v>
          </cell>
          <cell r="BC106" t="str">
            <v>F18</v>
          </cell>
        </row>
        <row r="107">
          <cell r="A107" t="str">
            <v>509A4</v>
          </cell>
          <cell r="B107" t="str">
            <v>3</v>
          </cell>
          <cell r="C107" t="str">
            <v>05</v>
          </cell>
          <cell r="D107">
            <v>16</v>
          </cell>
          <cell r="E107" t="str">
            <v>509A4</v>
          </cell>
          <cell r="F107">
            <v>7.64</v>
          </cell>
          <cell r="G107">
            <v>6.35</v>
          </cell>
          <cell r="H107">
            <v>6.35</v>
          </cell>
          <cell r="I107" t="str">
            <v>FC</v>
          </cell>
          <cell r="J107" t="str">
            <v>ST</v>
          </cell>
          <cell r="K107">
            <v>10</v>
          </cell>
          <cell r="L107">
            <v>45699</v>
          </cell>
          <cell r="M107">
            <v>45699</v>
          </cell>
          <cell r="N107">
            <v>295</v>
          </cell>
          <cell r="O107" t="str">
            <v>NS</v>
          </cell>
          <cell r="P107" t="str">
            <v>NSF18SB3</v>
          </cell>
          <cell r="Q107">
            <v>46004</v>
          </cell>
          <cell r="R107" t="str">
            <v/>
          </cell>
          <cell r="S107" t="str">
            <v/>
          </cell>
          <cell r="T107" t="str">
            <v/>
          </cell>
          <cell r="U107">
            <v>69531</v>
          </cell>
          <cell r="V107">
            <v>70866</v>
          </cell>
          <cell r="W107">
            <v>44555</v>
          </cell>
          <cell r="X107" t="str">
            <v>Lokasi Produksi 509A4 ( pecahan 509A )</v>
          </cell>
          <cell r="Z107">
            <v>10</v>
          </cell>
          <cell r="AA107">
            <v>46004</v>
          </cell>
          <cell r="AB107">
            <v>5422.5973361111101</v>
          </cell>
          <cell r="AC107">
            <v>180.75324453703701</v>
          </cell>
          <cell r="AD107">
            <v>-20</v>
          </cell>
          <cell r="AE107">
            <v>0</v>
          </cell>
          <cell r="AF107">
            <v>0</v>
          </cell>
          <cell r="AG107">
            <v>-1193.9333333333334</v>
          </cell>
          <cell r="AM107" t="str">
            <v>OK</v>
          </cell>
          <cell r="AO107">
            <v>9.8451851080246957</v>
          </cell>
          <cell r="AP107">
            <v>-0.15481489197530429</v>
          </cell>
          <cell r="AQ107">
            <v>0</v>
          </cell>
          <cell r="AR107">
            <v>9.8451851080246957</v>
          </cell>
          <cell r="AS107">
            <v>0</v>
          </cell>
          <cell r="AT107">
            <v>46004</v>
          </cell>
          <cell r="AU107">
            <v>-0.15481489197530429</v>
          </cell>
          <cell r="AV107">
            <v>295.35555324074085</v>
          </cell>
          <cell r="AW107">
            <v>-0.15481489197530429</v>
          </cell>
          <cell r="AY107">
            <v>300.46369178241002</v>
          </cell>
          <cell r="AZ107" t="str">
            <v>F18</v>
          </cell>
          <cell r="BA107">
            <v>6.35</v>
          </cell>
          <cell r="BB107" t="str">
            <v>NSFC</v>
          </cell>
          <cell r="BC107" t="str">
            <v>F18SB</v>
          </cell>
        </row>
        <row r="108">
          <cell r="A108" t="str">
            <v>509AS</v>
          </cell>
          <cell r="B108" t="str">
            <v>3</v>
          </cell>
          <cell r="C108" t="str">
            <v>05</v>
          </cell>
          <cell r="D108">
            <v>16</v>
          </cell>
          <cell r="E108" t="str">
            <v>509AS</v>
          </cell>
          <cell r="F108">
            <v>0.34</v>
          </cell>
          <cell r="G108">
            <v>0.34</v>
          </cell>
          <cell r="H108">
            <v>0.34</v>
          </cell>
          <cell r="I108" t="str">
            <v>FC</v>
          </cell>
          <cell r="J108" t="str">
            <v>ST</v>
          </cell>
          <cell r="K108">
            <v>0</v>
          </cell>
          <cell r="L108">
            <v>45624</v>
          </cell>
          <cell r="M108">
            <v>45624</v>
          </cell>
          <cell r="N108">
            <v>370</v>
          </cell>
          <cell r="O108" t="str">
            <v>SK</v>
          </cell>
          <cell r="P108" t="str">
            <v/>
          </cell>
          <cell r="Q108">
            <v>45624</v>
          </cell>
          <cell r="R108" t="str">
            <v/>
          </cell>
          <cell r="S108" t="str">
            <v/>
          </cell>
          <cell r="T108" t="str">
            <v/>
          </cell>
          <cell r="U108">
            <v>25766</v>
          </cell>
          <cell r="V108">
            <v>25766</v>
          </cell>
          <cell r="W108" t="str">
            <v/>
          </cell>
          <cell r="X108" t="str">
            <v>Lokasi Produksi 509AS ( singkong )</v>
          </cell>
          <cell r="Z108">
            <v>0</v>
          </cell>
          <cell r="AA108">
            <v>45624</v>
          </cell>
          <cell r="AB108">
            <v>613.59733611111005</v>
          </cell>
          <cell r="AC108">
            <v>20.453244537037001</v>
          </cell>
          <cell r="AD108">
            <v>6.4532445370370013</v>
          </cell>
          <cell r="AE108">
            <v>26.36</v>
          </cell>
          <cell r="AF108">
            <v>0</v>
          </cell>
          <cell r="AG108">
            <v>-1354.2333333333333</v>
          </cell>
          <cell r="AM108" t="str">
            <v>OK</v>
          </cell>
          <cell r="AO108">
            <v>12.345185108024696</v>
          </cell>
          <cell r="AP108">
            <v>12.345185108024696</v>
          </cell>
          <cell r="AQ108">
            <v>0</v>
          </cell>
          <cell r="AR108">
            <v>12.345185108024696</v>
          </cell>
          <cell r="AS108">
            <v>0</v>
          </cell>
          <cell r="AT108">
            <v>45624</v>
          </cell>
          <cell r="AU108">
            <v>12.345185108024696</v>
          </cell>
          <cell r="AV108">
            <v>370.35555324074085</v>
          </cell>
          <cell r="AW108">
            <v>12.345185108024696</v>
          </cell>
          <cell r="AY108">
            <v>375.46369178241002</v>
          </cell>
          <cell r="AZ108" t="str">
            <v>F18</v>
          </cell>
          <cell r="BA108">
            <v>0</v>
          </cell>
          <cell r="BB108" t="str">
            <v>SKFC</v>
          </cell>
          <cell r="BC108" t="str">
            <v>F18</v>
          </cell>
        </row>
        <row r="109">
          <cell r="A109" t="str">
            <v>509B1</v>
          </cell>
          <cell r="B109" t="str">
            <v>3</v>
          </cell>
          <cell r="C109" t="str">
            <v>05</v>
          </cell>
          <cell r="D109">
            <v>16</v>
          </cell>
          <cell r="E109" t="str">
            <v>509B1</v>
          </cell>
          <cell r="F109">
            <v>4.4800000000000004</v>
          </cell>
          <cell r="G109">
            <v>3.74</v>
          </cell>
          <cell r="H109">
            <v>3.74</v>
          </cell>
          <cell r="I109" t="str">
            <v>FC</v>
          </cell>
          <cell r="J109" t="str">
            <v>ST</v>
          </cell>
          <cell r="K109">
            <v>14</v>
          </cell>
          <cell r="L109">
            <v>45579</v>
          </cell>
          <cell r="M109">
            <v>45579</v>
          </cell>
          <cell r="N109">
            <v>415</v>
          </cell>
          <cell r="O109" t="str">
            <v>NS</v>
          </cell>
          <cell r="P109" t="str">
            <v>NSF18SK3</v>
          </cell>
          <cell r="Q109">
            <v>46006</v>
          </cell>
          <cell r="R109" t="str">
            <v/>
          </cell>
          <cell r="S109" t="str">
            <v/>
          </cell>
          <cell r="T109">
            <v>45974</v>
          </cell>
          <cell r="U109">
            <v>68583</v>
          </cell>
          <cell r="V109">
            <v>67193</v>
          </cell>
          <cell r="W109" t="str">
            <v/>
          </cell>
          <cell r="X109" t="str">
            <v>Lokasi Produksi 509B1 ( pecahan 509B )</v>
          </cell>
          <cell r="Z109">
            <v>14</v>
          </cell>
          <cell r="AA109">
            <v>46006</v>
          </cell>
          <cell r="AB109">
            <v>610.59733611111005</v>
          </cell>
          <cell r="AC109">
            <v>20.353244537037003</v>
          </cell>
          <cell r="AD109">
            <v>8.3532445370370034</v>
          </cell>
          <cell r="AE109">
            <v>3.99</v>
          </cell>
          <cell r="AF109">
            <v>0</v>
          </cell>
          <cell r="AG109">
            <v>-1354.3333333333333</v>
          </cell>
          <cell r="AM109" t="str">
            <v>OK</v>
          </cell>
          <cell r="AO109">
            <v>13.845185108024696</v>
          </cell>
          <cell r="AP109">
            <v>-0.15481489197530429</v>
          </cell>
          <cell r="AQ109">
            <v>45974</v>
          </cell>
          <cell r="AR109">
            <v>13.166666666666666</v>
          </cell>
          <cell r="AS109">
            <v>0.67851844135802963</v>
          </cell>
          <cell r="AT109">
            <v>46006</v>
          </cell>
          <cell r="AU109">
            <v>0.67851844135802963</v>
          </cell>
          <cell r="AV109">
            <v>395</v>
          </cell>
          <cell r="AW109">
            <v>0.67851844135802963</v>
          </cell>
          <cell r="AY109">
            <v>420.46369178241002</v>
          </cell>
          <cell r="AZ109" t="str">
            <v>F18</v>
          </cell>
          <cell r="BA109">
            <v>3.74</v>
          </cell>
          <cell r="BB109" t="str">
            <v>NSFC</v>
          </cell>
          <cell r="BC109" t="str">
            <v>F18SK</v>
          </cell>
        </row>
        <row r="110">
          <cell r="A110" t="str">
            <v>509B2</v>
          </cell>
          <cell r="B110" t="str">
            <v>3</v>
          </cell>
          <cell r="C110" t="str">
            <v>05</v>
          </cell>
          <cell r="D110">
            <v>16</v>
          </cell>
          <cell r="E110" t="str">
            <v>509B2</v>
          </cell>
          <cell r="F110">
            <v>8.6999999999999993</v>
          </cell>
          <cell r="G110">
            <v>7.2</v>
          </cell>
          <cell r="H110">
            <v>7.2</v>
          </cell>
          <cell r="I110" t="str">
            <v>FC</v>
          </cell>
          <cell r="J110" t="str">
            <v>ST</v>
          </cell>
          <cell r="K110">
            <v>12</v>
          </cell>
          <cell r="L110">
            <v>45577</v>
          </cell>
          <cell r="M110">
            <v>45577</v>
          </cell>
          <cell r="N110">
            <v>417</v>
          </cell>
          <cell r="O110" t="str">
            <v>NS</v>
          </cell>
          <cell r="P110" t="str">
            <v>NSF18SS3</v>
          </cell>
          <cell r="Q110">
            <v>45943</v>
          </cell>
          <cell r="R110" t="str">
            <v/>
          </cell>
          <cell r="S110" t="str">
            <v/>
          </cell>
          <cell r="T110">
            <v>45895</v>
          </cell>
          <cell r="U110">
            <v>71276</v>
          </cell>
          <cell r="V110">
            <v>70949</v>
          </cell>
          <cell r="W110">
            <v>45351</v>
          </cell>
          <cell r="X110" t="str">
            <v>Lokasi Produksi 509B2 ( pecahan 509B )</v>
          </cell>
          <cell r="Z110">
            <v>12</v>
          </cell>
          <cell r="AA110">
            <v>45943</v>
          </cell>
          <cell r="AB110">
            <v>375.59733611111005</v>
          </cell>
          <cell r="AC110">
            <v>12.519911203703668</v>
          </cell>
          <cell r="AD110">
            <v>-3.4800887962963323</v>
          </cell>
          <cell r="AE110">
            <v>27.16</v>
          </cell>
          <cell r="AF110">
            <v>0</v>
          </cell>
          <cell r="AG110">
            <v>-1362.1666666666667</v>
          </cell>
          <cell r="AK110">
            <v>40387</v>
          </cell>
          <cell r="AM110" t="str">
            <v>OK</v>
          </cell>
          <cell r="AO110">
            <v>13.911851774691362</v>
          </cell>
          <cell r="AP110">
            <v>1.9118517746913621</v>
          </cell>
          <cell r="AQ110">
            <v>45895</v>
          </cell>
          <cell r="AR110">
            <v>10.6</v>
          </cell>
          <cell r="AS110">
            <v>3.3118517746913625</v>
          </cell>
          <cell r="AT110">
            <v>45943</v>
          </cell>
          <cell r="AU110">
            <v>3.3118517746913625</v>
          </cell>
          <cell r="AV110">
            <v>318</v>
          </cell>
          <cell r="AW110">
            <v>3.3118517746913625</v>
          </cell>
          <cell r="AY110">
            <v>422.46369178241002</v>
          </cell>
          <cell r="AZ110" t="str">
            <v>F18</v>
          </cell>
          <cell r="BA110">
            <v>7.2</v>
          </cell>
          <cell r="BB110" t="str">
            <v>NSFC</v>
          </cell>
          <cell r="BC110" t="str">
            <v>F18SS</v>
          </cell>
        </row>
        <row r="111">
          <cell r="A111" t="str">
            <v>509C1</v>
          </cell>
          <cell r="B111" t="str">
            <v>3</v>
          </cell>
          <cell r="C111" t="str">
            <v>05</v>
          </cell>
          <cell r="D111">
            <v>16</v>
          </cell>
          <cell r="E111" t="str">
            <v>509C1</v>
          </cell>
          <cell r="F111">
            <v>5.47</v>
          </cell>
          <cell r="G111">
            <v>4.47</v>
          </cell>
          <cell r="H111">
            <v>4.47</v>
          </cell>
          <cell r="I111" t="str">
            <v>FC</v>
          </cell>
          <cell r="J111" t="str">
            <v>ST</v>
          </cell>
          <cell r="K111">
            <v>10</v>
          </cell>
          <cell r="L111">
            <v>45583</v>
          </cell>
          <cell r="M111">
            <v>45583</v>
          </cell>
          <cell r="N111">
            <v>411</v>
          </cell>
          <cell r="O111" t="str">
            <v>NS</v>
          </cell>
          <cell r="P111" t="str">
            <v>NSF18SB3</v>
          </cell>
          <cell r="Q111">
            <v>45888</v>
          </cell>
          <cell r="R111" t="str">
            <v/>
          </cell>
          <cell r="S111" t="str">
            <v/>
          </cell>
          <cell r="T111">
            <v>45880</v>
          </cell>
          <cell r="U111">
            <v>67216</v>
          </cell>
          <cell r="V111">
            <v>70030</v>
          </cell>
          <cell r="W111">
            <v>45351</v>
          </cell>
          <cell r="X111" t="str">
            <v>Lokasi Produksi 509C1 ( pecahan 509C )</v>
          </cell>
          <cell r="Z111">
            <v>10</v>
          </cell>
          <cell r="AA111">
            <v>45888</v>
          </cell>
          <cell r="AB111">
            <v>469.59733611111005</v>
          </cell>
          <cell r="AC111">
            <v>15.653244537037002</v>
          </cell>
          <cell r="AD111">
            <v>1.6532445370370024</v>
          </cell>
          <cell r="AE111">
            <v>14.36</v>
          </cell>
          <cell r="AF111">
            <v>0</v>
          </cell>
          <cell r="AG111">
            <v>-1359.0333333333333</v>
          </cell>
          <cell r="AM111" t="str">
            <v>OK</v>
          </cell>
          <cell r="AO111">
            <v>13.711851774691361</v>
          </cell>
          <cell r="AP111">
            <v>3.7118517746913611</v>
          </cell>
          <cell r="AQ111">
            <v>45880</v>
          </cell>
          <cell r="AR111">
            <v>9.9</v>
          </cell>
          <cell r="AS111">
            <v>3.8118517746913607</v>
          </cell>
          <cell r="AT111">
            <v>45888</v>
          </cell>
          <cell r="AU111">
            <v>3.8118517746913607</v>
          </cell>
          <cell r="AV111">
            <v>297</v>
          </cell>
          <cell r="AW111">
            <v>3.8118517746913607</v>
          </cell>
          <cell r="AY111">
            <v>416.46369178241002</v>
          </cell>
          <cell r="AZ111" t="str">
            <v>F18</v>
          </cell>
          <cell r="BA111">
            <v>4.47</v>
          </cell>
          <cell r="BB111" t="str">
            <v>NSFC</v>
          </cell>
          <cell r="BC111" t="str">
            <v>F18SB</v>
          </cell>
        </row>
        <row r="112">
          <cell r="A112" t="str">
            <v>509C2</v>
          </cell>
          <cell r="B112" t="str">
            <v>3</v>
          </cell>
          <cell r="C112" t="str">
            <v>05</v>
          </cell>
          <cell r="D112">
            <v>16</v>
          </cell>
          <cell r="E112" t="str">
            <v>509C2</v>
          </cell>
          <cell r="F112">
            <v>5.35</v>
          </cell>
          <cell r="G112">
            <v>4.43</v>
          </cell>
          <cell r="H112">
            <v>4.43</v>
          </cell>
          <cell r="I112" t="str">
            <v>FC</v>
          </cell>
          <cell r="J112" t="str">
            <v>ST</v>
          </cell>
          <cell r="K112">
            <v>12</v>
          </cell>
          <cell r="L112">
            <v>45586</v>
          </cell>
          <cell r="M112">
            <v>45586</v>
          </cell>
          <cell r="N112">
            <v>408</v>
          </cell>
          <cell r="O112" t="str">
            <v>NS</v>
          </cell>
          <cell r="P112" t="str">
            <v>NSF18SS3</v>
          </cell>
          <cell r="Q112">
            <v>45952</v>
          </cell>
          <cell r="R112" t="str">
            <v/>
          </cell>
          <cell r="S112" t="str">
            <v/>
          </cell>
          <cell r="T112">
            <v>45916</v>
          </cell>
          <cell r="U112">
            <v>68690</v>
          </cell>
          <cell r="V112">
            <v>69405</v>
          </cell>
          <cell r="W112">
            <v>45351</v>
          </cell>
          <cell r="X112" t="str">
            <v>Lokasi Produksi 509C2 ( pecahan 509C )</v>
          </cell>
          <cell r="Z112">
            <v>12</v>
          </cell>
          <cell r="AA112">
            <v>45952</v>
          </cell>
          <cell r="AB112">
            <v>5433.5973361111101</v>
          </cell>
          <cell r="AC112">
            <v>181.11991120370368</v>
          </cell>
          <cell r="AD112">
            <v>-20</v>
          </cell>
          <cell r="AE112">
            <v>0</v>
          </cell>
          <cell r="AF112">
            <v>0</v>
          </cell>
          <cell r="AG112">
            <v>-1193.5666666666666</v>
          </cell>
          <cell r="AM112" t="str">
            <v>OK</v>
          </cell>
          <cell r="AO112">
            <v>13.611851774691361</v>
          </cell>
          <cell r="AP112">
            <v>1.6118517746913614</v>
          </cell>
          <cell r="AQ112">
            <v>45916</v>
          </cell>
          <cell r="AR112">
            <v>11</v>
          </cell>
          <cell r="AS112">
            <v>2.6118517746913614</v>
          </cell>
          <cell r="AT112">
            <v>45952</v>
          </cell>
          <cell r="AU112">
            <v>2.6118517746913614</v>
          </cell>
          <cell r="AV112">
            <v>330</v>
          </cell>
          <cell r="AW112">
            <v>2.6118517746913614</v>
          </cell>
          <cell r="AY112">
            <v>413.46369178241002</v>
          </cell>
          <cell r="AZ112" t="str">
            <v>F18</v>
          </cell>
          <cell r="BA112">
            <v>4.43</v>
          </cell>
          <cell r="BB112" t="str">
            <v>NSFC</v>
          </cell>
          <cell r="BC112" t="str">
            <v>F18SS</v>
          </cell>
        </row>
        <row r="113">
          <cell r="A113" t="str">
            <v>509CS</v>
          </cell>
          <cell r="B113" t="str">
            <v>3</v>
          </cell>
          <cell r="C113" t="str">
            <v>05</v>
          </cell>
          <cell r="D113">
            <v>16</v>
          </cell>
          <cell r="E113" t="str">
            <v>509CS</v>
          </cell>
          <cell r="F113">
            <v>0.73</v>
          </cell>
          <cell r="G113">
            <v>0.73</v>
          </cell>
          <cell r="H113">
            <v>0.73</v>
          </cell>
          <cell r="I113" t="str">
            <v>FC</v>
          </cell>
          <cell r="J113" t="str">
            <v>ST</v>
          </cell>
          <cell r="K113">
            <v>0</v>
          </cell>
          <cell r="L113">
            <v>45624</v>
          </cell>
          <cell r="M113">
            <v>45624</v>
          </cell>
          <cell r="N113">
            <v>370</v>
          </cell>
          <cell r="O113" t="str">
            <v>SK</v>
          </cell>
          <cell r="P113" t="str">
            <v/>
          </cell>
          <cell r="Q113">
            <v>45624</v>
          </cell>
          <cell r="R113" t="str">
            <v/>
          </cell>
          <cell r="S113" t="str">
            <v/>
          </cell>
          <cell r="T113" t="str">
            <v/>
          </cell>
          <cell r="U113">
            <v>25766</v>
          </cell>
          <cell r="V113">
            <v>25766</v>
          </cell>
          <cell r="W113" t="str">
            <v/>
          </cell>
          <cell r="X113" t="str">
            <v>Lokasi Produksi 509CS ( singkong )</v>
          </cell>
          <cell r="Z113">
            <v>0</v>
          </cell>
          <cell r="AA113">
            <v>45624</v>
          </cell>
          <cell r="AB113">
            <v>677.59733611111005</v>
          </cell>
          <cell r="AC113">
            <v>22.586577870370334</v>
          </cell>
          <cell r="AD113">
            <v>4.5865778703703342</v>
          </cell>
          <cell r="AE113">
            <v>13.19</v>
          </cell>
          <cell r="AF113">
            <v>0</v>
          </cell>
          <cell r="AG113">
            <v>-1352.1</v>
          </cell>
          <cell r="AM113" t="str">
            <v>OK</v>
          </cell>
          <cell r="AO113">
            <v>12.345185108024696</v>
          </cell>
          <cell r="AP113">
            <v>12.345185108024696</v>
          </cell>
          <cell r="AQ113">
            <v>0</v>
          </cell>
          <cell r="AR113">
            <v>12.345185108024696</v>
          </cell>
          <cell r="AS113">
            <v>0</v>
          </cell>
          <cell r="AT113">
            <v>45624</v>
          </cell>
          <cell r="AU113">
            <v>12.345185108024696</v>
          </cell>
          <cell r="AV113">
            <v>370.35555324074085</v>
          </cell>
          <cell r="AW113">
            <v>12.345185108024696</v>
          </cell>
          <cell r="AY113">
            <v>375.46369178241002</v>
          </cell>
          <cell r="AZ113" t="str">
            <v>F18</v>
          </cell>
          <cell r="BA113">
            <v>0</v>
          </cell>
          <cell r="BB113" t="str">
            <v>SKFC</v>
          </cell>
          <cell r="BC113" t="str">
            <v>F18</v>
          </cell>
        </row>
        <row r="114">
          <cell r="A114" t="str">
            <v>509D1</v>
          </cell>
          <cell r="B114" t="str">
            <v>3</v>
          </cell>
          <cell r="C114" t="str">
            <v>05</v>
          </cell>
          <cell r="D114">
            <v>16</v>
          </cell>
          <cell r="E114" t="str">
            <v>509D1</v>
          </cell>
          <cell r="F114">
            <v>8.25</v>
          </cell>
          <cell r="G114">
            <v>6.3</v>
          </cell>
          <cell r="H114">
            <v>6.3</v>
          </cell>
          <cell r="I114" t="str">
            <v>ST</v>
          </cell>
          <cell r="J114" t="str">
            <v>BK</v>
          </cell>
          <cell r="K114">
            <v>0</v>
          </cell>
          <cell r="L114">
            <v>45978</v>
          </cell>
          <cell r="M114">
            <v>45978</v>
          </cell>
          <cell r="N114">
            <v>16</v>
          </cell>
          <cell r="O114" t="str">
            <v>NS</v>
          </cell>
          <cell r="P114" t="str">
            <v/>
          </cell>
          <cell r="Q114">
            <v>45978</v>
          </cell>
          <cell r="R114" t="str">
            <v/>
          </cell>
          <cell r="S114" t="str">
            <v/>
          </cell>
          <cell r="T114" t="str">
            <v/>
          </cell>
          <cell r="U114">
            <v>66768</v>
          </cell>
          <cell r="V114">
            <v>50429</v>
          </cell>
          <cell r="W114">
            <v>44829</v>
          </cell>
          <cell r="X114" t="str">
            <v>Lokasi Produksi 509D1 ( pecahan 509D )</v>
          </cell>
          <cell r="Z114">
            <v>0</v>
          </cell>
          <cell r="AA114">
            <v>45978</v>
          </cell>
          <cell r="AB114">
            <v>183.59733611111005</v>
          </cell>
          <cell r="AC114">
            <v>6.1199112037036683</v>
          </cell>
          <cell r="AD114">
            <v>-20</v>
          </cell>
          <cell r="AE114">
            <v>0</v>
          </cell>
          <cell r="AF114">
            <v>0</v>
          </cell>
          <cell r="AG114">
            <v>-1368.5666666666666</v>
          </cell>
          <cell r="AM114" t="str">
            <v>OK</v>
          </cell>
          <cell r="AO114">
            <v>0.54518510802469489</v>
          </cell>
          <cell r="AP114">
            <v>0.54518510802469489</v>
          </cell>
          <cell r="AQ114">
            <v>0</v>
          </cell>
          <cell r="AR114">
            <v>0.54518510802469489</v>
          </cell>
          <cell r="AS114">
            <v>0</v>
          </cell>
          <cell r="AT114">
            <v>45978</v>
          </cell>
          <cell r="AU114">
            <v>0.54518510802469489</v>
          </cell>
          <cell r="AV114">
            <v>16.355553240740846</v>
          </cell>
          <cell r="AW114">
            <v>0.54518510802469489</v>
          </cell>
          <cell r="AY114">
            <v>21.463691782410024</v>
          </cell>
          <cell r="AZ114" t="str">
            <v>F18</v>
          </cell>
          <cell r="BA114">
            <v>0</v>
          </cell>
          <cell r="BB114" t="str">
            <v>NSST</v>
          </cell>
          <cell r="BC114" t="str">
            <v>F18</v>
          </cell>
        </row>
        <row r="115">
          <cell r="A115" t="str">
            <v>509D2</v>
          </cell>
          <cell r="B115" t="str">
            <v>3</v>
          </cell>
          <cell r="C115" t="str">
            <v>05</v>
          </cell>
          <cell r="D115">
            <v>16</v>
          </cell>
          <cell r="E115" t="str">
            <v>509D2</v>
          </cell>
          <cell r="F115">
            <v>11.94</v>
          </cell>
          <cell r="G115">
            <v>9.42</v>
          </cell>
          <cell r="H115">
            <v>9.42</v>
          </cell>
          <cell r="I115" t="str">
            <v>BK</v>
          </cell>
          <cell r="J115" t="str">
            <v>SC</v>
          </cell>
          <cell r="K115">
            <v>0</v>
          </cell>
          <cell r="L115">
            <v>45861</v>
          </cell>
          <cell r="M115">
            <v>45861</v>
          </cell>
          <cell r="N115">
            <v>133</v>
          </cell>
          <cell r="O115" t="str">
            <v>NS</v>
          </cell>
          <cell r="P115" t="str">
            <v/>
          </cell>
          <cell r="Q115">
            <v>45861</v>
          </cell>
          <cell r="R115" t="str">
            <v/>
          </cell>
          <cell r="S115" t="str">
            <v/>
          </cell>
          <cell r="T115" t="str">
            <v/>
          </cell>
          <cell r="U115">
            <v>70467</v>
          </cell>
          <cell r="V115">
            <v>51156</v>
          </cell>
          <cell r="W115">
            <v>44829</v>
          </cell>
          <cell r="X115" t="str">
            <v>Lokasi Produksi 509D2 ( pecahan 509D )</v>
          </cell>
          <cell r="Z115">
            <v>0</v>
          </cell>
          <cell r="AA115">
            <v>45861</v>
          </cell>
          <cell r="AB115">
            <v>182.59733611111005</v>
          </cell>
          <cell r="AC115">
            <v>6.086577870370335</v>
          </cell>
          <cell r="AD115">
            <v>-1.913422129629665</v>
          </cell>
          <cell r="AE115">
            <v>12.85</v>
          </cell>
          <cell r="AF115">
            <v>0</v>
          </cell>
          <cell r="AG115">
            <v>-1368.6</v>
          </cell>
          <cell r="AM115" t="str">
            <v>OK</v>
          </cell>
          <cell r="AO115">
            <v>4.4451851080246945</v>
          </cell>
          <cell r="AP115">
            <v>4.4451851080246945</v>
          </cell>
          <cell r="AQ115">
            <v>0</v>
          </cell>
          <cell r="AR115">
            <v>4.4451851080246945</v>
          </cell>
          <cell r="AS115">
            <v>0</v>
          </cell>
          <cell r="AT115">
            <v>45861</v>
          </cell>
          <cell r="AU115">
            <v>4.4451851080246945</v>
          </cell>
          <cell r="AV115">
            <v>133.35555324074085</v>
          </cell>
          <cell r="AW115">
            <v>4.4451851080246945</v>
          </cell>
          <cell r="AY115">
            <v>138.46369178241002</v>
          </cell>
          <cell r="AZ115" t="str">
            <v>F18</v>
          </cell>
          <cell r="BA115">
            <v>0</v>
          </cell>
          <cell r="BB115" t="str">
            <v>NSBK</v>
          </cell>
          <cell r="BC115" t="str">
            <v>F18</v>
          </cell>
        </row>
        <row r="116">
          <cell r="A116" t="str">
            <v>509E</v>
          </cell>
          <cell r="B116" t="str">
            <v>3</v>
          </cell>
          <cell r="C116" t="str">
            <v>05</v>
          </cell>
          <cell r="D116">
            <v>16</v>
          </cell>
          <cell r="E116" t="str">
            <v>509E</v>
          </cell>
          <cell r="F116">
            <v>10.119999999999999</v>
          </cell>
          <cell r="G116">
            <v>8.4</v>
          </cell>
          <cell r="H116">
            <v>8.4</v>
          </cell>
          <cell r="I116" t="str">
            <v>BB</v>
          </cell>
          <cell r="J116" t="str">
            <v>FC</v>
          </cell>
          <cell r="K116">
            <v>0</v>
          </cell>
          <cell r="L116">
            <v>45908</v>
          </cell>
          <cell r="M116">
            <v>45908</v>
          </cell>
          <cell r="N116">
            <v>86</v>
          </cell>
          <cell r="O116" t="str">
            <v>NS</v>
          </cell>
          <cell r="P116" t="str">
            <v/>
          </cell>
          <cell r="Q116">
            <v>45908</v>
          </cell>
          <cell r="R116" t="str">
            <v/>
          </cell>
          <cell r="S116" t="str">
            <v/>
          </cell>
          <cell r="T116" t="str">
            <v/>
          </cell>
          <cell r="U116">
            <v>70166</v>
          </cell>
          <cell r="V116">
            <v>71190</v>
          </cell>
          <cell r="W116">
            <v>44888</v>
          </cell>
          <cell r="X116" t="str">
            <v>Lokasi Produksi 509E</v>
          </cell>
          <cell r="Z116">
            <v>0</v>
          </cell>
          <cell r="AA116">
            <v>45908</v>
          </cell>
          <cell r="AB116">
            <v>640.59733611111005</v>
          </cell>
          <cell r="AC116">
            <v>21.353244537037003</v>
          </cell>
          <cell r="AD116">
            <v>7.3532445370370034</v>
          </cell>
          <cell r="AE116">
            <v>7.15</v>
          </cell>
          <cell r="AF116">
            <v>0</v>
          </cell>
          <cell r="AG116">
            <v>-1353.3333333333333</v>
          </cell>
          <cell r="AM116" t="str">
            <v>OK</v>
          </cell>
          <cell r="AO116">
            <v>2.878518441358028</v>
          </cell>
          <cell r="AP116">
            <v>2.878518441358028</v>
          </cell>
          <cell r="AQ116">
            <v>0</v>
          </cell>
          <cell r="AR116">
            <v>2.878518441358028</v>
          </cell>
          <cell r="AS116">
            <v>0</v>
          </cell>
          <cell r="AT116">
            <v>45908</v>
          </cell>
          <cell r="AU116">
            <v>2.878518441358028</v>
          </cell>
          <cell r="AV116">
            <v>86.355553240740846</v>
          </cell>
          <cell r="AW116">
            <v>2.878518441358028</v>
          </cell>
          <cell r="AY116">
            <v>91.463691782410024</v>
          </cell>
          <cell r="AZ116" t="str">
            <v>F18</v>
          </cell>
          <cell r="BA116">
            <v>0</v>
          </cell>
          <cell r="BB116" t="str">
            <v>NSBB</v>
          </cell>
          <cell r="BC116" t="str">
            <v>F18</v>
          </cell>
        </row>
        <row r="117">
          <cell r="A117" t="str">
            <v>509F</v>
          </cell>
          <cell r="B117" t="str">
            <v>3</v>
          </cell>
          <cell r="C117" t="str">
            <v>05</v>
          </cell>
          <cell r="D117">
            <v>16</v>
          </cell>
          <cell r="E117" t="str">
            <v>509F</v>
          </cell>
          <cell r="F117">
            <v>13.85</v>
          </cell>
          <cell r="G117">
            <v>11.52</v>
          </cell>
          <cell r="H117">
            <v>11.52</v>
          </cell>
          <cell r="I117" t="str">
            <v>FC</v>
          </cell>
          <cell r="J117" t="str">
            <v>ST</v>
          </cell>
          <cell r="K117">
            <v>10</v>
          </cell>
          <cell r="L117">
            <v>45856</v>
          </cell>
          <cell r="M117">
            <v>45856</v>
          </cell>
          <cell r="N117">
            <v>138</v>
          </cell>
          <cell r="O117" t="str">
            <v>NS</v>
          </cell>
          <cell r="P117" t="str">
            <v>NSF18SB3</v>
          </cell>
          <cell r="Q117">
            <v>46161</v>
          </cell>
          <cell r="R117" t="str">
            <v/>
          </cell>
          <cell r="S117" t="str">
            <v/>
          </cell>
          <cell r="T117" t="str">
            <v/>
          </cell>
          <cell r="U117">
            <v>68960</v>
          </cell>
          <cell r="V117">
            <v>72865</v>
          </cell>
          <cell r="W117" t="str">
            <v/>
          </cell>
          <cell r="X117" t="str">
            <v>Lokasi Produksi 509F</v>
          </cell>
          <cell r="Z117">
            <v>10</v>
          </cell>
          <cell r="AA117">
            <v>46161</v>
          </cell>
          <cell r="AB117">
            <v>221.59733611111005</v>
          </cell>
          <cell r="AC117">
            <v>7.3865778703703349</v>
          </cell>
          <cell r="AD117">
            <v>-6.6134221296296651</v>
          </cell>
          <cell r="AE117">
            <v>20.62</v>
          </cell>
          <cell r="AF117">
            <v>0</v>
          </cell>
          <cell r="AG117">
            <v>-1367.3</v>
          </cell>
          <cell r="AM117" t="str">
            <v>OK</v>
          </cell>
          <cell r="AO117">
            <v>4.6118517746913614</v>
          </cell>
          <cell r="AP117">
            <v>-5.3881482253086386</v>
          </cell>
          <cell r="AQ117">
            <v>0</v>
          </cell>
          <cell r="AR117">
            <v>4.6118517746913614</v>
          </cell>
          <cell r="AS117">
            <v>0</v>
          </cell>
          <cell r="AT117">
            <v>46161</v>
          </cell>
          <cell r="AU117">
            <v>-5.3881482253086386</v>
          </cell>
          <cell r="AV117">
            <v>138.35555324074085</v>
          </cell>
          <cell r="AW117">
            <v>-5.3881482253086386</v>
          </cell>
          <cell r="AY117">
            <v>143.46369178241002</v>
          </cell>
          <cell r="AZ117" t="str">
            <v>F18</v>
          </cell>
          <cell r="BA117">
            <v>11.52</v>
          </cell>
          <cell r="BB117" t="str">
            <v>NSFC</v>
          </cell>
          <cell r="BC117" t="str">
            <v>F18SB</v>
          </cell>
        </row>
        <row r="118">
          <cell r="A118" t="str">
            <v>509PS</v>
          </cell>
          <cell r="B118" t="str">
            <v>3</v>
          </cell>
          <cell r="C118" t="str">
            <v>05</v>
          </cell>
          <cell r="D118">
            <v>16</v>
          </cell>
          <cell r="E118" t="str">
            <v>509PS</v>
          </cell>
          <cell r="F118">
            <v>0.3</v>
          </cell>
          <cell r="G118">
            <v>0.3</v>
          </cell>
          <cell r="H118">
            <v>0.3</v>
          </cell>
          <cell r="I118" t="str">
            <v>FC</v>
          </cell>
          <cell r="J118" t="str">
            <v>ST</v>
          </cell>
          <cell r="K118">
            <v>0</v>
          </cell>
          <cell r="L118">
            <v>45813</v>
          </cell>
          <cell r="M118">
            <v>45813</v>
          </cell>
          <cell r="N118">
            <v>181</v>
          </cell>
          <cell r="O118" t="str">
            <v>SK</v>
          </cell>
          <cell r="P118" t="str">
            <v/>
          </cell>
          <cell r="Q118">
            <v>45813</v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>
            <v>45437</v>
          </cell>
          <cell r="X118" t="str">
            <v>Lokasi Produksi 509PS ( singkong )</v>
          </cell>
          <cell r="Z118">
            <v>0</v>
          </cell>
          <cell r="AA118">
            <v>45813</v>
          </cell>
          <cell r="AB118">
            <v>607.59733611111005</v>
          </cell>
          <cell r="AC118">
            <v>20.253244537037002</v>
          </cell>
          <cell r="AD118">
            <v>6.253244537037002</v>
          </cell>
          <cell r="AE118">
            <v>15.66</v>
          </cell>
          <cell r="AF118">
            <v>0</v>
          </cell>
          <cell r="AG118">
            <v>-1354.4333333333334</v>
          </cell>
          <cell r="AM118" t="str">
            <v>OK</v>
          </cell>
          <cell r="AO118">
            <v>6.045185108024695</v>
          </cell>
          <cell r="AP118">
            <v>6.045185108024695</v>
          </cell>
          <cell r="AQ118">
            <v>0</v>
          </cell>
          <cell r="AR118">
            <v>6.045185108024695</v>
          </cell>
          <cell r="AS118">
            <v>0</v>
          </cell>
          <cell r="AT118">
            <v>45813</v>
          </cell>
          <cell r="AU118">
            <v>6.045185108024695</v>
          </cell>
          <cell r="AV118">
            <v>181.35555324074085</v>
          </cell>
          <cell r="AW118">
            <v>6.045185108024695</v>
          </cell>
          <cell r="AY118">
            <v>186.46369178241002</v>
          </cell>
          <cell r="AZ118" t="str">
            <v>F18</v>
          </cell>
          <cell r="BA118">
            <v>0</v>
          </cell>
          <cell r="BB118" t="str">
            <v>SKFC</v>
          </cell>
          <cell r="BC118" t="str">
            <v>F18</v>
          </cell>
        </row>
        <row r="119">
          <cell r="A119" t="str">
            <v>510A2</v>
          </cell>
          <cell r="B119" t="str">
            <v>3</v>
          </cell>
          <cell r="C119" t="str">
            <v>05</v>
          </cell>
          <cell r="D119">
            <v>16</v>
          </cell>
          <cell r="E119" t="str">
            <v>510A2</v>
          </cell>
          <cell r="F119">
            <v>11.24</v>
          </cell>
          <cell r="G119">
            <v>9.49</v>
          </cell>
          <cell r="H119">
            <v>9.49</v>
          </cell>
          <cell r="I119" t="str">
            <v>FC</v>
          </cell>
          <cell r="J119" t="str">
            <v>ST</v>
          </cell>
          <cell r="K119">
            <v>14</v>
          </cell>
          <cell r="L119">
            <v>45577</v>
          </cell>
          <cell r="M119">
            <v>45577</v>
          </cell>
          <cell r="N119">
            <v>417</v>
          </cell>
          <cell r="O119" t="str">
            <v>NS</v>
          </cell>
          <cell r="P119" t="str">
            <v>NSGP3CK3</v>
          </cell>
          <cell r="Q119">
            <v>46004</v>
          </cell>
          <cell r="R119" t="str">
            <v/>
          </cell>
          <cell r="S119" t="str">
            <v/>
          </cell>
          <cell r="T119">
            <v>45990</v>
          </cell>
          <cell r="U119">
            <v>62916</v>
          </cell>
          <cell r="V119">
            <v>65193</v>
          </cell>
          <cell r="W119" t="str">
            <v/>
          </cell>
          <cell r="X119" t="str">
            <v>Lokasi Produksi 510A2 ( pecahan 510A )</v>
          </cell>
          <cell r="Z119">
            <v>14</v>
          </cell>
          <cell r="AA119">
            <v>46004</v>
          </cell>
          <cell r="AB119">
            <v>477.59733611111005</v>
          </cell>
          <cell r="AC119">
            <v>15.919911203703668</v>
          </cell>
          <cell r="AD119">
            <v>1.9199112037036681</v>
          </cell>
          <cell r="AE119">
            <v>13.02</v>
          </cell>
          <cell r="AF119">
            <v>0</v>
          </cell>
          <cell r="AG119">
            <v>-1358.7666666666667</v>
          </cell>
          <cell r="AM119" t="str">
            <v>OK</v>
          </cell>
          <cell r="AO119">
            <v>13.911851774691362</v>
          </cell>
          <cell r="AP119">
            <v>-8.8148225308637862E-2</v>
          </cell>
          <cell r="AQ119">
            <v>45990</v>
          </cell>
          <cell r="AR119">
            <v>13.766666666666667</v>
          </cell>
          <cell r="AS119">
            <v>0.14518510802469464</v>
          </cell>
          <cell r="AT119">
            <v>46004</v>
          </cell>
          <cell r="AU119">
            <v>0.14518510802469464</v>
          </cell>
          <cell r="AV119">
            <v>413</v>
          </cell>
          <cell r="AW119">
            <v>0.14518510802469464</v>
          </cell>
          <cell r="AY119">
            <v>422.46369178241002</v>
          </cell>
          <cell r="AZ119" t="str">
            <v>GP3</v>
          </cell>
          <cell r="BA119">
            <v>9.49</v>
          </cell>
          <cell r="BB119" t="str">
            <v>NSFC</v>
          </cell>
          <cell r="BC119" t="str">
            <v>GP3CK</v>
          </cell>
        </row>
        <row r="120">
          <cell r="A120" t="str">
            <v>510A3</v>
          </cell>
          <cell r="B120" t="str">
            <v>3</v>
          </cell>
          <cell r="C120" t="str">
            <v>05</v>
          </cell>
          <cell r="D120">
            <v>16</v>
          </cell>
          <cell r="E120" t="str">
            <v>510A3</v>
          </cell>
          <cell r="F120">
            <v>4.9000000000000004</v>
          </cell>
          <cell r="G120">
            <v>4.0999999999999996</v>
          </cell>
          <cell r="H120">
            <v>4.0999999999999996</v>
          </cell>
          <cell r="I120" t="str">
            <v>FC</v>
          </cell>
          <cell r="J120" t="str">
            <v>ST</v>
          </cell>
          <cell r="K120">
            <v>14</v>
          </cell>
          <cell r="L120">
            <v>45577</v>
          </cell>
          <cell r="M120">
            <v>45577</v>
          </cell>
          <cell r="N120">
            <v>417</v>
          </cell>
          <cell r="O120" t="str">
            <v>NS</v>
          </cell>
          <cell r="P120" t="str">
            <v>NSGP3CK3</v>
          </cell>
          <cell r="Q120">
            <v>46004</v>
          </cell>
          <cell r="R120" t="str">
            <v/>
          </cell>
          <cell r="S120" t="str">
            <v/>
          </cell>
          <cell r="T120">
            <v>45990</v>
          </cell>
          <cell r="U120">
            <v>62155</v>
          </cell>
          <cell r="V120">
            <v>64348</v>
          </cell>
          <cell r="W120" t="str">
            <v/>
          </cell>
          <cell r="X120" t="str">
            <v>Lokasi Produksi 510A3 ( pecahan 510A )</v>
          </cell>
          <cell r="Z120">
            <v>14</v>
          </cell>
          <cell r="AA120">
            <v>46004</v>
          </cell>
          <cell r="AB120">
            <v>253.59733611111005</v>
          </cell>
          <cell r="AC120">
            <v>8.4532445370370013</v>
          </cell>
          <cell r="AD120">
            <v>-20</v>
          </cell>
          <cell r="AE120">
            <v>0</v>
          </cell>
          <cell r="AF120">
            <v>0</v>
          </cell>
          <cell r="AG120">
            <v>-1366.2333333333333</v>
          </cell>
          <cell r="AM120" t="str">
            <v>OK</v>
          </cell>
          <cell r="AO120">
            <v>13.911851774691362</v>
          </cell>
          <cell r="AP120">
            <v>-8.8148225308637862E-2</v>
          </cell>
          <cell r="AQ120">
            <v>45990</v>
          </cell>
          <cell r="AR120">
            <v>13.766666666666667</v>
          </cell>
          <cell r="AS120">
            <v>0.14518510802469464</v>
          </cell>
          <cell r="AT120">
            <v>46004</v>
          </cell>
          <cell r="AU120">
            <v>0.14518510802469464</v>
          </cell>
          <cell r="AV120">
            <v>413</v>
          </cell>
          <cell r="AW120">
            <v>0.14518510802469464</v>
          </cell>
          <cell r="AY120">
            <v>422.46369178241002</v>
          </cell>
          <cell r="AZ120" t="str">
            <v>GP3</v>
          </cell>
          <cell r="BA120">
            <v>4.0999999999999996</v>
          </cell>
          <cell r="BB120" t="str">
            <v>NSFC</v>
          </cell>
          <cell r="BC120" t="str">
            <v>GP3CK</v>
          </cell>
        </row>
        <row r="121">
          <cell r="A121" t="str">
            <v>510B</v>
          </cell>
          <cell r="B121" t="str">
            <v>3</v>
          </cell>
          <cell r="C121" t="str">
            <v>05</v>
          </cell>
          <cell r="D121">
            <v>16</v>
          </cell>
          <cell r="E121" t="str">
            <v>510B</v>
          </cell>
          <cell r="F121">
            <v>13.65</v>
          </cell>
          <cell r="G121">
            <v>10.64</v>
          </cell>
          <cell r="H121">
            <v>10.64</v>
          </cell>
          <cell r="I121" t="str">
            <v>BK</v>
          </cell>
          <cell r="J121" t="str">
            <v>SC</v>
          </cell>
          <cell r="K121">
            <v>0</v>
          </cell>
          <cell r="L121">
            <v>45937</v>
          </cell>
          <cell r="M121">
            <v>45937</v>
          </cell>
          <cell r="N121">
            <v>57</v>
          </cell>
          <cell r="O121" t="str">
            <v>NS</v>
          </cell>
          <cell r="P121" t="str">
            <v/>
          </cell>
          <cell r="Q121">
            <v>45937</v>
          </cell>
          <cell r="R121" t="str">
            <v/>
          </cell>
          <cell r="S121" t="str">
            <v/>
          </cell>
          <cell r="T121" t="str">
            <v/>
          </cell>
          <cell r="U121">
            <v>70312</v>
          </cell>
          <cell r="V121">
            <v>51847</v>
          </cell>
          <cell r="W121">
            <v>43862</v>
          </cell>
          <cell r="X121" t="str">
            <v>Lokasi Produksi 510B</v>
          </cell>
          <cell r="Z121">
            <v>0</v>
          </cell>
          <cell r="AA121">
            <v>45937</v>
          </cell>
          <cell r="AB121">
            <v>110.59733611111005</v>
          </cell>
          <cell r="AC121">
            <v>3.6865778703703351</v>
          </cell>
          <cell r="AD121">
            <v>-20</v>
          </cell>
          <cell r="AE121">
            <v>0</v>
          </cell>
          <cell r="AF121">
            <v>0</v>
          </cell>
          <cell r="AG121">
            <v>-1371</v>
          </cell>
          <cell r="AM121" t="str">
            <v>OK</v>
          </cell>
          <cell r="AO121">
            <v>1.9118517746913615</v>
          </cell>
          <cell r="AP121">
            <v>1.9118517746913615</v>
          </cell>
          <cell r="AQ121">
            <v>0</v>
          </cell>
          <cell r="AR121">
            <v>1.9118517746913615</v>
          </cell>
          <cell r="AS121">
            <v>0</v>
          </cell>
          <cell r="AT121">
            <v>45937</v>
          </cell>
          <cell r="AU121">
            <v>1.9118517746913615</v>
          </cell>
          <cell r="AV121">
            <v>57.355553240740846</v>
          </cell>
          <cell r="AW121">
            <v>1.9118517746913615</v>
          </cell>
          <cell r="AY121">
            <v>62.463691782410024</v>
          </cell>
          <cell r="AZ121" t="str">
            <v>F18</v>
          </cell>
          <cell r="BA121">
            <v>0</v>
          </cell>
          <cell r="BB121" t="str">
            <v>NSBK</v>
          </cell>
          <cell r="BC121" t="str">
            <v>F18</v>
          </cell>
        </row>
        <row r="122">
          <cell r="A122" t="str">
            <v>510C1A</v>
          </cell>
          <cell r="B122" t="str">
            <v>3</v>
          </cell>
          <cell r="C122" t="str">
            <v>05</v>
          </cell>
          <cell r="D122">
            <v>16</v>
          </cell>
          <cell r="E122" t="str">
            <v>510C1A</v>
          </cell>
          <cell r="F122">
            <v>7.94</v>
          </cell>
          <cell r="G122">
            <v>6.3</v>
          </cell>
          <cell r="H122">
            <v>6.3</v>
          </cell>
          <cell r="I122" t="str">
            <v>SC</v>
          </cell>
          <cell r="J122" t="str">
            <v>FC</v>
          </cell>
          <cell r="K122">
            <v>8</v>
          </cell>
          <cell r="L122">
            <v>45825</v>
          </cell>
          <cell r="M122">
            <v>45825</v>
          </cell>
          <cell r="N122">
            <v>169</v>
          </cell>
          <cell r="O122" t="str">
            <v>NS</v>
          </cell>
          <cell r="P122" t="str">
            <v/>
          </cell>
          <cell r="Q122">
            <v>46069</v>
          </cell>
          <cell r="R122" t="str">
            <v/>
          </cell>
          <cell r="S122" t="str">
            <v/>
          </cell>
          <cell r="T122" t="str">
            <v/>
          </cell>
          <cell r="U122">
            <v>68523</v>
          </cell>
          <cell r="V122">
            <v>69235</v>
          </cell>
          <cell r="W122" t="str">
            <v/>
          </cell>
          <cell r="X122" t="str">
            <v>Lokasi Produksi 510C1A ( pecahan 510C )</v>
          </cell>
          <cell r="Z122">
            <v>8</v>
          </cell>
          <cell r="AA122">
            <v>46069</v>
          </cell>
          <cell r="AB122">
            <v>5439.5973361111101</v>
          </cell>
          <cell r="AC122">
            <v>181.31991120370367</v>
          </cell>
          <cell r="AD122">
            <v>-20</v>
          </cell>
          <cell r="AE122">
            <v>0</v>
          </cell>
          <cell r="AF122">
            <v>0</v>
          </cell>
          <cell r="AG122">
            <v>-1193.3666666666666</v>
          </cell>
          <cell r="AK122">
            <v>40465</v>
          </cell>
          <cell r="AM122" t="str">
            <v>OK</v>
          </cell>
          <cell r="AO122">
            <v>5.6451851080246946</v>
          </cell>
          <cell r="AP122">
            <v>-2.3548148919753054</v>
          </cell>
          <cell r="AQ122">
            <v>0</v>
          </cell>
          <cell r="AR122">
            <v>5.6451851080246946</v>
          </cell>
          <cell r="AS122">
            <v>0</v>
          </cell>
          <cell r="AT122">
            <v>46069</v>
          </cell>
          <cell r="AU122">
            <v>-2.3548148919753054</v>
          </cell>
          <cell r="AV122">
            <v>169.35555324074085</v>
          </cell>
          <cell r="AW122">
            <v>-2.3548148919753054</v>
          </cell>
          <cell r="AY122">
            <v>174.46369178241002</v>
          </cell>
          <cell r="AZ122" t="str">
            <v>F18</v>
          </cell>
          <cell r="BA122">
            <v>6.3</v>
          </cell>
          <cell r="BB122" t="str">
            <v>NSSC</v>
          </cell>
          <cell r="BC122" t="str">
            <v>F18</v>
          </cell>
        </row>
        <row r="123">
          <cell r="A123" t="str">
            <v>510C1B</v>
          </cell>
          <cell r="B123" t="str">
            <v>3</v>
          </cell>
          <cell r="C123" t="str">
            <v>05</v>
          </cell>
          <cell r="D123">
            <v>16</v>
          </cell>
          <cell r="E123" t="str">
            <v>510C1B</v>
          </cell>
          <cell r="F123">
            <v>9.3800000000000008</v>
          </cell>
          <cell r="G123">
            <v>7.32</v>
          </cell>
          <cell r="H123">
            <v>7.32</v>
          </cell>
          <cell r="I123" t="str">
            <v>SC</v>
          </cell>
          <cell r="J123" t="str">
            <v>FC</v>
          </cell>
          <cell r="K123">
            <v>8</v>
          </cell>
          <cell r="L123">
            <v>45828</v>
          </cell>
          <cell r="M123">
            <v>45828</v>
          </cell>
          <cell r="N123">
            <v>166</v>
          </cell>
          <cell r="O123" t="str">
            <v>NS</v>
          </cell>
          <cell r="P123" t="str">
            <v/>
          </cell>
          <cell r="Q123">
            <v>46072</v>
          </cell>
          <cell r="R123" t="str">
            <v/>
          </cell>
          <cell r="S123" t="str">
            <v/>
          </cell>
          <cell r="T123" t="str">
            <v/>
          </cell>
          <cell r="U123">
            <v>69276</v>
          </cell>
          <cell r="V123">
            <v>68642</v>
          </cell>
          <cell r="W123" t="str">
            <v/>
          </cell>
          <cell r="X123" t="str">
            <v>Lokasi Produksi 510C1B ( pecahan 510C )</v>
          </cell>
          <cell r="Z123">
            <v>8</v>
          </cell>
          <cell r="AA123">
            <v>46072</v>
          </cell>
          <cell r="AB123">
            <v>561.59733611111005</v>
          </cell>
          <cell r="AC123">
            <v>18.719911203703667</v>
          </cell>
          <cell r="AD123">
            <v>4.719911203703667</v>
          </cell>
          <cell r="AE123">
            <v>10.220000000000001</v>
          </cell>
          <cell r="AF123">
            <v>0</v>
          </cell>
          <cell r="AG123">
            <v>-1355.9666666666667</v>
          </cell>
          <cell r="AM123" t="str">
            <v>OK</v>
          </cell>
          <cell r="AO123">
            <v>5.545185108024695</v>
          </cell>
          <cell r="AP123">
            <v>-2.454814891975305</v>
          </cell>
          <cell r="AQ123">
            <v>0</v>
          </cell>
          <cell r="AR123">
            <v>5.545185108024695</v>
          </cell>
          <cell r="AS123">
            <v>0</v>
          </cell>
          <cell r="AT123">
            <v>46072</v>
          </cell>
          <cell r="AU123">
            <v>-2.454814891975305</v>
          </cell>
          <cell r="AV123">
            <v>166.35555324074085</v>
          </cell>
          <cell r="AW123">
            <v>-2.454814891975305</v>
          </cell>
          <cell r="AY123">
            <v>171.46369178241002</v>
          </cell>
          <cell r="AZ123" t="str">
            <v>F18</v>
          </cell>
          <cell r="BA123">
            <v>7.32</v>
          </cell>
          <cell r="BB123" t="str">
            <v>NSSC</v>
          </cell>
          <cell r="BC123" t="str">
            <v>F18</v>
          </cell>
        </row>
        <row r="124">
          <cell r="A124" t="str">
            <v>511A</v>
          </cell>
          <cell r="B124" t="str">
            <v>3</v>
          </cell>
          <cell r="C124" t="str">
            <v>05</v>
          </cell>
          <cell r="D124">
            <v>16</v>
          </cell>
          <cell r="E124" t="str">
            <v>511A</v>
          </cell>
          <cell r="F124">
            <v>10.91</v>
          </cell>
          <cell r="G124">
            <v>9.14</v>
          </cell>
          <cell r="H124">
            <v>9.14</v>
          </cell>
          <cell r="I124" t="str">
            <v>ST</v>
          </cell>
          <cell r="J124" t="str">
            <v>BK</v>
          </cell>
          <cell r="K124">
            <v>0</v>
          </cell>
          <cell r="L124">
            <v>45962</v>
          </cell>
          <cell r="M124">
            <v>45962</v>
          </cell>
          <cell r="N124">
            <v>32</v>
          </cell>
          <cell r="O124" t="str">
            <v>NS</v>
          </cell>
          <cell r="P124" t="str">
            <v/>
          </cell>
          <cell r="Q124">
            <v>45962</v>
          </cell>
          <cell r="R124" t="str">
            <v/>
          </cell>
          <cell r="S124" t="str">
            <v/>
          </cell>
          <cell r="T124" t="str">
            <v/>
          </cell>
          <cell r="U124">
            <v>70724</v>
          </cell>
          <cell r="V124">
            <v>73128</v>
          </cell>
          <cell r="W124">
            <v>43466</v>
          </cell>
          <cell r="X124" t="str">
            <v>Lokasi Produksi 511A</v>
          </cell>
          <cell r="Z124">
            <v>0</v>
          </cell>
          <cell r="AA124">
            <v>45962</v>
          </cell>
          <cell r="AB124">
            <v>183.59733611111005</v>
          </cell>
          <cell r="AC124">
            <v>6.1199112037036683</v>
          </cell>
          <cell r="AD124">
            <v>-20</v>
          </cell>
          <cell r="AE124">
            <v>0</v>
          </cell>
          <cell r="AF124">
            <v>0</v>
          </cell>
          <cell r="AG124">
            <v>-1368.5666666666666</v>
          </cell>
          <cell r="AK124">
            <v>40280</v>
          </cell>
          <cell r="AM124" t="str">
            <v>OK</v>
          </cell>
          <cell r="AO124">
            <v>1.0785184413580282</v>
          </cell>
          <cell r="AP124">
            <v>1.0785184413580282</v>
          </cell>
          <cell r="AQ124">
            <v>0</v>
          </cell>
          <cell r="AR124">
            <v>1.0785184413580282</v>
          </cell>
          <cell r="AS124">
            <v>0</v>
          </cell>
          <cell r="AT124">
            <v>45962</v>
          </cell>
          <cell r="AU124">
            <v>1.0785184413580282</v>
          </cell>
          <cell r="AV124">
            <v>32.355553240740846</v>
          </cell>
          <cell r="AW124">
            <v>1.0785184413580282</v>
          </cell>
          <cell r="AY124">
            <v>37.463691782410024</v>
          </cell>
          <cell r="AZ124" t="str">
            <v>F18</v>
          </cell>
          <cell r="BA124">
            <v>0</v>
          </cell>
          <cell r="BB124" t="str">
            <v>NSST</v>
          </cell>
          <cell r="BC124" t="str">
            <v>F18</v>
          </cell>
        </row>
        <row r="125">
          <cell r="A125" t="str">
            <v>511B</v>
          </cell>
          <cell r="B125" t="str">
            <v>3</v>
          </cell>
          <cell r="C125" t="str">
            <v>05</v>
          </cell>
          <cell r="D125">
            <v>16</v>
          </cell>
          <cell r="E125" t="str">
            <v>511B</v>
          </cell>
          <cell r="F125">
            <v>14.21</v>
          </cell>
          <cell r="G125">
            <v>11.69</v>
          </cell>
          <cell r="H125">
            <v>11.69</v>
          </cell>
          <cell r="I125" t="str">
            <v>FC</v>
          </cell>
          <cell r="J125" t="str">
            <v>ST</v>
          </cell>
          <cell r="K125">
            <v>14</v>
          </cell>
          <cell r="L125">
            <v>45633</v>
          </cell>
          <cell r="M125">
            <v>45633</v>
          </cell>
          <cell r="N125">
            <v>361</v>
          </cell>
          <cell r="O125" t="str">
            <v>NS</v>
          </cell>
          <cell r="P125" t="str">
            <v>NSGP3CK3</v>
          </cell>
          <cell r="Q125">
            <v>46060</v>
          </cell>
          <cell r="R125" t="str">
            <v/>
          </cell>
          <cell r="S125" t="str">
            <v/>
          </cell>
          <cell r="T125" t="str">
            <v/>
          </cell>
          <cell r="U125">
            <v>66918</v>
          </cell>
          <cell r="V125">
            <v>67887</v>
          </cell>
          <cell r="W125">
            <v>43466</v>
          </cell>
          <cell r="X125" t="str">
            <v>Lokasi Produksi 511B</v>
          </cell>
          <cell r="Z125">
            <v>14</v>
          </cell>
          <cell r="AA125">
            <v>46060</v>
          </cell>
          <cell r="AB125">
            <v>373.59733611111005</v>
          </cell>
          <cell r="AC125">
            <v>12.453244537037001</v>
          </cell>
          <cell r="AD125">
            <v>-20</v>
          </cell>
          <cell r="AE125">
            <v>0</v>
          </cell>
          <cell r="AF125">
            <v>0</v>
          </cell>
          <cell r="AG125">
            <v>-1362.2333333333333</v>
          </cell>
          <cell r="AM125" t="str">
            <v>OK</v>
          </cell>
          <cell r="AO125">
            <v>12.045185108024695</v>
          </cell>
          <cell r="AP125">
            <v>-1.954814891975305</v>
          </cell>
          <cell r="AQ125">
            <v>0</v>
          </cell>
          <cell r="AR125">
            <v>12.045185108024695</v>
          </cell>
          <cell r="AS125">
            <v>0</v>
          </cell>
          <cell r="AT125">
            <v>46060</v>
          </cell>
          <cell r="AU125">
            <v>-1.954814891975305</v>
          </cell>
          <cell r="AV125">
            <v>361.35555324074085</v>
          </cell>
          <cell r="AW125">
            <v>-1.954814891975305</v>
          </cell>
          <cell r="AY125">
            <v>366.46369178241002</v>
          </cell>
          <cell r="AZ125" t="str">
            <v>GP3</v>
          </cell>
          <cell r="BA125">
            <v>11.69</v>
          </cell>
          <cell r="BB125" t="str">
            <v>NSFC</v>
          </cell>
          <cell r="BC125" t="str">
            <v>GP3CK</v>
          </cell>
        </row>
        <row r="126">
          <cell r="A126" t="str">
            <v>511C</v>
          </cell>
          <cell r="B126" t="str">
            <v>3</v>
          </cell>
          <cell r="C126" t="str">
            <v>05</v>
          </cell>
          <cell r="D126">
            <v>16</v>
          </cell>
          <cell r="E126" t="str">
            <v>511C</v>
          </cell>
          <cell r="F126">
            <v>12.33</v>
          </cell>
          <cell r="G126">
            <v>9.69</v>
          </cell>
          <cell r="H126">
            <v>9.69</v>
          </cell>
          <cell r="I126" t="str">
            <v>BK</v>
          </cell>
          <cell r="J126" t="str">
            <v>BB</v>
          </cell>
          <cell r="K126">
            <v>0</v>
          </cell>
          <cell r="L126">
            <v>45958</v>
          </cell>
          <cell r="M126">
            <v>45958</v>
          </cell>
          <cell r="N126">
            <v>36</v>
          </cell>
          <cell r="O126" t="str">
            <v>NS</v>
          </cell>
          <cell r="P126" t="str">
            <v/>
          </cell>
          <cell r="Q126">
            <v>45958</v>
          </cell>
          <cell r="R126" t="str">
            <v/>
          </cell>
          <cell r="S126" t="str">
            <v/>
          </cell>
          <cell r="T126" t="str">
            <v/>
          </cell>
          <cell r="U126">
            <v>70724</v>
          </cell>
          <cell r="V126">
            <v>72865</v>
          </cell>
          <cell r="W126">
            <v>43721</v>
          </cell>
          <cell r="X126" t="str">
            <v>Lokasi Produksi 511C</v>
          </cell>
          <cell r="Z126">
            <v>0</v>
          </cell>
          <cell r="AA126">
            <v>45958</v>
          </cell>
          <cell r="AB126">
            <v>516.59733611111005</v>
          </cell>
          <cell r="AC126">
            <v>17.219911203703667</v>
          </cell>
          <cell r="AD126">
            <v>-20</v>
          </cell>
          <cell r="AE126">
            <v>0</v>
          </cell>
          <cell r="AF126">
            <v>0</v>
          </cell>
          <cell r="AG126">
            <v>-1357.4666666666667</v>
          </cell>
          <cell r="AM126" t="str">
            <v>OK</v>
          </cell>
          <cell r="AO126">
            <v>1.2118517746913615</v>
          </cell>
          <cell r="AP126">
            <v>1.2118517746913615</v>
          </cell>
          <cell r="AQ126">
            <v>0</v>
          </cell>
          <cell r="AR126">
            <v>1.2118517746913615</v>
          </cell>
          <cell r="AS126">
            <v>0</v>
          </cell>
          <cell r="AT126">
            <v>45958</v>
          </cell>
          <cell r="AU126">
            <v>1.2118517746913615</v>
          </cell>
          <cell r="AV126">
            <v>36.355553240740846</v>
          </cell>
          <cell r="AW126">
            <v>1.2118517746913615</v>
          </cell>
          <cell r="AY126">
            <v>41.463691782410024</v>
          </cell>
          <cell r="AZ126" t="str">
            <v>F18</v>
          </cell>
          <cell r="BA126">
            <v>0</v>
          </cell>
          <cell r="BB126" t="str">
            <v>NSBK</v>
          </cell>
          <cell r="BC126" t="str">
            <v>F18</v>
          </cell>
        </row>
        <row r="127">
          <cell r="A127" t="str">
            <v>511CS1</v>
          </cell>
          <cell r="B127" t="str">
            <v>3</v>
          </cell>
          <cell r="C127" t="str">
            <v>05</v>
          </cell>
          <cell r="D127">
            <v>16</v>
          </cell>
          <cell r="E127" t="str">
            <v>511CS1</v>
          </cell>
          <cell r="F127">
            <v>0.48</v>
          </cell>
          <cell r="G127">
            <v>0.45</v>
          </cell>
          <cell r="H127">
            <v>0.45</v>
          </cell>
          <cell r="I127" t="str">
            <v>FC</v>
          </cell>
          <cell r="J127" t="str">
            <v>ST</v>
          </cell>
          <cell r="K127">
            <v>0</v>
          </cell>
          <cell r="L127">
            <v>45783</v>
          </cell>
          <cell r="M127">
            <v>45783</v>
          </cell>
          <cell r="N127">
            <v>211</v>
          </cell>
          <cell r="O127" t="str">
            <v>SK</v>
          </cell>
          <cell r="P127" t="str">
            <v/>
          </cell>
          <cell r="Q127">
            <v>45783</v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>Lokasi Produksi 511cs1 ( singkong )</v>
          </cell>
          <cell r="Z127">
            <v>0</v>
          </cell>
          <cell r="AA127">
            <v>45783</v>
          </cell>
          <cell r="AB127">
            <v>373.59733611111005</v>
          </cell>
          <cell r="AC127">
            <v>12.453244537037001</v>
          </cell>
          <cell r="AD127">
            <v>-20</v>
          </cell>
          <cell r="AE127">
            <v>0</v>
          </cell>
          <cell r="AF127">
            <v>0</v>
          </cell>
          <cell r="AG127">
            <v>-1362.2333333333333</v>
          </cell>
          <cell r="AM127" t="str">
            <v>OK</v>
          </cell>
          <cell r="AO127">
            <v>7.045185108024695</v>
          </cell>
          <cell r="AP127">
            <v>7.045185108024695</v>
          </cell>
          <cell r="AQ127">
            <v>0</v>
          </cell>
          <cell r="AR127">
            <v>7.045185108024695</v>
          </cell>
          <cell r="AS127">
            <v>0</v>
          </cell>
          <cell r="AT127">
            <v>45783</v>
          </cell>
          <cell r="AU127">
            <v>7.045185108024695</v>
          </cell>
          <cell r="AV127">
            <v>211.35555324074085</v>
          </cell>
          <cell r="AW127">
            <v>7.045185108024695</v>
          </cell>
          <cell r="AY127">
            <v>216.46369178241002</v>
          </cell>
          <cell r="AZ127" t="str">
            <v>F18</v>
          </cell>
          <cell r="BA127">
            <v>0</v>
          </cell>
          <cell r="BB127" t="str">
            <v>SKFC</v>
          </cell>
          <cell r="BC127" t="str">
            <v>F18</v>
          </cell>
        </row>
        <row r="128">
          <cell r="A128" t="str">
            <v>511D</v>
          </cell>
          <cell r="B128" t="str">
            <v>3</v>
          </cell>
          <cell r="C128" t="str">
            <v>05</v>
          </cell>
          <cell r="D128">
            <v>16</v>
          </cell>
          <cell r="E128" t="str">
            <v>511D</v>
          </cell>
          <cell r="F128">
            <v>5.26</v>
          </cell>
          <cell r="G128">
            <v>4.0999999999999996</v>
          </cell>
          <cell r="H128">
            <v>4.0999999999999996</v>
          </cell>
          <cell r="I128" t="str">
            <v>BK</v>
          </cell>
          <cell r="J128" t="str">
            <v>BB</v>
          </cell>
          <cell r="K128">
            <v>0</v>
          </cell>
          <cell r="L128">
            <v>45924</v>
          </cell>
          <cell r="M128">
            <v>45924</v>
          </cell>
          <cell r="N128">
            <v>70</v>
          </cell>
          <cell r="O128" t="str">
            <v>NS</v>
          </cell>
          <cell r="P128" t="str">
            <v/>
          </cell>
          <cell r="Q128">
            <v>45924</v>
          </cell>
          <cell r="R128" t="str">
            <v/>
          </cell>
          <cell r="S128" t="str">
            <v/>
          </cell>
          <cell r="T128" t="str">
            <v/>
          </cell>
          <cell r="U128">
            <v>71819</v>
          </cell>
          <cell r="V128">
            <v>72605</v>
          </cell>
          <cell r="W128">
            <v>45548</v>
          </cell>
          <cell r="X128" t="str">
            <v>Lokasi Produksi 511D</v>
          </cell>
          <cell r="Z128">
            <v>0</v>
          </cell>
          <cell r="AA128">
            <v>45924</v>
          </cell>
          <cell r="AB128">
            <v>559.59733611111005</v>
          </cell>
          <cell r="AC128">
            <v>18.653244537037001</v>
          </cell>
          <cell r="AD128">
            <v>4.6532445370370006</v>
          </cell>
          <cell r="AE128">
            <v>22.26</v>
          </cell>
          <cell r="AF128">
            <v>0</v>
          </cell>
          <cell r="AG128">
            <v>-1356.0333333333333</v>
          </cell>
          <cell r="AM128" t="str">
            <v>OK</v>
          </cell>
          <cell r="AO128">
            <v>2.3451851080246948</v>
          </cell>
          <cell r="AP128">
            <v>2.3451851080246948</v>
          </cell>
          <cell r="AQ128">
            <v>0</v>
          </cell>
          <cell r="AR128">
            <v>2.3451851080246948</v>
          </cell>
          <cell r="AS128">
            <v>0</v>
          </cell>
          <cell r="AT128">
            <v>45924</v>
          </cell>
          <cell r="AU128">
            <v>2.3451851080246948</v>
          </cell>
          <cell r="AV128">
            <v>70.355553240740846</v>
          </cell>
          <cell r="AW128">
            <v>2.3451851080246948</v>
          </cell>
          <cell r="AY128">
            <v>75.463691782410024</v>
          </cell>
          <cell r="AZ128" t="str">
            <v>F18</v>
          </cell>
          <cell r="BA128">
            <v>0</v>
          </cell>
          <cell r="BB128" t="str">
            <v>NSBK</v>
          </cell>
          <cell r="BC128" t="str">
            <v>F18</v>
          </cell>
        </row>
        <row r="129">
          <cell r="A129" t="str">
            <v>511E</v>
          </cell>
          <cell r="B129" t="str">
            <v>3</v>
          </cell>
          <cell r="C129" t="str">
            <v>05</v>
          </cell>
          <cell r="D129">
            <v>16</v>
          </cell>
          <cell r="E129" t="str">
            <v>511E</v>
          </cell>
          <cell r="F129">
            <v>16.47</v>
          </cell>
          <cell r="G129">
            <v>12.8</v>
          </cell>
          <cell r="H129">
            <v>12.8</v>
          </cell>
          <cell r="I129" t="str">
            <v>BK</v>
          </cell>
          <cell r="J129" t="str">
            <v>BB</v>
          </cell>
          <cell r="K129">
            <v>0</v>
          </cell>
          <cell r="L129">
            <v>45924</v>
          </cell>
          <cell r="M129">
            <v>45924</v>
          </cell>
          <cell r="N129">
            <v>70</v>
          </cell>
          <cell r="O129" t="str">
            <v>NS</v>
          </cell>
          <cell r="P129" t="str">
            <v/>
          </cell>
          <cell r="Q129">
            <v>45924</v>
          </cell>
          <cell r="R129" t="str">
            <v/>
          </cell>
          <cell r="S129" t="str">
            <v/>
          </cell>
          <cell r="T129" t="str">
            <v/>
          </cell>
          <cell r="U129">
            <v>72078</v>
          </cell>
          <cell r="V129">
            <v>73058</v>
          </cell>
          <cell r="W129">
            <v>43079</v>
          </cell>
          <cell r="X129" t="str">
            <v>Lokasi Produksi 511E</v>
          </cell>
          <cell r="Z129">
            <v>0</v>
          </cell>
          <cell r="AA129">
            <v>45924</v>
          </cell>
          <cell r="AB129">
            <v>564.59733611111005</v>
          </cell>
          <cell r="AC129">
            <v>18.819911203703668</v>
          </cell>
          <cell r="AD129">
            <v>4.8199112037036684</v>
          </cell>
          <cell r="AE129">
            <v>13.69</v>
          </cell>
          <cell r="AF129">
            <v>0</v>
          </cell>
          <cell r="AG129">
            <v>-1355.8666666666666</v>
          </cell>
          <cell r="AM129" t="str">
            <v>OK</v>
          </cell>
          <cell r="AO129">
            <v>2.3451851080246948</v>
          </cell>
          <cell r="AP129">
            <v>2.3451851080246948</v>
          </cell>
          <cell r="AQ129">
            <v>0</v>
          </cell>
          <cell r="AR129">
            <v>2.3451851080246948</v>
          </cell>
          <cell r="AS129">
            <v>0</v>
          </cell>
          <cell r="AT129">
            <v>45924</v>
          </cell>
          <cell r="AU129">
            <v>2.3451851080246948</v>
          </cell>
          <cell r="AV129">
            <v>70.355553240740846</v>
          </cell>
          <cell r="AW129">
            <v>2.3451851080246948</v>
          </cell>
          <cell r="AY129">
            <v>75.463691782410024</v>
          </cell>
          <cell r="AZ129" t="str">
            <v>F18</v>
          </cell>
          <cell r="BA129">
            <v>0</v>
          </cell>
          <cell r="BB129" t="str">
            <v>NSBK</v>
          </cell>
          <cell r="BC129" t="str">
            <v>F18</v>
          </cell>
        </row>
        <row r="130">
          <cell r="A130" t="str">
            <v>511F2A</v>
          </cell>
          <cell r="B130" t="str">
            <v>3</v>
          </cell>
          <cell r="C130" t="str">
            <v>05</v>
          </cell>
          <cell r="D130">
            <v>16</v>
          </cell>
          <cell r="E130" t="str">
            <v>511F2A</v>
          </cell>
          <cell r="F130">
            <v>5.19</v>
          </cell>
          <cell r="G130">
            <v>4.2699999999999996</v>
          </cell>
          <cell r="H130">
            <v>4.2699999999999996</v>
          </cell>
          <cell r="I130" t="str">
            <v>SR</v>
          </cell>
          <cell r="J130" t="str">
            <v>SC</v>
          </cell>
          <cell r="K130">
            <v>0</v>
          </cell>
          <cell r="L130">
            <v>45635</v>
          </cell>
          <cell r="M130">
            <v>45635</v>
          </cell>
          <cell r="N130">
            <v>359</v>
          </cell>
          <cell r="O130" t="str">
            <v>PS</v>
          </cell>
          <cell r="P130" t="str">
            <v/>
          </cell>
          <cell r="Q130">
            <v>45635</v>
          </cell>
          <cell r="R130" t="str">
            <v/>
          </cell>
          <cell r="S130" t="str">
            <v/>
          </cell>
          <cell r="T130" t="str">
            <v/>
          </cell>
          <cell r="U130">
            <v>10675</v>
          </cell>
          <cell r="V130">
            <v>10881</v>
          </cell>
          <cell r="W130">
            <v>46385</v>
          </cell>
          <cell r="X130" t="str">
            <v>Lokasi Produksi 511F2A ( pecahan 511F2 )</v>
          </cell>
          <cell r="Z130">
            <v>0</v>
          </cell>
          <cell r="AA130">
            <v>45635</v>
          </cell>
          <cell r="AB130">
            <v>4759.5973361111101</v>
          </cell>
          <cell r="AC130">
            <v>158.65324453703701</v>
          </cell>
          <cell r="AD130">
            <v>-20</v>
          </cell>
          <cell r="AE130">
            <v>0</v>
          </cell>
          <cell r="AF130">
            <v>0</v>
          </cell>
          <cell r="AG130">
            <v>-1216.0333333333333</v>
          </cell>
          <cell r="AM130" t="str">
            <v>OK</v>
          </cell>
          <cell r="AO130">
            <v>11.978518441358029</v>
          </cell>
          <cell r="AP130">
            <v>11.978518441358029</v>
          </cell>
          <cell r="AQ130">
            <v>0</v>
          </cell>
          <cell r="AR130">
            <v>11.978518441358029</v>
          </cell>
          <cell r="AS130">
            <v>0</v>
          </cell>
          <cell r="AT130">
            <v>45635</v>
          </cell>
          <cell r="AU130">
            <v>11.978518441358029</v>
          </cell>
          <cell r="AV130">
            <v>359.35555324074085</v>
          </cell>
          <cell r="AW130">
            <v>11.978518441358029</v>
          </cell>
          <cell r="AY130">
            <v>364.46369178241002</v>
          </cell>
          <cell r="AZ130" t="str">
            <v>F18</v>
          </cell>
          <cell r="BA130">
            <v>0</v>
          </cell>
          <cell r="BB130" t="str">
            <v>PSSR</v>
          </cell>
          <cell r="BC130" t="str">
            <v>F18</v>
          </cell>
        </row>
        <row r="131">
          <cell r="A131" t="str">
            <v>511F2B</v>
          </cell>
          <cell r="B131" t="str">
            <v>3</v>
          </cell>
          <cell r="C131" t="str">
            <v>05</v>
          </cell>
          <cell r="D131">
            <v>16</v>
          </cell>
          <cell r="E131" t="str">
            <v>511F2B</v>
          </cell>
          <cell r="F131">
            <v>8.1300000000000008</v>
          </cell>
          <cell r="G131">
            <v>6.42</v>
          </cell>
          <cell r="H131">
            <v>6.42</v>
          </cell>
          <cell r="I131" t="str">
            <v>SR</v>
          </cell>
          <cell r="J131" t="str">
            <v>SC</v>
          </cell>
          <cell r="K131">
            <v>0</v>
          </cell>
          <cell r="L131">
            <v>45635</v>
          </cell>
          <cell r="M131">
            <v>45635</v>
          </cell>
          <cell r="N131">
            <v>359</v>
          </cell>
          <cell r="O131" t="str">
            <v>PS</v>
          </cell>
          <cell r="P131" t="str">
            <v/>
          </cell>
          <cell r="Q131">
            <v>45635</v>
          </cell>
          <cell r="R131" t="str">
            <v/>
          </cell>
          <cell r="S131" t="str">
            <v/>
          </cell>
          <cell r="T131" t="str">
            <v/>
          </cell>
          <cell r="U131">
            <v>17013</v>
          </cell>
          <cell r="V131">
            <v>18468</v>
          </cell>
          <cell r="W131">
            <v>46020</v>
          </cell>
          <cell r="X131" t="str">
            <v>Lokasi Produksi 511F2B ( pecahan 511F2 )</v>
          </cell>
          <cell r="Z131">
            <v>0</v>
          </cell>
          <cell r="AA131">
            <v>45635</v>
          </cell>
          <cell r="AB131">
            <v>85.597336111110053</v>
          </cell>
          <cell r="AC131">
            <v>2.8532445370370016</v>
          </cell>
          <cell r="AD131">
            <v>-9.1467554629629984</v>
          </cell>
          <cell r="AE131">
            <v>9.2799999999999994</v>
          </cell>
          <cell r="AF131">
            <v>0</v>
          </cell>
          <cell r="AG131">
            <v>-1371.8333333333333</v>
          </cell>
          <cell r="AM131" t="str">
            <v>OK</v>
          </cell>
          <cell r="AO131">
            <v>11.978518441358029</v>
          </cell>
          <cell r="AP131">
            <v>11.978518441358029</v>
          </cell>
          <cell r="AQ131">
            <v>0</v>
          </cell>
          <cell r="AR131">
            <v>11.978518441358029</v>
          </cell>
          <cell r="AS131">
            <v>0</v>
          </cell>
          <cell r="AT131">
            <v>45635</v>
          </cell>
          <cell r="AU131">
            <v>11.978518441358029</v>
          </cell>
          <cell r="AV131">
            <v>359.35555324074085</v>
          </cell>
          <cell r="AW131">
            <v>11.978518441358029</v>
          </cell>
          <cell r="AY131">
            <v>364.46369178241002</v>
          </cell>
          <cell r="AZ131" t="str">
            <v>F18</v>
          </cell>
          <cell r="BA131">
            <v>0</v>
          </cell>
          <cell r="BB131" t="str">
            <v>PSSR</v>
          </cell>
          <cell r="BC131" t="str">
            <v>F18</v>
          </cell>
        </row>
        <row r="132">
          <cell r="A132" t="str">
            <v>511F3A</v>
          </cell>
          <cell r="B132" t="str">
            <v>3</v>
          </cell>
          <cell r="C132" t="str">
            <v>05</v>
          </cell>
          <cell r="D132">
            <v>16</v>
          </cell>
          <cell r="E132" t="str">
            <v>511F3A</v>
          </cell>
          <cell r="F132">
            <v>3.33</v>
          </cell>
          <cell r="G132">
            <v>2.59</v>
          </cell>
          <cell r="H132">
            <v>2.59</v>
          </cell>
          <cell r="I132" t="str">
            <v>BK</v>
          </cell>
          <cell r="J132" t="str">
            <v>SR</v>
          </cell>
          <cell r="K132">
            <v>0</v>
          </cell>
          <cell r="L132">
            <v>45989</v>
          </cell>
          <cell r="M132">
            <v>45989</v>
          </cell>
          <cell r="N132">
            <v>5</v>
          </cell>
          <cell r="O132" t="str">
            <v>PS</v>
          </cell>
          <cell r="P132" t="str">
            <v/>
          </cell>
          <cell r="Q132">
            <v>45989</v>
          </cell>
          <cell r="R132" t="str">
            <v/>
          </cell>
          <cell r="S132" t="str">
            <v/>
          </cell>
          <cell r="T132" t="str">
            <v/>
          </cell>
          <cell r="U132">
            <v>6864</v>
          </cell>
          <cell r="V132">
            <v>7430</v>
          </cell>
          <cell r="W132">
            <v>46020</v>
          </cell>
          <cell r="X132" t="str">
            <v>Lokasi Produksi 511F3A ( pecahan 511F3 )</v>
          </cell>
          <cell r="Z132">
            <v>0</v>
          </cell>
          <cell r="AA132">
            <v>45989</v>
          </cell>
          <cell r="AB132">
            <v>402.59733611111005</v>
          </cell>
          <cell r="AC132">
            <v>13.419911203703668</v>
          </cell>
          <cell r="AD132">
            <v>3.4199112037036681</v>
          </cell>
          <cell r="AE132">
            <v>3.32</v>
          </cell>
          <cell r="AF132">
            <v>0</v>
          </cell>
          <cell r="AG132">
            <v>-1361.2666666666667</v>
          </cell>
          <cell r="AM132" t="str">
            <v>OK</v>
          </cell>
          <cell r="AO132">
            <v>0.17851844135802822</v>
          </cell>
          <cell r="AP132">
            <v>0.17851844135802822</v>
          </cell>
          <cell r="AQ132">
            <v>0</v>
          </cell>
          <cell r="AR132">
            <v>0.17851844135802822</v>
          </cell>
          <cell r="AS132">
            <v>0</v>
          </cell>
          <cell r="AT132">
            <v>45989</v>
          </cell>
          <cell r="AU132">
            <v>0.17851844135802822</v>
          </cell>
          <cell r="AV132">
            <v>5.3555532407408464</v>
          </cell>
          <cell r="AW132">
            <v>0.17851844135802822</v>
          </cell>
          <cell r="AY132">
            <v>10.463691782410024</v>
          </cell>
          <cell r="AZ132" t="str">
            <v>F18</v>
          </cell>
          <cell r="BA132">
            <v>0</v>
          </cell>
          <cell r="BB132" t="str">
            <v>PSBK</v>
          </cell>
          <cell r="BC132" t="str">
            <v>F18</v>
          </cell>
        </row>
        <row r="133">
          <cell r="A133" t="str">
            <v>511F3B</v>
          </cell>
          <cell r="B133" t="str">
            <v>3</v>
          </cell>
          <cell r="C133" t="str">
            <v>05</v>
          </cell>
          <cell r="D133">
            <v>16</v>
          </cell>
          <cell r="E133" t="str">
            <v>511F3B</v>
          </cell>
          <cell r="F133">
            <v>6.19</v>
          </cell>
          <cell r="G133">
            <v>5.08</v>
          </cell>
          <cell r="H133">
            <v>5.08</v>
          </cell>
          <cell r="I133" t="str">
            <v>SR</v>
          </cell>
          <cell r="J133" t="str">
            <v>SC</v>
          </cell>
          <cell r="K133">
            <v>0</v>
          </cell>
          <cell r="L133">
            <v>45635</v>
          </cell>
          <cell r="M133">
            <v>45635</v>
          </cell>
          <cell r="N133">
            <v>359</v>
          </cell>
          <cell r="O133" t="str">
            <v>PS</v>
          </cell>
          <cell r="P133" t="str">
            <v/>
          </cell>
          <cell r="Q133">
            <v>45635</v>
          </cell>
          <cell r="R133" t="str">
            <v/>
          </cell>
          <cell r="S133" t="str">
            <v/>
          </cell>
          <cell r="T133" t="str">
            <v/>
          </cell>
          <cell r="U133">
            <v>13208</v>
          </cell>
          <cell r="V133">
            <v>13500</v>
          </cell>
          <cell r="W133">
            <v>46020</v>
          </cell>
          <cell r="X133" t="str">
            <v>Lokasi Produksi 511F3B ( pecahan 511F3 )</v>
          </cell>
          <cell r="Z133">
            <v>0</v>
          </cell>
          <cell r="AA133">
            <v>45635</v>
          </cell>
          <cell r="AB133">
            <v>155.59733611111005</v>
          </cell>
          <cell r="AC133">
            <v>5.1865778703703347</v>
          </cell>
          <cell r="AD133">
            <v>-6.8134221296296653</v>
          </cell>
          <cell r="AE133">
            <v>14.37</v>
          </cell>
          <cell r="AF133">
            <v>0</v>
          </cell>
          <cell r="AG133">
            <v>-1369.5</v>
          </cell>
          <cell r="AM133" t="str">
            <v>OK</v>
          </cell>
          <cell r="AO133">
            <v>11.978518441358029</v>
          </cell>
          <cell r="AP133">
            <v>11.978518441358029</v>
          </cell>
          <cell r="AQ133">
            <v>0</v>
          </cell>
          <cell r="AR133">
            <v>11.978518441358029</v>
          </cell>
          <cell r="AS133">
            <v>0</v>
          </cell>
          <cell r="AT133">
            <v>45635</v>
          </cell>
          <cell r="AU133">
            <v>11.978518441358029</v>
          </cell>
          <cell r="AV133">
            <v>359.35555324074085</v>
          </cell>
          <cell r="AW133">
            <v>11.978518441358029</v>
          </cell>
          <cell r="AY133">
            <v>364.46369178241002</v>
          </cell>
          <cell r="AZ133" t="str">
            <v>F18</v>
          </cell>
          <cell r="BA133">
            <v>0</v>
          </cell>
          <cell r="BB133" t="str">
            <v>PSSR</v>
          </cell>
          <cell r="BC133" t="str">
            <v>F18</v>
          </cell>
        </row>
        <row r="134">
          <cell r="A134" t="str">
            <v>511F3C</v>
          </cell>
          <cell r="B134" t="str">
            <v>3</v>
          </cell>
          <cell r="C134" t="str">
            <v>05</v>
          </cell>
          <cell r="D134">
            <v>16</v>
          </cell>
          <cell r="E134" t="str">
            <v>511F3C</v>
          </cell>
          <cell r="F134">
            <v>4.5199999999999996</v>
          </cell>
          <cell r="G134">
            <v>3.67</v>
          </cell>
          <cell r="H134">
            <v>3.67</v>
          </cell>
          <cell r="I134" t="str">
            <v>SR</v>
          </cell>
          <cell r="J134" t="str">
            <v>SC</v>
          </cell>
          <cell r="K134">
            <v>0</v>
          </cell>
          <cell r="L134">
            <v>45635</v>
          </cell>
          <cell r="M134">
            <v>45635</v>
          </cell>
          <cell r="N134">
            <v>359</v>
          </cell>
          <cell r="O134" t="str">
            <v>PS</v>
          </cell>
          <cell r="P134" t="str">
            <v/>
          </cell>
          <cell r="Q134">
            <v>45635</v>
          </cell>
          <cell r="R134" t="str">
            <v/>
          </cell>
          <cell r="S134" t="str">
            <v/>
          </cell>
          <cell r="T134" t="str">
            <v/>
          </cell>
          <cell r="U134">
            <v>9726</v>
          </cell>
          <cell r="V134">
            <v>10773</v>
          </cell>
          <cell r="W134">
            <v>46020</v>
          </cell>
          <cell r="X134" t="str">
            <v>Lokasi Produksi 511F3C ( pecahan 511F3 )</v>
          </cell>
          <cell r="Z134">
            <v>0</v>
          </cell>
          <cell r="AA134">
            <v>45635</v>
          </cell>
          <cell r="AB134">
            <v>85.597336111110053</v>
          </cell>
          <cell r="AC134">
            <v>2.8532445370370016</v>
          </cell>
          <cell r="AD134">
            <v>-11.146755462962998</v>
          </cell>
          <cell r="AE134">
            <v>16.3</v>
          </cell>
          <cell r="AF134">
            <v>0</v>
          </cell>
          <cell r="AG134">
            <v>-1371.8333333333333</v>
          </cell>
          <cell r="AM134" t="str">
            <v>OK</v>
          </cell>
          <cell r="AO134">
            <v>11.978518441358029</v>
          </cell>
          <cell r="AP134">
            <v>11.978518441358029</v>
          </cell>
          <cell r="AQ134">
            <v>0</v>
          </cell>
          <cell r="AR134">
            <v>11.978518441358029</v>
          </cell>
          <cell r="AS134">
            <v>0</v>
          </cell>
          <cell r="AT134">
            <v>45635</v>
          </cell>
          <cell r="AU134">
            <v>11.978518441358029</v>
          </cell>
          <cell r="AV134">
            <v>359.35555324074085</v>
          </cell>
          <cell r="AW134">
            <v>11.978518441358029</v>
          </cell>
          <cell r="AY134">
            <v>364.46369178241002</v>
          </cell>
          <cell r="AZ134" t="str">
            <v>F18</v>
          </cell>
          <cell r="BA134">
            <v>0</v>
          </cell>
          <cell r="BB134" t="str">
            <v>PSSR</v>
          </cell>
          <cell r="BC134" t="str">
            <v>F18</v>
          </cell>
        </row>
        <row r="135">
          <cell r="A135" t="str">
            <v>511FS1</v>
          </cell>
          <cell r="B135" t="str">
            <v>3</v>
          </cell>
          <cell r="C135" t="str">
            <v>05</v>
          </cell>
          <cell r="D135">
            <v>16</v>
          </cell>
          <cell r="E135" t="str">
            <v>511FS1</v>
          </cell>
          <cell r="F135">
            <v>3.64</v>
          </cell>
          <cell r="G135">
            <v>3.47</v>
          </cell>
          <cell r="H135">
            <v>3.47</v>
          </cell>
          <cell r="I135" t="str">
            <v>FC</v>
          </cell>
          <cell r="J135" t="str">
            <v>ST</v>
          </cell>
          <cell r="K135">
            <v>0</v>
          </cell>
          <cell r="L135">
            <v>45607</v>
          </cell>
          <cell r="M135">
            <v>45607</v>
          </cell>
          <cell r="N135">
            <v>387</v>
          </cell>
          <cell r="O135" t="str">
            <v>SK</v>
          </cell>
          <cell r="P135" t="str">
            <v/>
          </cell>
          <cell r="Q135">
            <v>45607</v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>Lokasi Produksi 511FS1 ( singkong )</v>
          </cell>
          <cell r="Z135">
            <v>0</v>
          </cell>
          <cell r="AA135">
            <v>45607</v>
          </cell>
          <cell r="AB135">
            <v>531.59733611111005</v>
          </cell>
          <cell r="AC135">
            <v>17.719911203703667</v>
          </cell>
          <cell r="AD135">
            <v>3.719911203703667</v>
          </cell>
          <cell r="AE135">
            <v>8.44</v>
          </cell>
          <cell r="AF135">
            <v>0</v>
          </cell>
          <cell r="AG135">
            <v>-1356.9666666666667</v>
          </cell>
          <cell r="AM135" t="str">
            <v>OK</v>
          </cell>
          <cell r="AO135">
            <v>12.911851774691362</v>
          </cell>
          <cell r="AP135">
            <v>12.911851774691362</v>
          </cell>
          <cell r="AQ135">
            <v>0</v>
          </cell>
          <cell r="AR135">
            <v>12.911851774691362</v>
          </cell>
          <cell r="AS135">
            <v>0</v>
          </cell>
          <cell r="AT135">
            <v>45607</v>
          </cell>
          <cell r="AU135">
            <v>12.911851774691362</v>
          </cell>
          <cell r="AV135">
            <v>387.35555324074085</v>
          </cell>
          <cell r="AW135">
            <v>12.911851774691362</v>
          </cell>
          <cell r="AY135">
            <v>392.46369178241002</v>
          </cell>
          <cell r="AZ135" t="str">
            <v>F18</v>
          </cell>
          <cell r="BA135">
            <v>0</v>
          </cell>
          <cell r="BB135" t="str">
            <v>SKFC</v>
          </cell>
          <cell r="BC135" t="str">
            <v>F18</v>
          </cell>
        </row>
        <row r="136">
          <cell r="A136" t="str">
            <v>511G</v>
          </cell>
          <cell r="B136" t="str">
            <v>3</v>
          </cell>
          <cell r="C136" t="str">
            <v>05</v>
          </cell>
          <cell r="D136">
            <v>16</v>
          </cell>
          <cell r="E136" t="str">
            <v>511G</v>
          </cell>
          <cell r="F136">
            <v>12.78</v>
          </cell>
          <cell r="G136">
            <v>10.119999999999999</v>
          </cell>
          <cell r="H136">
            <v>10.119999999999999</v>
          </cell>
          <cell r="I136" t="str">
            <v>SC</v>
          </cell>
          <cell r="J136" t="str">
            <v>BB</v>
          </cell>
          <cell r="K136">
            <v>8</v>
          </cell>
          <cell r="L136">
            <v>45805</v>
          </cell>
          <cell r="M136">
            <v>45805</v>
          </cell>
          <cell r="N136">
            <v>189</v>
          </cell>
          <cell r="O136" t="str">
            <v>NS</v>
          </cell>
          <cell r="P136" t="str">
            <v/>
          </cell>
          <cell r="Q136">
            <v>46049</v>
          </cell>
          <cell r="R136" t="str">
            <v/>
          </cell>
          <cell r="S136" t="str">
            <v/>
          </cell>
          <cell r="T136" t="str">
            <v/>
          </cell>
          <cell r="U136">
            <v>70445</v>
          </cell>
          <cell r="V136">
            <v>70002</v>
          </cell>
          <cell r="W136">
            <v>43156</v>
          </cell>
          <cell r="X136" t="str">
            <v>Lokasi Produksi 511G</v>
          </cell>
          <cell r="Z136">
            <v>8</v>
          </cell>
          <cell r="AA136">
            <v>46049</v>
          </cell>
          <cell r="AB136">
            <v>520.59733611111005</v>
          </cell>
          <cell r="AC136">
            <v>17.353244537037003</v>
          </cell>
          <cell r="AD136">
            <v>3.3532445370370034</v>
          </cell>
          <cell r="AE136">
            <v>7.42</v>
          </cell>
          <cell r="AF136">
            <v>0</v>
          </cell>
          <cell r="AG136">
            <v>-1357.3333333333333</v>
          </cell>
          <cell r="AM136" t="str">
            <v>OK</v>
          </cell>
          <cell r="AO136">
            <v>6.3118517746913616</v>
          </cell>
          <cell r="AP136">
            <v>-1.6881482253086384</v>
          </cell>
          <cell r="AQ136">
            <v>0</v>
          </cell>
          <cell r="AR136">
            <v>6.3118517746913616</v>
          </cell>
          <cell r="AS136">
            <v>0</v>
          </cell>
          <cell r="AT136">
            <v>46049</v>
          </cell>
          <cell r="AU136">
            <v>-1.6881482253086384</v>
          </cell>
          <cell r="AV136">
            <v>189.35555324074085</v>
          </cell>
          <cell r="AW136">
            <v>-1.6881482253086384</v>
          </cell>
          <cell r="AY136">
            <v>194.46369178241002</v>
          </cell>
          <cell r="AZ136" t="str">
            <v>F18</v>
          </cell>
          <cell r="BA136">
            <v>10.119999999999999</v>
          </cell>
          <cell r="BB136" t="str">
            <v>NSSC</v>
          </cell>
          <cell r="BC136" t="str">
            <v>F18</v>
          </cell>
        </row>
        <row r="137">
          <cell r="A137" t="str">
            <v>511H</v>
          </cell>
          <cell r="B137" t="str">
            <v>3</v>
          </cell>
          <cell r="C137" t="str">
            <v>05</v>
          </cell>
          <cell r="D137">
            <v>16</v>
          </cell>
          <cell r="E137" t="str">
            <v>511H</v>
          </cell>
          <cell r="F137">
            <v>8.93</v>
          </cell>
          <cell r="G137">
            <v>7.05</v>
          </cell>
          <cell r="H137">
            <v>7.05</v>
          </cell>
          <cell r="I137" t="str">
            <v>SC</v>
          </cell>
          <cell r="J137" t="str">
            <v>FC</v>
          </cell>
          <cell r="K137">
            <v>8</v>
          </cell>
          <cell r="L137">
            <v>45804</v>
          </cell>
          <cell r="M137">
            <v>45804</v>
          </cell>
          <cell r="N137">
            <v>190</v>
          </cell>
          <cell r="O137" t="str">
            <v>NS</v>
          </cell>
          <cell r="P137" t="str">
            <v/>
          </cell>
          <cell r="Q137">
            <v>46048</v>
          </cell>
          <cell r="R137" t="str">
            <v/>
          </cell>
          <cell r="S137" t="str">
            <v/>
          </cell>
          <cell r="T137" t="str">
            <v/>
          </cell>
          <cell r="U137">
            <v>67248</v>
          </cell>
          <cell r="V137">
            <v>68559</v>
          </cell>
          <cell r="W137">
            <v>43559</v>
          </cell>
          <cell r="X137" t="str">
            <v>Lokasi Produksi 511H</v>
          </cell>
          <cell r="Z137">
            <v>8</v>
          </cell>
          <cell r="AA137">
            <v>46048</v>
          </cell>
          <cell r="AB137">
            <v>4777.5973361111101</v>
          </cell>
          <cell r="AC137">
            <v>159.25324453703701</v>
          </cell>
          <cell r="AD137">
            <v>-20</v>
          </cell>
          <cell r="AE137">
            <v>0</v>
          </cell>
          <cell r="AF137">
            <v>0</v>
          </cell>
          <cell r="AG137">
            <v>-1215.4333333333334</v>
          </cell>
          <cell r="AK137">
            <v>40306</v>
          </cell>
          <cell r="AM137" t="str">
            <v>OK</v>
          </cell>
          <cell r="AO137">
            <v>6.3451851080246948</v>
          </cell>
          <cell r="AP137">
            <v>-1.6548148919753052</v>
          </cell>
          <cell r="AQ137">
            <v>0</v>
          </cell>
          <cell r="AR137">
            <v>6.3451851080246948</v>
          </cell>
          <cell r="AS137">
            <v>0</v>
          </cell>
          <cell r="AT137">
            <v>46048</v>
          </cell>
          <cell r="AU137">
            <v>-1.6548148919753052</v>
          </cell>
          <cell r="AV137">
            <v>190.35555324074085</v>
          </cell>
          <cell r="AW137">
            <v>-1.6548148919753052</v>
          </cell>
          <cell r="AY137">
            <v>195.46369178241002</v>
          </cell>
          <cell r="AZ137" t="str">
            <v>F18</v>
          </cell>
          <cell r="BA137">
            <v>7.05</v>
          </cell>
          <cell r="BB137" t="str">
            <v>NSSC</v>
          </cell>
          <cell r="BC137" t="str">
            <v>F18</v>
          </cell>
        </row>
        <row r="138">
          <cell r="A138" t="str">
            <v>511I</v>
          </cell>
          <cell r="B138" t="str">
            <v>3</v>
          </cell>
          <cell r="C138" t="str">
            <v>05</v>
          </cell>
          <cell r="D138">
            <v>16</v>
          </cell>
          <cell r="E138" t="str">
            <v>511I</v>
          </cell>
          <cell r="F138">
            <v>12.39</v>
          </cell>
          <cell r="G138">
            <v>10.29</v>
          </cell>
          <cell r="H138">
            <v>10.29</v>
          </cell>
          <cell r="I138" t="str">
            <v>FC</v>
          </cell>
          <cell r="J138" t="str">
            <v>ST</v>
          </cell>
          <cell r="K138">
            <v>14</v>
          </cell>
          <cell r="L138">
            <v>45965</v>
          </cell>
          <cell r="M138">
            <v>45965</v>
          </cell>
          <cell r="N138">
            <v>29</v>
          </cell>
          <cell r="O138" t="str">
            <v>NS</v>
          </cell>
          <cell r="P138" t="str">
            <v>NSGP3CK3</v>
          </cell>
          <cell r="Q138">
            <v>46392</v>
          </cell>
          <cell r="R138" t="str">
            <v/>
          </cell>
          <cell r="S138" t="str">
            <v/>
          </cell>
          <cell r="T138" t="str">
            <v/>
          </cell>
          <cell r="U138">
            <v>71727</v>
          </cell>
          <cell r="V138">
            <v>47001</v>
          </cell>
          <cell r="W138">
            <v>43613</v>
          </cell>
          <cell r="X138" t="str">
            <v>Lokasi Produksi 511I</v>
          </cell>
          <cell r="Z138">
            <v>14</v>
          </cell>
          <cell r="AA138">
            <v>46392</v>
          </cell>
          <cell r="AB138">
            <v>226.59733611111005</v>
          </cell>
          <cell r="AC138">
            <v>7.5532445370370018</v>
          </cell>
          <cell r="AD138">
            <v>-0.44675546296299817</v>
          </cell>
          <cell r="AE138">
            <v>9.09</v>
          </cell>
          <cell r="AF138">
            <v>0</v>
          </cell>
          <cell r="AG138">
            <v>-1367.1333333333334</v>
          </cell>
          <cell r="AM138" t="str">
            <v>OK</v>
          </cell>
          <cell r="AO138">
            <v>0.97851844135802823</v>
          </cell>
          <cell r="AP138">
            <v>-13.021481558641971</v>
          </cell>
          <cell r="AQ138">
            <v>0</v>
          </cell>
          <cell r="AR138">
            <v>0.97851844135802823</v>
          </cell>
          <cell r="AS138">
            <v>0</v>
          </cell>
          <cell r="AT138">
            <v>46392</v>
          </cell>
          <cell r="AU138">
            <v>-13.021481558641971</v>
          </cell>
          <cell r="AV138">
            <v>29.355553240740846</v>
          </cell>
          <cell r="AW138">
            <v>-13.021481558641971</v>
          </cell>
          <cell r="AY138">
            <v>34.463691782410024</v>
          </cell>
          <cell r="AZ138" t="str">
            <v>GP3</v>
          </cell>
          <cell r="BA138">
            <v>10.29</v>
          </cell>
          <cell r="BB138" t="str">
            <v>NSFC</v>
          </cell>
          <cell r="BC138" t="str">
            <v>GP3CK</v>
          </cell>
        </row>
        <row r="139">
          <cell r="A139" t="str">
            <v>512A</v>
          </cell>
          <cell r="B139" t="str">
            <v>3</v>
          </cell>
          <cell r="C139" t="str">
            <v>05</v>
          </cell>
          <cell r="D139">
            <v>17</v>
          </cell>
          <cell r="E139" t="str">
            <v>512A</v>
          </cell>
          <cell r="F139">
            <v>15.44</v>
          </cell>
          <cell r="G139">
            <v>12.74</v>
          </cell>
          <cell r="H139">
            <v>12.74</v>
          </cell>
          <cell r="I139" t="str">
            <v>FC</v>
          </cell>
          <cell r="J139" t="str">
            <v>ST</v>
          </cell>
          <cell r="K139">
            <v>14</v>
          </cell>
          <cell r="L139">
            <v>45493</v>
          </cell>
          <cell r="M139">
            <v>45493</v>
          </cell>
          <cell r="N139">
            <v>501</v>
          </cell>
          <cell r="O139" t="str">
            <v>NS</v>
          </cell>
          <cell r="P139" t="str">
            <v>NSF18CK3</v>
          </cell>
          <cell r="Q139">
            <v>45920</v>
          </cell>
          <cell r="R139" t="str">
            <v/>
          </cell>
          <cell r="S139" t="str">
            <v/>
          </cell>
          <cell r="T139">
            <v>45870</v>
          </cell>
          <cell r="U139">
            <v>65983</v>
          </cell>
          <cell r="V139">
            <v>66869</v>
          </cell>
          <cell r="W139" t="str">
            <v/>
          </cell>
          <cell r="X139" t="str">
            <v>Lokasi Produksi 512A</v>
          </cell>
          <cell r="Z139">
            <v>14</v>
          </cell>
          <cell r="AA139">
            <v>45920</v>
          </cell>
          <cell r="AB139">
            <v>208.59733611111005</v>
          </cell>
          <cell r="AC139">
            <v>6.9532445370370022</v>
          </cell>
          <cell r="AD139">
            <v>-1.0467554629629978</v>
          </cell>
          <cell r="AE139">
            <v>17.350000000000001</v>
          </cell>
          <cell r="AF139">
            <v>0</v>
          </cell>
          <cell r="AG139">
            <v>-1367.7333333333333</v>
          </cell>
          <cell r="AM139" t="str">
            <v>OK</v>
          </cell>
          <cell r="AO139">
            <v>16.711851774691361</v>
          </cell>
          <cell r="AP139">
            <v>2.7118517746913611</v>
          </cell>
          <cell r="AQ139">
            <v>45870</v>
          </cell>
          <cell r="AR139">
            <v>12.566666666666666</v>
          </cell>
          <cell r="AS139">
            <v>4.1451851080246946</v>
          </cell>
          <cell r="AT139">
            <v>45920</v>
          </cell>
          <cell r="AU139">
            <v>4.1451851080246946</v>
          </cell>
          <cell r="AV139">
            <v>377</v>
          </cell>
          <cell r="AW139">
            <v>4.1451851080246946</v>
          </cell>
          <cell r="AY139">
            <v>506.46369178241002</v>
          </cell>
          <cell r="AZ139" t="str">
            <v>F18</v>
          </cell>
          <cell r="BA139">
            <v>12.74</v>
          </cell>
          <cell r="BB139" t="str">
            <v>NSFC</v>
          </cell>
          <cell r="BC139" t="str">
            <v>F18CK</v>
          </cell>
        </row>
        <row r="140">
          <cell r="A140" t="str">
            <v>512B1</v>
          </cell>
          <cell r="B140" t="str">
            <v>3</v>
          </cell>
          <cell r="C140" t="str">
            <v>05</v>
          </cell>
          <cell r="D140">
            <v>17</v>
          </cell>
          <cell r="E140" t="str">
            <v>512B1</v>
          </cell>
          <cell r="F140">
            <v>6.98</v>
          </cell>
          <cell r="G140">
            <v>5.92</v>
          </cell>
          <cell r="H140">
            <v>5.92</v>
          </cell>
          <cell r="I140" t="str">
            <v>FC</v>
          </cell>
          <cell r="J140" t="str">
            <v>ST</v>
          </cell>
          <cell r="K140">
            <v>14</v>
          </cell>
          <cell r="L140">
            <v>45541</v>
          </cell>
          <cell r="M140">
            <v>45541</v>
          </cell>
          <cell r="N140">
            <v>453</v>
          </cell>
          <cell r="O140" t="str">
            <v>NS</v>
          </cell>
          <cell r="P140" t="str">
            <v>NSF18CK3</v>
          </cell>
          <cell r="Q140">
            <v>45968</v>
          </cell>
          <cell r="R140" t="str">
            <v/>
          </cell>
          <cell r="S140" t="str">
            <v/>
          </cell>
          <cell r="T140">
            <v>45967</v>
          </cell>
          <cell r="U140">
            <v>67414</v>
          </cell>
          <cell r="V140">
            <v>66643</v>
          </cell>
          <cell r="W140">
            <v>45463</v>
          </cell>
          <cell r="X140" t="str">
            <v>Lokasi Produksi 512B1 ( pecahan 512B )</v>
          </cell>
          <cell r="Z140">
            <v>14</v>
          </cell>
          <cell r="AA140">
            <v>45968</v>
          </cell>
          <cell r="AB140">
            <v>409.59733611111005</v>
          </cell>
          <cell r="AC140">
            <v>13.653244537037002</v>
          </cell>
          <cell r="AD140">
            <v>5.6532445370370024</v>
          </cell>
          <cell r="AE140">
            <v>4.22</v>
          </cell>
          <cell r="AF140">
            <v>0</v>
          </cell>
          <cell r="AG140">
            <v>-1361.0333333333333</v>
          </cell>
          <cell r="AM140" t="str">
            <v>OK</v>
          </cell>
          <cell r="AO140">
            <v>15.111851774691361</v>
          </cell>
          <cell r="AP140">
            <v>1.1118517746913614</v>
          </cell>
          <cell r="AQ140">
            <v>45967</v>
          </cell>
          <cell r="AR140">
            <v>14.2</v>
          </cell>
          <cell r="AS140">
            <v>0.91185177469136214</v>
          </cell>
          <cell r="AT140">
            <v>45968</v>
          </cell>
          <cell r="AU140">
            <v>0.91185177469136214</v>
          </cell>
          <cell r="AV140">
            <v>426</v>
          </cell>
          <cell r="AW140">
            <v>0.91185177469136214</v>
          </cell>
          <cell r="AY140">
            <v>458.46369178241002</v>
          </cell>
          <cell r="AZ140" t="str">
            <v>F18</v>
          </cell>
          <cell r="BA140">
            <v>5.92</v>
          </cell>
          <cell r="BB140" t="str">
            <v>NSFC</v>
          </cell>
          <cell r="BC140" t="str">
            <v>F18CK</v>
          </cell>
        </row>
        <row r="141">
          <cell r="A141" t="str">
            <v>512B2</v>
          </cell>
          <cell r="B141" t="str">
            <v>3</v>
          </cell>
          <cell r="C141" t="str">
            <v>05</v>
          </cell>
          <cell r="D141">
            <v>17</v>
          </cell>
          <cell r="E141" t="str">
            <v>512B2</v>
          </cell>
          <cell r="F141">
            <v>7.49</v>
          </cell>
          <cell r="G141">
            <v>6.39</v>
          </cell>
          <cell r="H141">
            <v>6.39</v>
          </cell>
          <cell r="I141" t="str">
            <v>FC</v>
          </cell>
          <cell r="J141" t="str">
            <v>ST</v>
          </cell>
          <cell r="K141">
            <v>14</v>
          </cell>
          <cell r="L141">
            <v>45542</v>
          </cell>
          <cell r="M141">
            <v>45542</v>
          </cell>
          <cell r="N141">
            <v>452</v>
          </cell>
          <cell r="O141" t="str">
            <v>NS</v>
          </cell>
          <cell r="P141" t="str">
            <v>NSF18CK3</v>
          </cell>
          <cell r="Q141">
            <v>45969</v>
          </cell>
          <cell r="R141" t="str">
            <v/>
          </cell>
          <cell r="S141" t="str">
            <v/>
          </cell>
          <cell r="T141">
            <v>45967</v>
          </cell>
          <cell r="U141">
            <v>62272</v>
          </cell>
          <cell r="V141">
            <v>66413</v>
          </cell>
          <cell r="W141">
            <v>45490</v>
          </cell>
          <cell r="X141" t="str">
            <v>Lokasi Produksi 512B2 ( pecahan 512B )</v>
          </cell>
          <cell r="Z141">
            <v>14</v>
          </cell>
          <cell r="AA141">
            <v>45969</v>
          </cell>
          <cell r="AB141">
            <v>4802.5973361111101</v>
          </cell>
          <cell r="AC141">
            <v>160.08657787037035</v>
          </cell>
          <cell r="AD141">
            <v>-20</v>
          </cell>
          <cell r="AE141">
            <v>0</v>
          </cell>
          <cell r="AF141">
            <v>0</v>
          </cell>
          <cell r="AG141">
            <v>-1214.5999999999999</v>
          </cell>
          <cell r="AK141">
            <v>40343</v>
          </cell>
          <cell r="AM141" t="str">
            <v>OK</v>
          </cell>
          <cell r="AO141">
            <v>15.078518441358028</v>
          </cell>
          <cell r="AP141">
            <v>1.0785184413580282</v>
          </cell>
          <cell r="AQ141">
            <v>45967</v>
          </cell>
          <cell r="AR141">
            <v>14.166666666666666</v>
          </cell>
          <cell r="AS141">
            <v>0.91185177469136214</v>
          </cell>
          <cell r="AT141">
            <v>45969</v>
          </cell>
          <cell r="AU141">
            <v>0.91185177469136214</v>
          </cell>
          <cell r="AV141">
            <v>425</v>
          </cell>
          <cell r="AW141">
            <v>0.91185177469136214</v>
          </cell>
          <cell r="AY141">
            <v>457.46369178241002</v>
          </cell>
          <cell r="AZ141" t="str">
            <v>F18</v>
          </cell>
          <cell r="BA141">
            <v>6.39</v>
          </cell>
          <cell r="BB141" t="str">
            <v>NSFC</v>
          </cell>
          <cell r="BC141" t="str">
            <v>F18CK</v>
          </cell>
        </row>
        <row r="142">
          <cell r="A142" t="str">
            <v>512B3</v>
          </cell>
          <cell r="B142" t="str">
            <v>3</v>
          </cell>
          <cell r="C142" t="str">
            <v>05</v>
          </cell>
          <cell r="D142">
            <v>17</v>
          </cell>
          <cell r="E142" t="str">
            <v>512B3</v>
          </cell>
          <cell r="F142">
            <v>3.65</v>
          </cell>
          <cell r="G142">
            <v>3.07</v>
          </cell>
          <cell r="H142">
            <v>3.07</v>
          </cell>
          <cell r="I142" t="str">
            <v>FC</v>
          </cell>
          <cell r="J142" t="str">
            <v>ST</v>
          </cell>
          <cell r="K142">
            <v>14</v>
          </cell>
          <cell r="L142">
            <v>45553</v>
          </cell>
          <cell r="M142">
            <v>45553</v>
          </cell>
          <cell r="N142">
            <v>441</v>
          </cell>
          <cell r="O142" t="str">
            <v>NS</v>
          </cell>
          <cell r="P142" t="str">
            <v>NSF18SK3</v>
          </cell>
          <cell r="Q142">
            <v>45980</v>
          </cell>
          <cell r="R142" t="str">
            <v/>
          </cell>
          <cell r="S142" t="str">
            <v/>
          </cell>
          <cell r="T142">
            <v>45977</v>
          </cell>
          <cell r="U142">
            <v>70370</v>
          </cell>
          <cell r="V142">
            <v>67546</v>
          </cell>
          <cell r="W142">
            <v>45490</v>
          </cell>
          <cell r="X142" t="str">
            <v>Lokasi Produksi 512B3 ( pecahan 512B )</v>
          </cell>
          <cell r="Z142">
            <v>14</v>
          </cell>
          <cell r="AA142">
            <v>45980</v>
          </cell>
          <cell r="AB142">
            <v>334.59733611111005</v>
          </cell>
          <cell r="AC142">
            <v>11.153244537037002</v>
          </cell>
          <cell r="AD142">
            <v>-4.8467554629629976</v>
          </cell>
          <cell r="AE142">
            <v>16.03</v>
          </cell>
          <cell r="AF142">
            <v>0</v>
          </cell>
          <cell r="AG142">
            <v>-1363.5333333333333</v>
          </cell>
          <cell r="AM142" t="str">
            <v>OK</v>
          </cell>
          <cell r="AO142">
            <v>14.711851774691361</v>
          </cell>
          <cell r="AP142">
            <v>0.71185177469136107</v>
          </cell>
          <cell r="AQ142">
            <v>45977</v>
          </cell>
          <cell r="AR142">
            <v>14.133333333333333</v>
          </cell>
          <cell r="AS142">
            <v>0.57851844135802821</v>
          </cell>
          <cell r="AT142">
            <v>45980</v>
          </cell>
          <cell r="AU142">
            <v>0.57851844135802821</v>
          </cell>
          <cell r="AV142">
            <v>424</v>
          </cell>
          <cell r="AW142">
            <v>0.57851844135802821</v>
          </cell>
          <cell r="AY142">
            <v>446.46369178241002</v>
          </cell>
          <cell r="AZ142" t="str">
            <v>F18</v>
          </cell>
          <cell r="BA142">
            <v>3.07</v>
          </cell>
          <cell r="BB142" t="str">
            <v>NSFC</v>
          </cell>
          <cell r="BC142" t="str">
            <v>F18SK</v>
          </cell>
        </row>
        <row r="143">
          <cell r="A143" t="str">
            <v>512D</v>
          </cell>
          <cell r="B143" t="str">
            <v>3</v>
          </cell>
          <cell r="C143" t="str">
            <v>05</v>
          </cell>
          <cell r="D143">
            <v>17</v>
          </cell>
          <cell r="E143" t="str">
            <v>512D</v>
          </cell>
          <cell r="F143">
            <v>10.35</v>
          </cell>
          <cell r="G143">
            <v>8.49</v>
          </cell>
          <cell r="H143">
            <v>8.49</v>
          </cell>
          <cell r="I143" t="str">
            <v>FC</v>
          </cell>
          <cell r="J143" t="str">
            <v>ST</v>
          </cell>
          <cell r="K143">
            <v>14</v>
          </cell>
          <cell r="L143">
            <v>45670</v>
          </cell>
          <cell r="M143">
            <v>45670</v>
          </cell>
          <cell r="N143">
            <v>324</v>
          </cell>
          <cell r="O143" t="str">
            <v>NS</v>
          </cell>
          <cell r="P143" t="str">
            <v>NSGP3CK3</v>
          </cell>
          <cell r="Q143">
            <v>46097</v>
          </cell>
          <cell r="R143" t="str">
            <v/>
          </cell>
          <cell r="S143" t="str">
            <v/>
          </cell>
          <cell r="T143" t="str">
            <v/>
          </cell>
          <cell r="U143">
            <v>66830</v>
          </cell>
          <cell r="V143">
            <v>67304</v>
          </cell>
          <cell r="W143">
            <v>43182</v>
          </cell>
          <cell r="X143" t="str">
            <v>Lokasi Produksi 512D</v>
          </cell>
          <cell r="Z143">
            <v>14</v>
          </cell>
          <cell r="AA143">
            <v>46097</v>
          </cell>
          <cell r="AB143">
            <v>337.59733611111005</v>
          </cell>
          <cell r="AC143">
            <v>11.253244537037002</v>
          </cell>
          <cell r="AD143">
            <v>-2.746755462962998</v>
          </cell>
          <cell r="AE143">
            <v>11.33</v>
          </cell>
          <cell r="AF143">
            <v>0</v>
          </cell>
          <cell r="AG143">
            <v>-1363.4333333333334</v>
          </cell>
          <cell r="AM143" t="str">
            <v>OK</v>
          </cell>
          <cell r="AO143">
            <v>10.811851774691361</v>
          </cell>
          <cell r="AP143">
            <v>-3.1881482253086393</v>
          </cell>
          <cell r="AQ143">
            <v>0</v>
          </cell>
          <cell r="AR143">
            <v>10.811851774691361</v>
          </cell>
          <cell r="AS143">
            <v>0</v>
          </cell>
          <cell r="AT143">
            <v>46097</v>
          </cell>
          <cell r="AU143">
            <v>-3.1881482253086393</v>
          </cell>
          <cell r="AV143">
            <v>324.35555324074085</v>
          </cell>
          <cell r="AW143">
            <v>-3.1881482253086393</v>
          </cell>
          <cell r="AY143">
            <v>329.46369178241002</v>
          </cell>
          <cell r="AZ143" t="str">
            <v>GP3</v>
          </cell>
          <cell r="BA143">
            <v>8.49</v>
          </cell>
          <cell r="BB143" t="str">
            <v>NSFC</v>
          </cell>
          <cell r="BC143" t="str">
            <v>GP3CK</v>
          </cell>
        </row>
        <row r="144">
          <cell r="A144" t="str">
            <v>512E</v>
          </cell>
          <cell r="B144" t="str">
            <v>3</v>
          </cell>
          <cell r="C144" t="str">
            <v>05</v>
          </cell>
          <cell r="D144">
            <v>17</v>
          </cell>
          <cell r="E144" t="str">
            <v>512E</v>
          </cell>
          <cell r="F144">
            <v>14.93</v>
          </cell>
          <cell r="G144">
            <v>12.57</v>
          </cell>
          <cell r="H144">
            <v>12.57</v>
          </cell>
          <cell r="I144" t="str">
            <v>FC</v>
          </cell>
          <cell r="J144" t="str">
            <v>ST</v>
          </cell>
          <cell r="K144">
            <v>14</v>
          </cell>
          <cell r="L144">
            <v>45904</v>
          </cell>
          <cell r="M144">
            <v>45904</v>
          </cell>
          <cell r="N144">
            <v>90</v>
          </cell>
          <cell r="O144" t="str">
            <v>NS</v>
          </cell>
          <cell r="P144" t="str">
            <v>NSF18CK3</v>
          </cell>
          <cell r="Q144">
            <v>46331</v>
          </cell>
          <cell r="R144" t="str">
            <v/>
          </cell>
          <cell r="S144" t="str">
            <v/>
          </cell>
          <cell r="T144" t="str">
            <v/>
          </cell>
          <cell r="U144">
            <v>69149</v>
          </cell>
          <cell r="V144">
            <v>50493</v>
          </cell>
          <cell r="W144">
            <v>44328</v>
          </cell>
          <cell r="X144" t="str">
            <v>Lokasi Produksi 512E</v>
          </cell>
          <cell r="Z144">
            <v>14</v>
          </cell>
          <cell r="AA144">
            <v>46331</v>
          </cell>
          <cell r="AB144">
            <v>355.59733611111005</v>
          </cell>
          <cell r="AC144">
            <v>11.853244537037002</v>
          </cell>
          <cell r="AD144">
            <v>-2.1467554629629984</v>
          </cell>
          <cell r="AE144">
            <v>16.66</v>
          </cell>
          <cell r="AF144">
            <v>0</v>
          </cell>
          <cell r="AG144">
            <v>-1362.8333333333333</v>
          </cell>
          <cell r="AM144" t="str">
            <v>OK</v>
          </cell>
          <cell r="AO144">
            <v>3.0118517746913613</v>
          </cell>
          <cell r="AP144">
            <v>-10.988148225308638</v>
          </cell>
          <cell r="AQ144">
            <v>0</v>
          </cell>
          <cell r="AR144">
            <v>3.0118517746913613</v>
          </cell>
          <cell r="AS144">
            <v>0</v>
          </cell>
          <cell r="AT144">
            <v>46331</v>
          </cell>
          <cell r="AU144">
            <v>-10.988148225308638</v>
          </cell>
          <cell r="AV144">
            <v>90.355553240740846</v>
          </cell>
          <cell r="AW144">
            <v>-10.988148225308638</v>
          </cell>
          <cell r="AY144">
            <v>95.463691782410024</v>
          </cell>
          <cell r="AZ144" t="str">
            <v>F18</v>
          </cell>
          <cell r="BA144">
            <v>12.57</v>
          </cell>
          <cell r="BB144" t="str">
            <v>NSFC</v>
          </cell>
          <cell r="BC144" t="str">
            <v>F18CK</v>
          </cell>
        </row>
        <row r="145">
          <cell r="A145" t="str">
            <v>512F</v>
          </cell>
          <cell r="B145" t="str">
            <v>3</v>
          </cell>
          <cell r="C145" t="str">
            <v>05</v>
          </cell>
          <cell r="D145">
            <v>17</v>
          </cell>
          <cell r="E145" t="str">
            <v>512F</v>
          </cell>
          <cell r="F145">
            <v>4.13</v>
          </cell>
          <cell r="G145">
            <v>3.52</v>
          </cell>
          <cell r="H145">
            <v>3.52</v>
          </cell>
          <cell r="I145" t="str">
            <v>FC</v>
          </cell>
          <cell r="J145" t="str">
            <v>ST</v>
          </cell>
          <cell r="K145">
            <v>14</v>
          </cell>
          <cell r="L145">
            <v>45916</v>
          </cell>
          <cell r="M145">
            <v>45916</v>
          </cell>
          <cell r="N145">
            <v>78</v>
          </cell>
          <cell r="O145" t="str">
            <v>NS</v>
          </cell>
          <cell r="P145" t="str">
            <v>NSF18CK3</v>
          </cell>
          <cell r="Q145">
            <v>46343</v>
          </cell>
          <cell r="R145" t="str">
            <v/>
          </cell>
          <cell r="S145" t="str">
            <v/>
          </cell>
          <cell r="T145" t="str">
            <v/>
          </cell>
          <cell r="U145">
            <v>69390</v>
          </cell>
          <cell r="V145">
            <v>50953</v>
          </cell>
          <cell r="W145">
            <v>43770</v>
          </cell>
          <cell r="X145" t="str">
            <v>Lokasi Produksi 512F</v>
          </cell>
          <cell r="Z145">
            <v>14</v>
          </cell>
          <cell r="AA145">
            <v>46343</v>
          </cell>
          <cell r="AB145">
            <v>336.59733611111005</v>
          </cell>
          <cell r="AC145">
            <v>11.219911203703669</v>
          </cell>
          <cell r="AD145">
            <v>-2.7800887962963312</v>
          </cell>
          <cell r="AE145">
            <v>14.38</v>
          </cell>
          <cell r="AF145">
            <v>0</v>
          </cell>
          <cell r="AG145">
            <v>-1363.4666666666667</v>
          </cell>
          <cell r="AM145" t="str">
            <v>OK</v>
          </cell>
          <cell r="AO145">
            <v>2.6118517746913614</v>
          </cell>
          <cell r="AP145">
            <v>-11.388148225308639</v>
          </cell>
          <cell r="AQ145">
            <v>0</v>
          </cell>
          <cell r="AR145">
            <v>2.6118517746913614</v>
          </cell>
          <cell r="AS145">
            <v>0</v>
          </cell>
          <cell r="AT145">
            <v>46343</v>
          </cell>
          <cell r="AU145">
            <v>-11.388148225308639</v>
          </cell>
          <cell r="AV145">
            <v>78.355553240740846</v>
          </cell>
          <cell r="AW145">
            <v>-11.388148225308639</v>
          </cell>
          <cell r="AY145">
            <v>83.463691782410024</v>
          </cell>
          <cell r="AZ145" t="str">
            <v>F18</v>
          </cell>
          <cell r="BA145">
            <v>3.52</v>
          </cell>
          <cell r="BB145" t="str">
            <v>NSFC</v>
          </cell>
          <cell r="BC145" t="str">
            <v>F18CK</v>
          </cell>
        </row>
        <row r="146">
          <cell r="A146" t="str">
            <v>512G</v>
          </cell>
          <cell r="B146" t="str">
            <v>3</v>
          </cell>
          <cell r="C146" t="str">
            <v>05</v>
          </cell>
          <cell r="D146">
            <v>17</v>
          </cell>
          <cell r="E146" t="str">
            <v>512G</v>
          </cell>
          <cell r="F146">
            <v>5.36</v>
          </cell>
          <cell r="G146">
            <v>4.5599999999999996</v>
          </cell>
          <cell r="H146">
            <v>4.5599999999999996</v>
          </cell>
          <cell r="I146" t="str">
            <v>FC</v>
          </cell>
          <cell r="J146" t="str">
            <v>ST</v>
          </cell>
          <cell r="K146">
            <v>10</v>
          </cell>
          <cell r="L146">
            <v>45937</v>
          </cell>
          <cell r="M146">
            <v>45937</v>
          </cell>
          <cell r="N146">
            <v>57</v>
          </cell>
          <cell r="O146" t="str">
            <v>NS</v>
          </cell>
          <cell r="P146" t="str">
            <v>NSF18SB3</v>
          </cell>
          <cell r="Q146">
            <v>46242</v>
          </cell>
          <cell r="R146" t="str">
            <v/>
          </cell>
          <cell r="S146" t="str">
            <v/>
          </cell>
          <cell r="T146" t="str">
            <v/>
          </cell>
          <cell r="U146">
            <v>71657</v>
          </cell>
          <cell r="V146">
            <v>51726</v>
          </cell>
          <cell r="W146">
            <v>43182</v>
          </cell>
          <cell r="X146" t="str">
            <v>Lokasi Produksi 512G</v>
          </cell>
          <cell r="Z146">
            <v>10</v>
          </cell>
          <cell r="AA146">
            <v>46242</v>
          </cell>
          <cell r="AB146">
            <v>54.597336111110053</v>
          </cell>
          <cell r="AC146">
            <v>1.8199112037036684</v>
          </cell>
          <cell r="AD146">
            <v>-6.1800887962963316</v>
          </cell>
          <cell r="AE146">
            <v>12.15</v>
          </cell>
          <cell r="AF146">
            <v>0</v>
          </cell>
          <cell r="AG146">
            <v>-1372.8666666666666</v>
          </cell>
          <cell r="AK146">
            <v>40324</v>
          </cell>
          <cell r="AM146" t="str">
            <v>OK</v>
          </cell>
          <cell r="AO146">
            <v>1.9118517746913615</v>
          </cell>
          <cell r="AP146">
            <v>-8.0881482253086379</v>
          </cell>
          <cell r="AQ146">
            <v>0</v>
          </cell>
          <cell r="AR146">
            <v>1.9118517746913615</v>
          </cell>
          <cell r="AS146">
            <v>0</v>
          </cell>
          <cell r="AT146">
            <v>46242</v>
          </cell>
          <cell r="AU146">
            <v>-8.0881482253086379</v>
          </cell>
          <cell r="AV146">
            <v>57.355553240740846</v>
          </cell>
          <cell r="AW146">
            <v>-8.0881482253086379</v>
          </cell>
          <cell r="AY146">
            <v>62.463691782410024</v>
          </cell>
          <cell r="AZ146" t="str">
            <v>F18</v>
          </cell>
          <cell r="BA146">
            <v>4.5599999999999996</v>
          </cell>
          <cell r="BB146" t="str">
            <v>NSFC</v>
          </cell>
          <cell r="BC146" t="str">
            <v>F18SB</v>
          </cell>
        </row>
        <row r="147">
          <cell r="A147" t="str">
            <v>512G3</v>
          </cell>
          <cell r="B147" t="str">
            <v>3</v>
          </cell>
          <cell r="C147" t="str">
            <v>05</v>
          </cell>
          <cell r="D147">
            <v>17</v>
          </cell>
          <cell r="E147" t="str">
            <v>512G3</v>
          </cell>
          <cell r="F147">
            <v>1.72</v>
          </cell>
          <cell r="G147">
            <v>1.37</v>
          </cell>
          <cell r="H147">
            <v>1.37</v>
          </cell>
          <cell r="I147" t="str">
            <v>BB</v>
          </cell>
          <cell r="J147" t="str">
            <v>FC</v>
          </cell>
          <cell r="K147">
            <v>0</v>
          </cell>
          <cell r="L147">
            <v>45757</v>
          </cell>
          <cell r="M147">
            <v>45757</v>
          </cell>
          <cell r="N147">
            <v>237</v>
          </cell>
          <cell r="O147" t="str">
            <v>NS</v>
          </cell>
          <cell r="P147" t="str">
            <v/>
          </cell>
          <cell r="Q147">
            <v>45757</v>
          </cell>
          <cell r="R147" t="str">
            <v/>
          </cell>
          <cell r="S147" t="str">
            <v/>
          </cell>
          <cell r="T147" t="str">
            <v/>
          </cell>
          <cell r="U147">
            <v>65682</v>
          </cell>
          <cell r="V147">
            <v>68310</v>
          </cell>
          <cell r="W147" t="str">
            <v/>
          </cell>
          <cell r="X147" t="str">
            <v>Lokasi Produksi 512G3 ( dari 512G1 singkong )</v>
          </cell>
          <cell r="Z147">
            <v>0</v>
          </cell>
          <cell r="AA147">
            <v>45757</v>
          </cell>
          <cell r="AB147">
            <v>344.59733611111005</v>
          </cell>
          <cell r="AC147">
            <v>11.486577870370335</v>
          </cell>
          <cell r="AD147">
            <v>-2.5134221296296655</v>
          </cell>
          <cell r="AE147">
            <v>16.52</v>
          </cell>
          <cell r="AF147">
            <v>0</v>
          </cell>
          <cell r="AG147">
            <v>-1363.2</v>
          </cell>
          <cell r="AK147">
            <v>40325</v>
          </cell>
          <cell r="AM147" t="str">
            <v>OK</v>
          </cell>
          <cell r="AO147">
            <v>7.9118517746913612</v>
          </cell>
          <cell r="AP147">
            <v>7.9118517746913612</v>
          </cell>
          <cell r="AQ147">
            <v>0</v>
          </cell>
          <cell r="AR147">
            <v>7.9118517746913612</v>
          </cell>
          <cell r="AS147">
            <v>0</v>
          </cell>
          <cell r="AT147">
            <v>45757</v>
          </cell>
          <cell r="AU147">
            <v>7.9118517746913612</v>
          </cell>
          <cell r="AV147">
            <v>237.35555324074085</v>
          </cell>
          <cell r="AW147">
            <v>7.9118517746913612</v>
          </cell>
          <cell r="AY147">
            <v>242.46369178241002</v>
          </cell>
          <cell r="AZ147" t="str">
            <v>F18</v>
          </cell>
          <cell r="BA147">
            <v>0</v>
          </cell>
          <cell r="BB147" t="str">
            <v>NSBB</v>
          </cell>
          <cell r="BC147" t="str">
            <v>F18</v>
          </cell>
        </row>
        <row r="148">
          <cell r="A148" t="str">
            <v>512H</v>
          </cell>
          <cell r="B148" t="str">
            <v>3</v>
          </cell>
          <cell r="C148" t="str">
            <v>05</v>
          </cell>
          <cell r="D148">
            <v>17</v>
          </cell>
          <cell r="E148" t="str">
            <v>512H</v>
          </cell>
          <cell r="F148">
            <v>12.09</v>
          </cell>
          <cell r="G148">
            <v>10.1</v>
          </cell>
          <cell r="H148">
            <v>10.1</v>
          </cell>
          <cell r="I148" t="str">
            <v>FC</v>
          </cell>
          <cell r="J148" t="str">
            <v>ST</v>
          </cell>
          <cell r="K148">
            <v>14</v>
          </cell>
          <cell r="L148">
            <v>45884</v>
          </cell>
          <cell r="M148">
            <v>45884</v>
          </cell>
          <cell r="N148">
            <v>110</v>
          </cell>
          <cell r="O148" t="str">
            <v>NS</v>
          </cell>
          <cell r="P148" t="str">
            <v>NSGP3CK3</v>
          </cell>
          <cell r="Q148">
            <v>46311</v>
          </cell>
          <cell r="R148" t="str">
            <v/>
          </cell>
          <cell r="S148" t="str">
            <v/>
          </cell>
          <cell r="T148" t="str">
            <v/>
          </cell>
          <cell r="U148">
            <v>70516</v>
          </cell>
          <cell r="V148">
            <v>51513</v>
          </cell>
          <cell r="W148">
            <v>43642</v>
          </cell>
          <cell r="X148" t="str">
            <v>Lokasi Produksi 512H</v>
          </cell>
          <cell r="Z148">
            <v>14</v>
          </cell>
          <cell r="AA148">
            <v>46311</v>
          </cell>
          <cell r="AB148">
            <v>418.59733611111005</v>
          </cell>
          <cell r="AC148">
            <v>13.953244537037001</v>
          </cell>
          <cell r="AD148">
            <v>-2.0467554629629987</v>
          </cell>
          <cell r="AE148">
            <v>12.75</v>
          </cell>
          <cell r="AF148">
            <v>0</v>
          </cell>
          <cell r="AG148">
            <v>-1360.7333333333333</v>
          </cell>
          <cell r="AK148">
            <v>40326</v>
          </cell>
          <cell r="AM148" t="str">
            <v>OK</v>
          </cell>
          <cell r="AO148">
            <v>3.6785184413580283</v>
          </cell>
          <cell r="AP148">
            <v>-10.321481558641972</v>
          </cell>
          <cell r="AQ148">
            <v>0</v>
          </cell>
          <cell r="AR148">
            <v>3.6785184413580283</v>
          </cell>
          <cell r="AS148">
            <v>0</v>
          </cell>
          <cell r="AT148">
            <v>46311</v>
          </cell>
          <cell r="AU148">
            <v>-10.321481558641972</v>
          </cell>
          <cell r="AV148">
            <v>110.35555324074085</v>
          </cell>
          <cell r="AW148">
            <v>-10.321481558641972</v>
          </cell>
          <cell r="AY148">
            <v>115.46369178241002</v>
          </cell>
          <cell r="AZ148" t="str">
            <v>GP3</v>
          </cell>
          <cell r="BA148">
            <v>10.1</v>
          </cell>
          <cell r="BB148" t="str">
            <v>NSFC</v>
          </cell>
          <cell r="BC148" t="str">
            <v>GP3CK</v>
          </cell>
        </row>
        <row r="149">
          <cell r="A149" t="str">
            <v>512I</v>
          </cell>
          <cell r="B149" t="str">
            <v>3</v>
          </cell>
          <cell r="C149" t="str">
            <v>05</v>
          </cell>
          <cell r="D149">
            <v>17</v>
          </cell>
          <cell r="E149" t="str">
            <v>512I</v>
          </cell>
          <cell r="F149">
            <v>13.22</v>
          </cell>
          <cell r="G149">
            <v>10.87</v>
          </cell>
          <cell r="H149">
            <v>10.87</v>
          </cell>
          <cell r="I149" t="str">
            <v>FC</v>
          </cell>
          <cell r="J149" t="str">
            <v>ST</v>
          </cell>
          <cell r="K149">
            <v>14</v>
          </cell>
          <cell r="L149">
            <v>45590</v>
          </cell>
          <cell r="M149">
            <v>45590</v>
          </cell>
          <cell r="N149">
            <v>404</v>
          </cell>
          <cell r="O149" t="str">
            <v>NS</v>
          </cell>
          <cell r="P149" t="str">
            <v>NSF18CK3</v>
          </cell>
          <cell r="Q149">
            <v>46017</v>
          </cell>
          <cell r="R149" t="str">
            <v/>
          </cell>
          <cell r="S149" t="str">
            <v/>
          </cell>
          <cell r="T149" t="str">
            <v/>
          </cell>
          <cell r="U149">
            <v>63612</v>
          </cell>
          <cell r="V149">
            <v>64745</v>
          </cell>
          <cell r="W149" t="str">
            <v/>
          </cell>
          <cell r="X149" t="str">
            <v>Lokasi Produksi 512I</v>
          </cell>
          <cell r="Z149">
            <v>14</v>
          </cell>
          <cell r="AA149">
            <v>46017</v>
          </cell>
          <cell r="AB149">
            <v>5432.5973361111101</v>
          </cell>
          <cell r="AC149">
            <v>181.08657787037035</v>
          </cell>
          <cell r="AD149">
            <v>-20</v>
          </cell>
          <cell r="AE149">
            <v>0</v>
          </cell>
          <cell r="AF149">
            <v>0</v>
          </cell>
          <cell r="AG149">
            <v>-1193.5999999999999</v>
          </cell>
          <cell r="AM149" t="str">
            <v>OK</v>
          </cell>
          <cell r="AO149">
            <v>13.478518441358029</v>
          </cell>
          <cell r="AP149">
            <v>-0.52148155864197143</v>
          </cell>
          <cell r="AQ149">
            <v>0</v>
          </cell>
          <cell r="AR149">
            <v>13.478518441358029</v>
          </cell>
          <cell r="AS149">
            <v>0</v>
          </cell>
          <cell r="AT149">
            <v>46017</v>
          </cell>
          <cell r="AU149">
            <v>-0.52148155864197143</v>
          </cell>
          <cell r="AV149">
            <v>404.35555324074085</v>
          </cell>
          <cell r="AW149">
            <v>-0.52148155864197143</v>
          </cell>
          <cell r="AY149">
            <v>409.46369178241002</v>
          </cell>
          <cell r="AZ149" t="str">
            <v>F18</v>
          </cell>
          <cell r="BA149">
            <v>10.87</v>
          </cell>
          <cell r="BB149" t="str">
            <v>NSFC</v>
          </cell>
          <cell r="BC149" t="str">
            <v>F18CK</v>
          </cell>
        </row>
        <row r="150">
          <cell r="A150" t="str">
            <v>512J</v>
          </cell>
          <cell r="B150" t="str">
            <v>3</v>
          </cell>
          <cell r="C150" t="str">
            <v>05</v>
          </cell>
          <cell r="D150">
            <v>17</v>
          </cell>
          <cell r="E150" t="str">
            <v>512J</v>
          </cell>
          <cell r="F150">
            <v>14.13</v>
          </cell>
          <cell r="G150">
            <v>11.83</v>
          </cell>
          <cell r="H150">
            <v>11.83</v>
          </cell>
          <cell r="I150" t="str">
            <v>FC</v>
          </cell>
          <cell r="J150" t="str">
            <v>ST</v>
          </cell>
          <cell r="K150">
            <v>10</v>
          </cell>
          <cell r="L150">
            <v>45766</v>
          </cell>
          <cell r="M150">
            <v>45766</v>
          </cell>
          <cell r="N150">
            <v>228</v>
          </cell>
          <cell r="O150" t="str">
            <v>NS</v>
          </cell>
          <cell r="P150" t="str">
            <v>NSF18SB3</v>
          </cell>
          <cell r="Q150">
            <v>46071</v>
          </cell>
          <cell r="R150" t="str">
            <v/>
          </cell>
          <cell r="S150" t="str">
            <v/>
          </cell>
          <cell r="T150" t="str">
            <v/>
          </cell>
          <cell r="U150">
            <v>71179</v>
          </cell>
          <cell r="V150">
            <v>72576</v>
          </cell>
          <cell r="W150">
            <v>44493</v>
          </cell>
          <cell r="X150" t="str">
            <v>Lokasi Produksi 512J</v>
          </cell>
          <cell r="Z150">
            <v>10</v>
          </cell>
          <cell r="AA150">
            <v>46071</v>
          </cell>
          <cell r="AB150">
            <v>405.59733611111005</v>
          </cell>
          <cell r="AC150">
            <v>13.519911203703668</v>
          </cell>
          <cell r="AD150">
            <v>5.5199112037036677</v>
          </cell>
          <cell r="AE150">
            <v>5.71</v>
          </cell>
          <cell r="AF150">
            <v>0</v>
          </cell>
          <cell r="AG150">
            <v>-1361.1666666666667</v>
          </cell>
          <cell r="AM150" t="str">
            <v>OK</v>
          </cell>
          <cell r="AO150">
            <v>7.6118517746913614</v>
          </cell>
          <cell r="AP150">
            <v>-2.3881482253086386</v>
          </cell>
          <cell r="AQ150">
            <v>0</v>
          </cell>
          <cell r="AR150">
            <v>7.6118517746913614</v>
          </cell>
          <cell r="AS150">
            <v>0</v>
          </cell>
          <cell r="AT150">
            <v>46071</v>
          </cell>
          <cell r="AU150">
            <v>-2.3881482253086386</v>
          </cell>
          <cell r="AV150">
            <v>228.35555324074085</v>
          </cell>
          <cell r="AW150">
            <v>-2.3881482253086386</v>
          </cell>
          <cell r="AY150">
            <v>233.46369178241002</v>
          </cell>
          <cell r="AZ150" t="str">
            <v>F18</v>
          </cell>
          <cell r="BA150">
            <v>11.83</v>
          </cell>
          <cell r="BB150" t="str">
            <v>NSFC</v>
          </cell>
          <cell r="BC150" t="str">
            <v>F18SB</v>
          </cell>
        </row>
        <row r="151">
          <cell r="A151" t="str">
            <v>512S3</v>
          </cell>
          <cell r="B151" t="str">
            <v>3</v>
          </cell>
          <cell r="C151" t="str">
            <v>05</v>
          </cell>
          <cell r="D151">
            <v>17</v>
          </cell>
          <cell r="E151" t="str">
            <v>512S3</v>
          </cell>
          <cell r="F151">
            <v>0.62</v>
          </cell>
          <cell r="G151">
            <v>0.62</v>
          </cell>
          <cell r="H151">
            <v>0.62</v>
          </cell>
          <cell r="I151" t="str">
            <v>FC</v>
          </cell>
          <cell r="J151" t="str">
            <v>ST</v>
          </cell>
          <cell r="K151">
            <v>0</v>
          </cell>
          <cell r="L151">
            <v>45695</v>
          </cell>
          <cell r="M151">
            <v>45695</v>
          </cell>
          <cell r="N151">
            <v>299</v>
          </cell>
          <cell r="O151" t="str">
            <v>SK</v>
          </cell>
          <cell r="P151" t="str">
            <v/>
          </cell>
          <cell r="Q151">
            <v>45695</v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>Lokasi Produksi 512S3 ( singkong )</v>
          </cell>
          <cell r="Z151">
            <v>0</v>
          </cell>
          <cell r="AA151">
            <v>45695</v>
          </cell>
          <cell r="AB151">
            <v>252.59733611111005</v>
          </cell>
          <cell r="AC151">
            <v>8.4199112037036681</v>
          </cell>
          <cell r="AD151">
            <v>-20</v>
          </cell>
          <cell r="AE151">
            <v>0</v>
          </cell>
          <cell r="AF151">
            <v>0</v>
          </cell>
          <cell r="AG151">
            <v>-1366.2666666666667</v>
          </cell>
          <cell r="AM151" t="str">
            <v>OK</v>
          </cell>
          <cell r="AO151">
            <v>9.9785184413580286</v>
          </cell>
          <cell r="AP151">
            <v>9.9785184413580286</v>
          </cell>
          <cell r="AQ151">
            <v>0</v>
          </cell>
          <cell r="AR151">
            <v>9.9785184413580286</v>
          </cell>
          <cell r="AS151">
            <v>0</v>
          </cell>
          <cell r="AT151">
            <v>45695</v>
          </cell>
          <cell r="AU151">
            <v>9.9785184413580286</v>
          </cell>
          <cell r="AV151">
            <v>299.35555324074085</v>
          </cell>
          <cell r="AW151">
            <v>9.9785184413580286</v>
          </cell>
          <cell r="AY151">
            <v>304.46369178241002</v>
          </cell>
          <cell r="AZ151" t="str">
            <v>F18</v>
          </cell>
          <cell r="BA151">
            <v>0</v>
          </cell>
          <cell r="BB151" t="str">
            <v>SKFC</v>
          </cell>
          <cell r="BC151" t="str">
            <v>F18</v>
          </cell>
        </row>
        <row r="152">
          <cell r="A152" t="str">
            <v>512S4</v>
          </cell>
          <cell r="B152" t="str">
            <v>3</v>
          </cell>
          <cell r="C152" t="str">
            <v>05</v>
          </cell>
          <cell r="D152">
            <v>17</v>
          </cell>
          <cell r="E152" t="str">
            <v>512S4</v>
          </cell>
          <cell r="F152">
            <v>0.48</v>
          </cell>
          <cell r="G152">
            <v>0.48</v>
          </cell>
          <cell r="H152">
            <v>0.48</v>
          </cell>
          <cell r="I152" t="str">
            <v>FC</v>
          </cell>
          <cell r="J152" t="str">
            <v>ST</v>
          </cell>
          <cell r="K152">
            <v>0</v>
          </cell>
          <cell r="L152">
            <v>45784</v>
          </cell>
          <cell r="M152">
            <v>45784</v>
          </cell>
          <cell r="N152">
            <v>210</v>
          </cell>
          <cell r="O152" t="str">
            <v>SK</v>
          </cell>
          <cell r="P152" t="str">
            <v/>
          </cell>
          <cell r="Q152">
            <v>45784</v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>
            <v>45708</v>
          </cell>
          <cell r="X152" t="str">
            <v>Lokasi Produksi 512S4 ( singkong )</v>
          </cell>
          <cell r="Z152">
            <v>0</v>
          </cell>
          <cell r="AA152">
            <v>45784</v>
          </cell>
          <cell r="AB152">
            <v>323.59733611111005</v>
          </cell>
          <cell r="AC152">
            <v>10.786577870370335</v>
          </cell>
          <cell r="AD152">
            <v>2.7865778703703352</v>
          </cell>
          <cell r="AE152">
            <v>19.510000000000002</v>
          </cell>
          <cell r="AF152">
            <v>0</v>
          </cell>
          <cell r="AG152">
            <v>-1363.9</v>
          </cell>
          <cell r="AM152" t="str">
            <v>OK</v>
          </cell>
          <cell r="AO152">
            <v>7.0118517746913618</v>
          </cell>
          <cell r="AP152">
            <v>7.0118517746913618</v>
          </cell>
          <cell r="AQ152">
            <v>0</v>
          </cell>
          <cell r="AR152">
            <v>7.0118517746913618</v>
          </cell>
          <cell r="AS152">
            <v>0</v>
          </cell>
          <cell r="AT152">
            <v>45784</v>
          </cell>
          <cell r="AU152">
            <v>7.0118517746913618</v>
          </cell>
          <cell r="AV152">
            <v>210.35555324074085</v>
          </cell>
          <cell r="AW152">
            <v>7.0118517746913618</v>
          </cell>
          <cell r="AY152">
            <v>215.46369178241002</v>
          </cell>
          <cell r="AZ152" t="str">
            <v>F18</v>
          </cell>
          <cell r="BA152">
            <v>0</v>
          </cell>
          <cell r="BB152" t="str">
            <v>SKFC</v>
          </cell>
          <cell r="BC152" t="str">
            <v>F18</v>
          </cell>
        </row>
        <row r="153">
          <cell r="A153" t="str">
            <v>513A1</v>
          </cell>
          <cell r="B153" t="str">
            <v>3</v>
          </cell>
          <cell r="C153" t="str">
            <v>05</v>
          </cell>
          <cell r="D153">
            <v>17</v>
          </cell>
          <cell r="E153" t="str">
            <v>513A1</v>
          </cell>
          <cell r="F153">
            <v>12.09</v>
          </cell>
          <cell r="G153">
            <v>9.5500000000000007</v>
          </cell>
          <cell r="H153">
            <v>9.5500000000000007</v>
          </cell>
          <cell r="I153" t="str">
            <v>SC</v>
          </cell>
          <cell r="J153" t="str">
            <v>FC</v>
          </cell>
          <cell r="K153">
            <v>8</v>
          </cell>
          <cell r="L153">
            <v>45698</v>
          </cell>
          <cell r="M153">
            <v>45698</v>
          </cell>
          <cell r="N153">
            <v>296</v>
          </cell>
          <cell r="O153" t="str">
            <v>NS</v>
          </cell>
          <cell r="P153" t="str">
            <v/>
          </cell>
          <cell r="Q153">
            <v>45942</v>
          </cell>
          <cell r="R153" t="str">
            <v/>
          </cell>
          <cell r="S153" t="str">
            <v/>
          </cell>
          <cell r="T153">
            <v>45943</v>
          </cell>
          <cell r="U153">
            <v>70465</v>
          </cell>
          <cell r="V153">
            <v>71219</v>
          </cell>
          <cell r="W153" t="str">
            <v/>
          </cell>
          <cell r="X153" t="str">
            <v>Lokasi Produksi 513A1 ( pecahan 513A )</v>
          </cell>
          <cell r="Z153">
            <v>8</v>
          </cell>
          <cell r="AA153">
            <v>45942</v>
          </cell>
          <cell r="AB153">
            <v>180.59733611111005</v>
          </cell>
          <cell r="AC153">
            <v>6.0199112037036686</v>
          </cell>
          <cell r="AD153">
            <v>-1.9800887962963314</v>
          </cell>
          <cell r="AE153">
            <v>10.23</v>
          </cell>
          <cell r="AF153">
            <v>0</v>
          </cell>
          <cell r="AG153">
            <v>-1368.6666666666667</v>
          </cell>
          <cell r="AM153" t="str">
            <v>OK</v>
          </cell>
          <cell r="AO153">
            <v>9.8785184413580289</v>
          </cell>
          <cell r="AP153">
            <v>1.8785184413580289</v>
          </cell>
          <cell r="AQ153">
            <v>45943</v>
          </cell>
          <cell r="AR153">
            <v>8.1666666666666661</v>
          </cell>
          <cell r="AS153">
            <v>1.7118517746913628</v>
          </cell>
          <cell r="AT153">
            <v>45942</v>
          </cell>
          <cell r="AU153">
            <v>1.7118517746913628</v>
          </cell>
          <cell r="AV153">
            <v>244.99999999999997</v>
          </cell>
          <cell r="AW153">
            <v>1.7118517746913628</v>
          </cell>
          <cell r="AY153">
            <v>301.46369178241002</v>
          </cell>
          <cell r="AZ153" t="str">
            <v>F18</v>
          </cell>
          <cell r="BA153">
            <v>9.5500000000000007</v>
          </cell>
          <cell r="BB153" t="str">
            <v>NSSC</v>
          </cell>
          <cell r="BC153" t="str">
            <v>F18</v>
          </cell>
        </row>
        <row r="154">
          <cell r="A154" t="str">
            <v>513A2</v>
          </cell>
          <cell r="B154" t="str">
            <v>3</v>
          </cell>
          <cell r="C154" t="str">
            <v>05</v>
          </cell>
          <cell r="D154">
            <v>17</v>
          </cell>
          <cell r="E154" t="str">
            <v>513A2</v>
          </cell>
          <cell r="F154">
            <v>9.7200000000000006</v>
          </cell>
          <cell r="G154">
            <v>7.61</v>
          </cell>
          <cell r="H154">
            <v>7.61</v>
          </cell>
          <cell r="I154" t="str">
            <v>BK</v>
          </cell>
          <cell r="J154" t="str">
            <v>SC</v>
          </cell>
          <cell r="K154">
            <v>0</v>
          </cell>
          <cell r="L154">
            <v>45961</v>
          </cell>
          <cell r="M154">
            <v>45961</v>
          </cell>
          <cell r="N154">
            <v>33</v>
          </cell>
          <cell r="O154" t="str">
            <v>NS</v>
          </cell>
          <cell r="P154" t="str">
            <v/>
          </cell>
          <cell r="Q154">
            <v>45961</v>
          </cell>
          <cell r="R154" t="str">
            <v/>
          </cell>
          <cell r="S154" t="str">
            <v/>
          </cell>
          <cell r="T154" t="str">
            <v/>
          </cell>
          <cell r="U154">
            <v>70410</v>
          </cell>
          <cell r="V154">
            <v>52032</v>
          </cell>
          <cell r="W154">
            <v>43182</v>
          </cell>
          <cell r="X154" t="str">
            <v>Lokasi Produksi 513A2 ( pecahan 513A )</v>
          </cell>
          <cell r="Z154">
            <v>0</v>
          </cell>
          <cell r="AA154">
            <v>45961</v>
          </cell>
          <cell r="AB154">
            <v>501.59733611111005</v>
          </cell>
          <cell r="AC154">
            <v>16.719911203703667</v>
          </cell>
          <cell r="AD154">
            <v>2.719911203703667</v>
          </cell>
          <cell r="AE154">
            <v>29.21</v>
          </cell>
          <cell r="AF154">
            <v>0</v>
          </cell>
          <cell r="AG154">
            <v>-1357.9666666666667</v>
          </cell>
          <cell r="AM154" t="str">
            <v>OK</v>
          </cell>
          <cell r="AO154">
            <v>1.1118517746913616</v>
          </cell>
          <cell r="AP154">
            <v>1.1118517746913616</v>
          </cell>
          <cell r="AQ154">
            <v>0</v>
          </cell>
          <cell r="AR154">
            <v>1.1118517746913616</v>
          </cell>
          <cell r="AS154">
            <v>0</v>
          </cell>
          <cell r="AT154">
            <v>45961</v>
          </cell>
          <cell r="AU154">
            <v>1.1118517746913616</v>
          </cell>
          <cell r="AV154">
            <v>33.355553240740846</v>
          </cell>
          <cell r="AW154">
            <v>1.1118517746913616</v>
          </cell>
          <cell r="AY154">
            <v>38.463691782410024</v>
          </cell>
          <cell r="AZ154" t="str">
            <v>F18</v>
          </cell>
          <cell r="BA154">
            <v>0</v>
          </cell>
          <cell r="BB154" t="str">
            <v>NSBK</v>
          </cell>
          <cell r="BC154" t="str">
            <v>F18</v>
          </cell>
        </row>
        <row r="155">
          <cell r="A155" t="str">
            <v>513A3</v>
          </cell>
          <cell r="B155" t="str">
            <v>3</v>
          </cell>
          <cell r="C155" t="str">
            <v>05</v>
          </cell>
          <cell r="D155">
            <v>17</v>
          </cell>
          <cell r="E155" t="str">
            <v>513A3</v>
          </cell>
          <cell r="F155">
            <v>11.92</v>
          </cell>
          <cell r="G155">
            <v>9.4</v>
          </cell>
          <cell r="H155">
            <v>9.4</v>
          </cell>
          <cell r="I155" t="str">
            <v>BK</v>
          </cell>
          <cell r="J155" t="str">
            <v>SC</v>
          </cell>
          <cell r="K155">
            <v>0</v>
          </cell>
          <cell r="L155">
            <v>45961</v>
          </cell>
          <cell r="M155">
            <v>45961</v>
          </cell>
          <cell r="N155">
            <v>33</v>
          </cell>
          <cell r="O155" t="str">
            <v>NS</v>
          </cell>
          <cell r="P155" t="str">
            <v/>
          </cell>
          <cell r="Q155">
            <v>45961</v>
          </cell>
          <cell r="R155" t="str">
            <v/>
          </cell>
          <cell r="S155" t="str">
            <v/>
          </cell>
          <cell r="T155" t="str">
            <v/>
          </cell>
          <cell r="U155">
            <v>68990</v>
          </cell>
          <cell r="V155">
            <v>51903</v>
          </cell>
          <cell r="W155" t="str">
            <v/>
          </cell>
          <cell r="X155" t="str">
            <v>Lokasi Produksi 513A3 ( pecahan 513A )</v>
          </cell>
          <cell r="Z155">
            <v>0</v>
          </cell>
          <cell r="AA155">
            <v>45961</v>
          </cell>
          <cell r="AB155">
            <v>76.597336111110053</v>
          </cell>
          <cell r="AC155">
            <v>2.5532445370370018</v>
          </cell>
          <cell r="AD155">
            <v>-5.4467554629629982</v>
          </cell>
          <cell r="AE155">
            <v>8.15</v>
          </cell>
          <cell r="AF155">
            <v>0</v>
          </cell>
          <cell r="AG155">
            <v>-1372.1333333333334</v>
          </cell>
          <cell r="AM155" t="str">
            <v>OK</v>
          </cell>
          <cell r="AO155">
            <v>1.1118517746913616</v>
          </cell>
          <cell r="AP155">
            <v>1.1118517746913616</v>
          </cell>
          <cell r="AQ155">
            <v>0</v>
          </cell>
          <cell r="AR155">
            <v>1.1118517746913616</v>
          </cell>
          <cell r="AS155">
            <v>0</v>
          </cell>
          <cell r="AT155">
            <v>45961</v>
          </cell>
          <cell r="AU155">
            <v>1.1118517746913616</v>
          </cell>
          <cell r="AV155">
            <v>33.355553240740846</v>
          </cell>
          <cell r="AW155">
            <v>1.1118517746913616</v>
          </cell>
          <cell r="AY155">
            <v>38.463691782410024</v>
          </cell>
          <cell r="AZ155" t="str">
            <v>F18</v>
          </cell>
          <cell r="BA155">
            <v>0</v>
          </cell>
          <cell r="BB155" t="str">
            <v>NSBK</v>
          </cell>
          <cell r="BC155" t="str">
            <v>F18</v>
          </cell>
        </row>
        <row r="156">
          <cell r="A156" t="str">
            <v>513B</v>
          </cell>
          <cell r="B156" t="str">
            <v>3</v>
          </cell>
          <cell r="C156" t="str">
            <v>05</v>
          </cell>
          <cell r="D156">
            <v>17</v>
          </cell>
          <cell r="E156" t="str">
            <v>513B</v>
          </cell>
          <cell r="F156">
            <v>4.45</v>
          </cell>
          <cell r="G156">
            <v>3.71</v>
          </cell>
          <cell r="H156">
            <v>3.71</v>
          </cell>
          <cell r="I156" t="str">
            <v>FC</v>
          </cell>
          <cell r="J156" t="str">
            <v>ST</v>
          </cell>
          <cell r="K156">
            <v>14</v>
          </cell>
          <cell r="L156">
            <v>45536</v>
          </cell>
          <cell r="M156">
            <v>45536</v>
          </cell>
          <cell r="N156">
            <v>458</v>
          </cell>
          <cell r="O156" t="str">
            <v>NS</v>
          </cell>
          <cell r="P156" t="str">
            <v>NSF18CK3</v>
          </cell>
          <cell r="Q156">
            <v>45963</v>
          </cell>
          <cell r="R156" t="str">
            <v/>
          </cell>
          <cell r="S156" t="str">
            <v/>
          </cell>
          <cell r="T156">
            <v>45966</v>
          </cell>
          <cell r="U156">
            <v>65682</v>
          </cell>
          <cell r="V156">
            <v>62381</v>
          </cell>
          <cell r="W156">
            <v>43073</v>
          </cell>
          <cell r="X156" t="str">
            <v>Lokasi Produksi 513B</v>
          </cell>
          <cell r="Z156">
            <v>14</v>
          </cell>
          <cell r="AA156">
            <v>45963</v>
          </cell>
          <cell r="AB156">
            <v>302.59733611111005</v>
          </cell>
          <cell r="AC156">
            <v>10.086577870370336</v>
          </cell>
          <cell r="AD156">
            <v>-3.9134221296296641</v>
          </cell>
          <cell r="AE156">
            <v>7.14</v>
          </cell>
          <cell r="AF156">
            <v>0</v>
          </cell>
          <cell r="AG156">
            <v>-1364.6</v>
          </cell>
          <cell r="AK156">
            <v>40311</v>
          </cell>
          <cell r="AM156" t="str">
            <v>OK</v>
          </cell>
          <cell r="AO156">
            <v>15.278518441358028</v>
          </cell>
          <cell r="AP156">
            <v>1.2785184413580275</v>
          </cell>
          <cell r="AQ156">
            <v>45966</v>
          </cell>
          <cell r="AR156">
            <v>14.333333333333334</v>
          </cell>
          <cell r="AS156">
            <v>0.94518510802469358</v>
          </cell>
          <cell r="AT156">
            <v>45963</v>
          </cell>
          <cell r="AU156">
            <v>0.94518510802469358</v>
          </cell>
          <cell r="AV156">
            <v>430</v>
          </cell>
          <cell r="AW156">
            <v>0.94518510802469358</v>
          </cell>
          <cell r="AY156">
            <v>463.46369178241002</v>
          </cell>
          <cell r="AZ156" t="str">
            <v>F18</v>
          </cell>
          <cell r="BA156">
            <v>3.71</v>
          </cell>
          <cell r="BB156" t="str">
            <v>NSFC</v>
          </cell>
          <cell r="BC156" t="str">
            <v>F18CK</v>
          </cell>
        </row>
        <row r="157">
          <cell r="A157" t="str">
            <v>513C1</v>
          </cell>
          <cell r="B157" t="str">
            <v>3</v>
          </cell>
          <cell r="C157" t="str">
            <v>05</v>
          </cell>
          <cell r="D157">
            <v>17</v>
          </cell>
          <cell r="E157" t="str">
            <v>513C1</v>
          </cell>
          <cell r="F157">
            <v>9.11</v>
          </cell>
          <cell r="G157">
            <v>7.6</v>
          </cell>
          <cell r="H157">
            <v>7.6</v>
          </cell>
          <cell r="I157" t="str">
            <v>FC</v>
          </cell>
          <cell r="J157" t="str">
            <v>ST</v>
          </cell>
          <cell r="K157">
            <v>14</v>
          </cell>
          <cell r="L157">
            <v>45956</v>
          </cell>
          <cell r="M157">
            <v>45956</v>
          </cell>
          <cell r="N157">
            <v>38</v>
          </cell>
          <cell r="O157" t="str">
            <v>NS</v>
          </cell>
          <cell r="P157" t="str">
            <v>NSF18CK3</v>
          </cell>
          <cell r="Q157">
            <v>46383</v>
          </cell>
          <cell r="R157" t="str">
            <v/>
          </cell>
          <cell r="S157" t="str">
            <v/>
          </cell>
          <cell r="T157" t="str">
            <v/>
          </cell>
          <cell r="U157">
            <v>73088</v>
          </cell>
          <cell r="V157">
            <v>72502</v>
          </cell>
          <cell r="W157">
            <v>43451</v>
          </cell>
          <cell r="X157" t="str">
            <v>Lokasi Produksi 513C1( pecahan 513C )</v>
          </cell>
          <cell r="Z157">
            <v>14</v>
          </cell>
          <cell r="AA157">
            <v>46383</v>
          </cell>
          <cell r="AB157">
            <v>186.59733611111005</v>
          </cell>
          <cell r="AC157">
            <v>6.2199112037036688</v>
          </cell>
          <cell r="AD157">
            <v>-20</v>
          </cell>
          <cell r="AE157">
            <v>0</v>
          </cell>
          <cell r="AF157">
            <v>0</v>
          </cell>
          <cell r="AG157">
            <v>-1368.4666666666667</v>
          </cell>
          <cell r="AM157" t="str">
            <v>OK</v>
          </cell>
          <cell r="AO157">
            <v>1.2785184413580282</v>
          </cell>
          <cell r="AP157">
            <v>-12.721481558641972</v>
          </cell>
          <cell r="AQ157">
            <v>0</v>
          </cell>
          <cell r="AR157">
            <v>1.2785184413580282</v>
          </cell>
          <cell r="AS157">
            <v>0</v>
          </cell>
          <cell r="AT157">
            <v>46383</v>
          </cell>
          <cell r="AU157">
            <v>-12.721481558641972</v>
          </cell>
          <cell r="AV157">
            <v>38.355553240740846</v>
          </cell>
          <cell r="AW157">
            <v>-12.721481558641972</v>
          </cell>
          <cell r="AY157">
            <v>43.463691782410024</v>
          </cell>
          <cell r="AZ157" t="str">
            <v>F18</v>
          </cell>
          <cell r="BA157">
            <v>7.6</v>
          </cell>
          <cell r="BB157" t="str">
            <v>NSFC</v>
          </cell>
          <cell r="BC157" t="str">
            <v>F18CK</v>
          </cell>
        </row>
        <row r="158">
          <cell r="A158" t="str">
            <v>513C2</v>
          </cell>
          <cell r="B158" t="str">
            <v>3</v>
          </cell>
          <cell r="C158" t="str">
            <v>05</v>
          </cell>
          <cell r="D158">
            <v>17</v>
          </cell>
          <cell r="E158" t="str">
            <v>513C2</v>
          </cell>
          <cell r="F158">
            <v>11.04</v>
          </cell>
          <cell r="G158">
            <v>8.69</v>
          </cell>
          <cell r="H158">
            <v>8.69</v>
          </cell>
          <cell r="I158" t="str">
            <v>BK</v>
          </cell>
          <cell r="J158" t="str">
            <v>BB</v>
          </cell>
          <cell r="K158">
            <v>0</v>
          </cell>
          <cell r="L158">
            <v>45918</v>
          </cell>
          <cell r="M158">
            <v>45918</v>
          </cell>
          <cell r="N158">
            <v>76</v>
          </cell>
          <cell r="O158" t="str">
            <v>NS</v>
          </cell>
          <cell r="P158" t="str">
            <v/>
          </cell>
          <cell r="Q158">
            <v>45918</v>
          </cell>
          <cell r="R158" t="str">
            <v/>
          </cell>
          <cell r="S158" t="str">
            <v/>
          </cell>
          <cell r="T158" t="str">
            <v/>
          </cell>
          <cell r="U158">
            <v>70877</v>
          </cell>
          <cell r="V158">
            <v>73112</v>
          </cell>
          <cell r="W158">
            <v>43451</v>
          </cell>
          <cell r="X158" t="str">
            <v>Lokasi Produksi 513C2 ( pecahan 513C )</v>
          </cell>
          <cell r="Z158">
            <v>0</v>
          </cell>
          <cell r="AA158">
            <v>45918</v>
          </cell>
          <cell r="AB158">
            <v>302.59733611111005</v>
          </cell>
          <cell r="AC158">
            <v>10.086577870370336</v>
          </cell>
          <cell r="AD158">
            <v>-20</v>
          </cell>
          <cell r="AE158">
            <v>0</v>
          </cell>
          <cell r="AF158">
            <v>0</v>
          </cell>
          <cell r="AG158">
            <v>-1364.6</v>
          </cell>
          <cell r="AK158">
            <v>40347</v>
          </cell>
          <cell r="AM158" t="str">
            <v>OK</v>
          </cell>
          <cell r="AO158">
            <v>2.545185108024695</v>
          </cell>
          <cell r="AP158">
            <v>2.545185108024695</v>
          </cell>
          <cell r="AQ158">
            <v>0</v>
          </cell>
          <cell r="AR158">
            <v>2.545185108024695</v>
          </cell>
          <cell r="AS158">
            <v>0</v>
          </cell>
          <cell r="AT158">
            <v>45918</v>
          </cell>
          <cell r="AU158">
            <v>2.545185108024695</v>
          </cell>
          <cell r="AV158">
            <v>76.355553240740846</v>
          </cell>
          <cell r="AW158">
            <v>2.545185108024695</v>
          </cell>
          <cell r="AY158">
            <v>81.463691782410024</v>
          </cell>
          <cell r="AZ158" t="str">
            <v>F18</v>
          </cell>
          <cell r="BA158">
            <v>0</v>
          </cell>
          <cell r="BB158" t="str">
            <v>NSBK</v>
          </cell>
          <cell r="BC158" t="str">
            <v>F18</v>
          </cell>
        </row>
        <row r="159">
          <cell r="A159" t="str">
            <v>513C3</v>
          </cell>
          <cell r="B159" t="str">
            <v>3</v>
          </cell>
          <cell r="C159" t="str">
            <v>05</v>
          </cell>
          <cell r="D159">
            <v>17</v>
          </cell>
          <cell r="E159" t="str">
            <v>513C3</v>
          </cell>
          <cell r="F159">
            <v>11.63</v>
          </cell>
          <cell r="G159">
            <v>9.18</v>
          </cell>
          <cell r="H159">
            <v>9.18</v>
          </cell>
          <cell r="I159" t="str">
            <v>BK</v>
          </cell>
          <cell r="J159" t="str">
            <v>SC</v>
          </cell>
          <cell r="K159">
            <v>0</v>
          </cell>
          <cell r="L159">
            <v>45961</v>
          </cell>
          <cell r="M159">
            <v>45961</v>
          </cell>
          <cell r="N159">
            <v>33</v>
          </cell>
          <cell r="O159" t="str">
            <v>NS</v>
          </cell>
          <cell r="P159" t="str">
            <v/>
          </cell>
          <cell r="Q159">
            <v>45961</v>
          </cell>
          <cell r="R159" t="str">
            <v/>
          </cell>
          <cell r="S159" t="str">
            <v/>
          </cell>
          <cell r="T159" t="str">
            <v/>
          </cell>
          <cell r="U159">
            <v>71830</v>
          </cell>
          <cell r="V159">
            <v>51975</v>
          </cell>
          <cell r="W159">
            <v>43715</v>
          </cell>
          <cell r="X159" t="str">
            <v>Lokasi Produksi 513C3 ( pecahan 513C )</v>
          </cell>
          <cell r="Z159">
            <v>0</v>
          </cell>
          <cell r="AA159">
            <v>45961</v>
          </cell>
          <cell r="AB159">
            <v>178.59733611111005</v>
          </cell>
          <cell r="AC159">
            <v>5.9532445370370022</v>
          </cell>
          <cell r="AD159">
            <v>-20</v>
          </cell>
          <cell r="AE159">
            <v>0</v>
          </cell>
          <cell r="AF159">
            <v>0</v>
          </cell>
          <cell r="AG159">
            <v>-1368.7333333333333</v>
          </cell>
          <cell r="AM159" t="str">
            <v>OK</v>
          </cell>
          <cell r="AO159">
            <v>1.1118517746913616</v>
          </cell>
          <cell r="AP159">
            <v>1.1118517746913616</v>
          </cell>
          <cell r="AQ159">
            <v>0</v>
          </cell>
          <cell r="AR159">
            <v>1.1118517746913616</v>
          </cell>
          <cell r="AS159">
            <v>0</v>
          </cell>
          <cell r="AT159">
            <v>45961</v>
          </cell>
          <cell r="AU159">
            <v>1.1118517746913616</v>
          </cell>
          <cell r="AV159">
            <v>33.355553240740846</v>
          </cell>
          <cell r="AW159">
            <v>1.1118517746913616</v>
          </cell>
          <cell r="AY159">
            <v>38.463691782410024</v>
          </cell>
          <cell r="AZ159" t="str">
            <v>F18</v>
          </cell>
          <cell r="BA159">
            <v>0</v>
          </cell>
          <cell r="BB159" t="str">
            <v>NSBK</v>
          </cell>
          <cell r="BC159" t="str">
            <v>F18</v>
          </cell>
        </row>
        <row r="160">
          <cell r="A160" t="str">
            <v>513E1</v>
          </cell>
          <cell r="B160" t="str">
            <v>3</v>
          </cell>
          <cell r="C160" t="str">
            <v>05</v>
          </cell>
          <cell r="D160">
            <v>17</v>
          </cell>
          <cell r="E160" t="str">
            <v>513E1</v>
          </cell>
          <cell r="F160">
            <v>7.75</v>
          </cell>
          <cell r="G160">
            <v>6.11</v>
          </cell>
          <cell r="H160">
            <v>6.11</v>
          </cell>
          <cell r="I160" t="str">
            <v>SC</v>
          </cell>
          <cell r="J160" t="str">
            <v>FC</v>
          </cell>
          <cell r="K160">
            <v>8</v>
          </cell>
          <cell r="L160">
            <v>45654</v>
          </cell>
          <cell r="M160">
            <v>45654</v>
          </cell>
          <cell r="N160">
            <v>340</v>
          </cell>
          <cell r="O160" t="str">
            <v>NS</v>
          </cell>
          <cell r="P160" t="str">
            <v/>
          </cell>
          <cell r="Q160">
            <v>45898</v>
          </cell>
          <cell r="R160" t="str">
            <v/>
          </cell>
          <cell r="S160" t="str">
            <v/>
          </cell>
          <cell r="T160">
            <v>45897</v>
          </cell>
          <cell r="U160">
            <v>67821</v>
          </cell>
          <cell r="V160">
            <v>51667</v>
          </cell>
          <cell r="W160">
            <v>45058</v>
          </cell>
          <cell r="X160" t="str">
            <v>Lokasi Produksi 513E1 ( pecahan 513E )</v>
          </cell>
          <cell r="Z160">
            <v>8</v>
          </cell>
          <cell r="AA160">
            <v>45898</v>
          </cell>
          <cell r="AB160">
            <v>272.59733611111005</v>
          </cell>
          <cell r="AC160">
            <v>9.0865778703703359</v>
          </cell>
          <cell r="AD160">
            <v>-20</v>
          </cell>
          <cell r="AE160">
            <v>0</v>
          </cell>
          <cell r="AF160">
            <v>0</v>
          </cell>
          <cell r="AG160">
            <v>-1365.6</v>
          </cell>
          <cell r="AM160" t="str">
            <v>OK</v>
          </cell>
          <cell r="AO160">
            <v>11.345185108024696</v>
          </cell>
          <cell r="AP160">
            <v>3.3451851080246957</v>
          </cell>
          <cell r="AQ160">
            <v>45897</v>
          </cell>
          <cell r="AR160">
            <v>8.1</v>
          </cell>
          <cell r="AS160">
            <v>3.2451851080246961</v>
          </cell>
          <cell r="AT160">
            <v>45898</v>
          </cell>
          <cell r="AU160">
            <v>3.2451851080246961</v>
          </cell>
          <cell r="AV160">
            <v>243</v>
          </cell>
          <cell r="AW160">
            <v>3.2451851080246961</v>
          </cell>
          <cell r="AY160">
            <v>345.46369178241002</v>
          </cell>
          <cell r="AZ160" t="str">
            <v>F18</v>
          </cell>
          <cell r="BA160">
            <v>6.11</v>
          </cell>
          <cell r="BB160" t="str">
            <v>NSSC</v>
          </cell>
          <cell r="BC160" t="str">
            <v>F18</v>
          </cell>
        </row>
        <row r="161">
          <cell r="A161" t="str">
            <v>513E2</v>
          </cell>
          <cell r="B161" t="str">
            <v>3</v>
          </cell>
          <cell r="C161" t="str">
            <v>05</v>
          </cell>
          <cell r="D161">
            <v>17</v>
          </cell>
          <cell r="E161" t="str">
            <v>513E2</v>
          </cell>
          <cell r="F161">
            <v>8.76</v>
          </cell>
          <cell r="G161">
            <v>7.01</v>
          </cell>
          <cell r="H161">
            <v>7.01</v>
          </cell>
          <cell r="I161" t="str">
            <v>SC</v>
          </cell>
          <cell r="J161" t="str">
            <v>FC</v>
          </cell>
          <cell r="K161">
            <v>8</v>
          </cell>
          <cell r="L161">
            <v>45654</v>
          </cell>
          <cell r="M161">
            <v>45654</v>
          </cell>
          <cell r="N161">
            <v>340</v>
          </cell>
          <cell r="O161" t="str">
            <v>NS</v>
          </cell>
          <cell r="P161" t="str">
            <v/>
          </cell>
          <cell r="Q161">
            <v>45898</v>
          </cell>
          <cell r="R161" t="str">
            <v/>
          </cell>
          <cell r="S161" t="str">
            <v/>
          </cell>
          <cell r="T161">
            <v>45897</v>
          </cell>
          <cell r="U161">
            <v>70139</v>
          </cell>
          <cell r="V161">
            <v>51379</v>
          </cell>
          <cell r="W161">
            <v>45058</v>
          </cell>
          <cell r="X161" t="str">
            <v>Lokasi Produksi 513E2 ( pecahan 513E )</v>
          </cell>
          <cell r="Z161">
            <v>8</v>
          </cell>
          <cell r="AA161">
            <v>45898</v>
          </cell>
          <cell r="AB161">
            <v>153.59733611111005</v>
          </cell>
          <cell r="AC161">
            <v>5.1199112037036683</v>
          </cell>
          <cell r="AD161">
            <v>-20</v>
          </cell>
          <cell r="AE161">
            <v>7.16</v>
          </cell>
          <cell r="AF161">
            <v>0</v>
          </cell>
          <cell r="AG161">
            <v>-1369.5666666666666</v>
          </cell>
          <cell r="AM161" t="str">
            <v>OK</v>
          </cell>
          <cell r="AO161">
            <v>11.345185108024696</v>
          </cell>
          <cell r="AP161">
            <v>3.3451851080246957</v>
          </cell>
          <cell r="AQ161">
            <v>45897</v>
          </cell>
          <cell r="AR161">
            <v>8.1</v>
          </cell>
          <cell r="AS161">
            <v>3.2451851080246961</v>
          </cell>
          <cell r="AT161">
            <v>45898</v>
          </cell>
          <cell r="AU161">
            <v>3.2451851080246961</v>
          </cell>
          <cell r="AV161">
            <v>243</v>
          </cell>
          <cell r="AW161">
            <v>3.2451851080246961</v>
          </cell>
          <cell r="AY161">
            <v>345.46369178241002</v>
          </cell>
          <cell r="AZ161" t="str">
            <v>F18</v>
          </cell>
          <cell r="BA161">
            <v>7.01</v>
          </cell>
          <cell r="BB161" t="str">
            <v>NSSC</v>
          </cell>
          <cell r="BC161" t="str">
            <v>F18</v>
          </cell>
        </row>
        <row r="162">
          <cell r="A162" t="str">
            <v>514A1</v>
          </cell>
          <cell r="B162" t="str">
            <v>3</v>
          </cell>
          <cell r="C162" t="str">
            <v>05</v>
          </cell>
          <cell r="D162">
            <v>17</v>
          </cell>
          <cell r="E162" t="str">
            <v>514A1</v>
          </cell>
          <cell r="F162">
            <v>7.28</v>
          </cell>
          <cell r="G162">
            <v>5.58</v>
          </cell>
          <cell r="H162">
            <v>5.58</v>
          </cell>
          <cell r="I162" t="str">
            <v>BK</v>
          </cell>
          <cell r="J162" t="str">
            <v/>
          </cell>
          <cell r="K162">
            <v>0</v>
          </cell>
          <cell r="L162">
            <v>45922</v>
          </cell>
          <cell r="M162">
            <v>45922</v>
          </cell>
          <cell r="N162">
            <v>72</v>
          </cell>
          <cell r="O162" t="str">
            <v>NS</v>
          </cell>
          <cell r="P162" t="str">
            <v/>
          </cell>
          <cell r="Q162">
            <v>45922</v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>
            <v>45953</v>
          </cell>
          <cell r="X162" t="str">
            <v>Lokasi Produksi 514A1 ( pecahan 514A )</v>
          </cell>
          <cell r="Z162">
            <v>0</v>
          </cell>
          <cell r="AA162">
            <v>45922</v>
          </cell>
          <cell r="AB162">
            <v>4749.5973361111101</v>
          </cell>
          <cell r="AC162">
            <v>158.31991120370367</v>
          </cell>
          <cell r="AD162">
            <v>-20</v>
          </cell>
          <cell r="AE162">
            <v>0</v>
          </cell>
          <cell r="AF162">
            <v>0</v>
          </cell>
          <cell r="AG162">
            <v>-1216.3666666666666</v>
          </cell>
          <cell r="AM162" t="str">
            <v>OK</v>
          </cell>
          <cell r="AO162">
            <v>2.4118517746913617</v>
          </cell>
          <cell r="AP162">
            <v>2.4118517746913617</v>
          </cell>
          <cell r="AQ162">
            <v>0</v>
          </cell>
          <cell r="AR162">
            <v>2.4118517746913617</v>
          </cell>
          <cell r="AS162">
            <v>0</v>
          </cell>
          <cell r="AT162">
            <v>45922</v>
          </cell>
          <cell r="AU162">
            <v>2.4118517746913617</v>
          </cell>
          <cell r="AV162">
            <v>72.355553240740846</v>
          </cell>
          <cell r="AW162">
            <v>2.4118517746913617</v>
          </cell>
          <cell r="AY162">
            <v>77.463691782410024</v>
          </cell>
          <cell r="AZ162" t="str">
            <v>F18</v>
          </cell>
          <cell r="BA162">
            <v>0</v>
          </cell>
          <cell r="BB162" t="str">
            <v>NSBK</v>
          </cell>
          <cell r="BC162" t="str">
            <v>F18</v>
          </cell>
        </row>
        <row r="163">
          <cell r="A163" t="str">
            <v>514A2</v>
          </cell>
          <cell r="B163" t="str">
            <v>3</v>
          </cell>
          <cell r="C163" t="str">
            <v>05</v>
          </cell>
          <cell r="D163">
            <v>17</v>
          </cell>
          <cell r="E163" t="str">
            <v>514A2</v>
          </cell>
          <cell r="F163">
            <v>7.26</v>
          </cell>
          <cell r="G163">
            <v>5.57</v>
          </cell>
          <cell r="H163">
            <v>5.57</v>
          </cell>
          <cell r="I163" t="str">
            <v>BK</v>
          </cell>
          <cell r="J163" t="str">
            <v/>
          </cell>
          <cell r="K163">
            <v>0</v>
          </cell>
          <cell r="L163">
            <v>45922</v>
          </cell>
          <cell r="M163">
            <v>45922</v>
          </cell>
          <cell r="N163">
            <v>72</v>
          </cell>
          <cell r="O163" t="str">
            <v>NS</v>
          </cell>
          <cell r="P163" t="str">
            <v/>
          </cell>
          <cell r="Q163">
            <v>45922</v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>
            <v>45953</v>
          </cell>
          <cell r="X163" t="str">
            <v>Lokasi Produksi 514A1 ( pecahan 514A )</v>
          </cell>
          <cell r="Z163">
            <v>0</v>
          </cell>
          <cell r="AA163">
            <v>45922</v>
          </cell>
          <cell r="AB163">
            <v>335.59733611111005</v>
          </cell>
          <cell r="AC163">
            <v>11.186577870370336</v>
          </cell>
          <cell r="AD163">
            <v>-2.8134221296296644</v>
          </cell>
          <cell r="AE163">
            <v>5.49</v>
          </cell>
          <cell r="AF163">
            <v>0</v>
          </cell>
          <cell r="AG163">
            <v>-1363.5</v>
          </cell>
          <cell r="AM163" t="str">
            <v>OK</v>
          </cell>
          <cell r="AO163">
            <v>2.4118517746913617</v>
          </cell>
          <cell r="AP163">
            <v>2.4118517746913617</v>
          </cell>
          <cell r="AQ163">
            <v>0</v>
          </cell>
          <cell r="AR163">
            <v>2.4118517746913617</v>
          </cell>
          <cell r="AS163">
            <v>0</v>
          </cell>
          <cell r="AT163">
            <v>45922</v>
          </cell>
          <cell r="AU163">
            <v>2.4118517746913617</v>
          </cell>
          <cell r="AV163">
            <v>72.355553240740846</v>
          </cell>
          <cell r="AW163">
            <v>2.4118517746913617</v>
          </cell>
          <cell r="AY163">
            <v>77.463691782410024</v>
          </cell>
          <cell r="AZ163" t="str">
            <v>F18</v>
          </cell>
          <cell r="BA163">
            <v>0</v>
          </cell>
          <cell r="BB163" t="str">
            <v>NSBK</v>
          </cell>
          <cell r="BC163" t="str">
            <v>F18</v>
          </cell>
        </row>
        <row r="164">
          <cell r="A164" t="str">
            <v>514B1</v>
          </cell>
          <cell r="B164" t="str">
            <v>3</v>
          </cell>
          <cell r="C164" t="str">
            <v>05</v>
          </cell>
          <cell r="D164">
            <v>17</v>
          </cell>
          <cell r="E164" t="str">
            <v>514B1</v>
          </cell>
          <cell r="F164">
            <v>9.6300000000000008</v>
          </cell>
          <cell r="G164">
            <v>8.15</v>
          </cell>
          <cell r="H164">
            <v>8.15</v>
          </cell>
          <cell r="I164" t="str">
            <v>FC</v>
          </cell>
          <cell r="J164" t="str">
            <v>ST</v>
          </cell>
          <cell r="K164">
            <v>14</v>
          </cell>
          <cell r="L164">
            <v>45581</v>
          </cell>
          <cell r="M164">
            <v>45581</v>
          </cell>
          <cell r="N164">
            <v>413</v>
          </cell>
          <cell r="O164" t="str">
            <v>NS</v>
          </cell>
          <cell r="P164" t="str">
            <v>NSGP3CK3</v>
          </cell>
          <cell r="Q164">
            <v>46008</v>
          </cell>
          <cell r="R164" t="str">
            <v/>
          </cell>
          <cell r="S164" t="str">
            <v/>
          </cell>
          <cell r="T164">
            <v>45989</v>
          </cell>
          <cell r="U164">
            <v>63101</v>
          </cell>
          <cell r="V164">
            <v>62430</v>
          </cell>
          <cell r="W164" t="str">
            <v/>
          </cell>
          <cell r="X164" t="str">
            <v>Lokasi Produksi 514B1 ( pecahan 514B )</v>
          </cell>
          <cell r="Z164">
            <v>14</v>
          </cell>
          <cell r="AA164">
            <v>46008</v>
          </cell>
          <cell r="AB164">
            <v>225.59733611111005</v>
          </cell>
          <cell r="AC164">
            <v>7.5199112037036686</v>
          </cell>
          <cell r="AD164">
            <v>-20</v>
          </cell>
          <cell r="AE164">
            <v>0</v>
          </cell>
          <cell r="AF164">
            <v>0</v>
          </cell>
          <cell r="AG164">
            <v>-1367.1666666666667</v>
          </cell>
          <cell r="AM164" t="str">
            <v>OK</v>
          </cell>
          <cell r="AO164">
            <v>13.778518441358028</v>
          </cell>
          <cell r="AP164">
            <v>-0.2214815586419725</v>
          </cell>
          <cell r="AQ164">
            <v>45989</v>
          </cell>
          <cell r="AR164">
            <v>13.6</v>
          </cell>
          <cell r="AS164">
            <v>0.17851844135802786</v>
          </cell>
          <cell r="AT164">
            <v>46008</v>
          </cell>
          <cell r="AU164">
            <v>0.17851844135802786</v>
          </cell>
          <cell r="AV164">
            <v>408</v>
          </cell>
          <cell r="AW164">
            <v>0.17851844135802786</v>
          </cell>
          <cell r="AY164">
            <v>418.46369178241002</v>
          </cell>
          <cell r="AZ164" t="str">
            <v>GP3</v>
          </cell>
          <cell r="BA164">
            <v>8.15</v>
          </cell>
          <cell r="BB164" t="str">
            <v>NSFC</v>
          </cell>
          <cell r="BC164" t="str">
            <v>GP3CK</v>
          </cell>
        </row>
        <row r="165">
          <cell r="A165" t="str">
            <v>514B2</v>
          </cell>
          <cell r="B165" t="str">
            <v>3</v>
          </cell>
          <cell r="C165" t="str">
            <v>05</v>
          </cell>
          <cell r="D165">
            <v>17</v>
          </cell>
          <cell r="E165" t="str">
            <v>514B2</v>
          </cell>
          <cell r="F165">
            <v>5.25</v>
          </cell>
          <cell r="G165">
            <v>4.4000000000000004</v>
          </cell>
          <cell r="H165">
            <v>4.4000000000000004</v>
          </cell>
          <cell r="I165" t="str">
            <v>FC</v>
          </cell>
          <cell r="J165" t="str">
            <v>ST</v>
          </cell>
          <cell r="K165">
            <v>14</v>
          </cell>
          <cell r="L165">
            <v>45582</v>
          </cell>
          <cell r="M165">
            <v>45582</v>
          </cell>
          <cell r="N165">
            <v>412</v>
          </cell>
          <cell r="O165" t="str">
            <v>NS</v>
          </cell>
          <cell r="P165" t="str">
            <v>NSGP3CK3</v>
          </cell>
          <cell r="Q165">
            <v>46009</v>
          </cell>
          <cell r="R165" t="str">
            <v/>
          </cell>
          <cell r="S165" t="str">
            <v/>
          </cell>
          <cell r="T165" t="str">
            <v/>
          </cell>
          <cell r="U165">
            <v>60285</v>
          </cell>
          <cell r="V165">
            <v>62822</v>
          </cell>
          <cell r="W165" t="str">
            <v/>
          </cell>
          <cell r="X165" t="str">
            <v>Lokasi Produksi 514B2 ( pecahan 514B )</v>
          </cell>
          <cell r="Z165">
            <v>14</v>
          </cell>
          <cell r="AA165">
            <v>46009</v>
          </cell>
          <cell r="AB165">
            <v>159.59733611111005</v>
          </cell>
          <cell r="AC165">
            <v>5.3199112037036684</v>
          </cell>
          <cell r="AD165">
            <v>-8.6800887962963316</v>
          </cell>
          <cell r="AE165">
            <v>14.32</v>
          </cell>
          <cell r="AF165">
            <v>0</v>
          </cell>
          <cell r="AG165">
            <v>-1369.3666666666666</v>
          </cell>
          <cell r="AM165" t="str">
            <v>OK</v>
          </cell>
          <cell r="AO165">
            <v>13.745185108024694</v>
          </cell>
          <cell r="AP165">
            <v>-0.25481489197530571</v>
          </cell>
          <cell r="AQ165">
            <v>0</v>
          </cell>
          <cell r="AR165">
            <v>13.745185108024694</v>
          </cell>
          <cell r="AS165">
            <v>0</v>
          </cell>
          <cell r="AT165">
            <v>46009</v>
          </cell>
          <cell r="AU165">
            <v>-0.25481489197530571</v>
          </cell>
          <cell r="AV165">
            <v>412.35555324074085</v>
          </cell>
          <cell r="AW165">
            <v>-0.25481489197530571</v>
          </cell>
          <cell r="AY165">
            <v>417.46369178241002</v>
          </cell>
          <cell r="AZ165" t="str">
            <v>GP3</v>
          </cell>
          <cell r="BA165">
            <v>4.4000000000000004</v>
          </cell>
          <cell r="BB165" t="str">
            <v>NSFC</v>
          </cell>
          <cell r="BC165" t="str">
            <v>GP3CK</v>
          </cell>
        </row>
        <row r="166">
          <cell r="A166" t="str">
            <v>514C</v>
          </cell>
          <cell r="B166" t="str">
            <v>3</v>
          </cell>
          <cell r="C166" t="str">
            <v>05</v>
          </cell>
          <cell r="D166">
            <v>17</v>
          </cell>
          <cell r="E166" t="str">
            <v>514C</v>
          </cell>
          <cell r="F166">
            <v>16.28</v>
          </cell>
          <cell r="G166">
            <v>13.36</v>
          </cell>
          <cell r="H166">
            <v>13.36</v>
          </cell>
          <cell r="I166" t="str">
            <v>FC</v>
          </cell>
          <cell r="J166" t="str">
            <v>ST</v>
          </cell>
          <cell r="K166">
            <v>14</v>
          </cell>
          <cell r="L166">
            <v>45868</v>
          </cell>
          <cell r="M166">
            <v>45868</v>
          </cell>
          <cell r="N166">
            <v>126</v>
          </cell>
          <cell r="O166" t="str">
            <v>NS</v>
          </cell>
          <cell r="P166" t="str">
            <v>NSF18CK3</v>
          </cell>
          <cell r="Q166">
            <v>46295</v>
          </cell>
          <cell r="R166" t="str">
            <v/>
          </cell>
          <cell r="S166" t="str">
            <v/>
          </cell>
          <cell r="T166" t="str">
            <v/>
          </cell>
          <cell r="U166">
            <v>68332</v>
          </cell>
          <cell r="V166">
            <v>52454</v>
          </cell>
          <cell r="W166">
            <v>43636</v>
          </cell>
          <cell r="X166" t="str">
            <v>Lokasi Produksi 514C</v>
          </cell>
          <cell r="Z166">
            <v>14</v>
          </cell>
          <cell r="AA166">
            <v>46295</v>
          </cell>
          <cell r="AB166">
            <v>85.597336111110053</v>
          </cell>
          <cell r="AC166">
            <v>2.8532445370370016</v>
          </cell>
          <cell r="AD166">
            <v>-11.146755462962998</v>
          </cell>
          <cell r="AE166">
            <v>17.07</v>
          </cell>
          <cell r="AF166">
            <v>0</v>
          </cell>
          <cell r="AG166">
            <v>-1371.8333333333333</v>
          </cell>
          <cell r="AM166" t="str">
            <v>OK</v>
          </cell>
          <cell r="AO166">
            <v>4.211851774691362</v>
          </cell>
          <cell r="AP166">
            <v>-9.7881482253086389</v>
          </cell>
          <cell r="AQ166">
            <v>0</v>
          </cell>
          <cell r="AR166">
            <v>4.211851774691362</v>
          </cell>
          <cell r="AS166">
            <v>0</v>
          </cell>
          <cell r="AT166">
            <v>46295</v>
          </cell>
          <cell r="AU166">
            <v>-9.7881482253086389</v>
          </cell>
          <cell r="AV166">
            <v>126.35555324074086</v>
          </cell>
          <cell r="AW166">
            <v>-9.7881482253086389</v>
          </cell>
          <cell r="AY166">
            <v>131.46369178241002</v>
          </cell>
          <cell r="AZ166" t="str">
            <v>F18</v>
          </cell>
          <cell r="BA166">
            <v>13.36</v>
          </cell>
          <cell r="BB166" t="str">
            <v>NSFC</v>
          </cell>
          <cell r="BC166" t="str">
            <v>F18CK</v>
          </cell>
        </row>
        <row r="167">
          <cell r="A167" t="str">
            <v>514D</v>
          </cell>
          <cell r="B167" t="str">
            <v>3</v>
          </cell>
          <cell r="C167" t="str">
            <v>05</v>
          </cell>
          <cell r="D167">
            <v>17</v>
          </cell>
          <cell r="E167" t="str">
            <v>514D</v>
          </cell>
          <cell r="F167">
            <v>8.14</v>
          </cell>
          <cell r="G167">
            <v>6.9</v>
          </cell>
          <cell r="H167">
            <v>6.9</v>
          </cell>
          <cell r="I167" t="str">
            <v>FC</v>
          </cell>
          <cell r="J167" t="str">
            <v>ST</v>
          </cell>
          <cell r="K167">
            <v>10</v>
          </cell>
          <cell r="L167">
            <v>45876</v>
          </cell>
          <cell r="M167">
            <v>45876</v>
          </cell>
          <cell r="N167">
            <v>118</v>
          </cell>
          <cell r="O167" t="str">
            <v>NS</v>
          </cell>
          <cell r="P167" t="str">
            <v>NSGP3SB3</v>
          </cell>
          <cell r="Q167">
            <v>46181</v>
          </cell>
          <cell r="R167" t="str">
            <v/>
          </cell>
          <cell r="S167" t="str">
            <v/>
          </cell>
          <cell r="T167" t="str">
            <v/>
          </cell>
          <cell r="U167">
            <v>70445</v>
          </cell>
          <cell r="V167">
            <v>71786</v>
          </cell>
          <cell r="W167">
            <v>44250</v>
          </cell>
          <cell r="X167" t="str">
            <v>Lokasi Produksi 514D</v>
          </cell>
          <cell r="Z167">
            <v>10</v>
          </cell>
          <cell r="AA167">
            <v>46181</v>
          </cell>
          <cell r="AB167">
            <v>85.597336111110053</v>
          </cell>
          <cell r="AC167">
            <v>2.8532445370370016</v>
          </cell>
          <cell r="AD167">
            <v>-9.1467554629629984</v>
          </cell>
          <cell r="AE167">
            <v>16.66</v>
          </cell>
          <cell r="AF167">
            <v>0</v>
          </cell>
          <cell r="AG167">
            <v>-1371.8333333333333</v>
          </cell>
          <cell r="AM167" t="str">
            <v>OK</v>
          </cell>
          <cell r="AO167">
            <v>3.9451851080246949</v>
          </cell>
          <cell r="AP167">
            <v>-6.0548148919753046</v>
          </cell>
          <cell r="AQ167">
            <v>0</v>
          </cell>
          <cell r="AR167">
            <v>3.9451851080246949</v>
          </cell>
          <cell r="AS167">
            <v>0</v>
          </cell>
          <cell r="AT167">
            <v>46181</v>
          </cell>
          <cell r="AU167">
            <v>-6.0548148919753046</v>
          </cell>
          <cell r="AV167">
            <v>118.35555324074085</v>
          </cell>
          <cell r="AW167">
            <v>-6.0548148919753046</v>
          </cell>
          <cell r="AY167">
            <v>123.46369178241002</v>
          </cell>
          <cell r="AZ167" t="str">
            <v>GP3</v>
          </cell>
          <cell r="BA167">
            <v>6.9</v>
          </cell>
          <cell r="BB167" t="str">
            <v>NSFC</v>
          </cell>
          <cell r="BC167" t="str">
            <v>GP3SB</v>
          </cell>
        </row>
        <row r="168">
          <cell r="A168" t="str">
            <v>514E1</v>
          </cell>
          <cell r="B168" t="str">
            <v>3</v>
          </cell>
          <cell r="C168" t="str">
            <v>05</v>
          </cell>
          <cell r="D168">
            <v>17</v>
          </cell>
          <cell r="E168" t="str">
            <v>514E1</v>
          </cell>
          <cell r="F168">
            <v>9.34</v>
          </cell>
          <cell r="G168">
            <v>7.7</v>
          </cell>
          <cell r="H168">
            <v>7.7</v>
          </cell>
          <cell r="I168" t="str">
            <v>FC</v>
          </cell>
          <cell r="J168" t="str">
            <v>ST</v>
          </cell>
          <cell r="K168">
            <v>14</v>
          </cell>
          <cell r="L168">
            <v>45694</v>
          </cell>
          <cell r="M168">
            <v>45694</v>
          </cell>
          <cell r="N168">
            <v>300</v>
          </cell>
          <cell r="O168" t="str">
            <v>NS</v>
          </cell>
          <cell r="P168" t="str">
            <v>NSGP3CK3</v>
          </cell>
          <cell r="Q168">
            <v>46121</v>
          </cell>
          <cell r="R168" t="str">
            <v/>
          </cell>
          <cell r="S168" t="str">
            <v/>
          </cell>
          <cell r="T168" t="str">
            <v/>
          </cell>
          <cell r="U168">
            <v>64436</v>
          </cell>
          <cell r="V168">
            <v>68377</v>
          </cell>
          <cell r="W168">
            <v>44586</v>
          </cell>
          <cell r="X168" t="str">
            <v>Lokasi Produksi 514E1 ( pecahan 514E )</v>
          </cell>
          <cell r="Z168">
            <v>14</v>
          </cell>
          <cell r="AA168">
            <v>46121</v>
          </cell>
          <cell r="AB168">
            <v>535.59733611111005</v>
          </cell>
          <cell r="AC168">
            <v>17.853244537037003</v>
          </cell>
          <cell r="AD168">
            <v>3.8532445370370034</v>
          </cell>
          <cell r="AE168">
            <v>12.18</v>
          </cell>
          <cell r="AF168">
            <v>0</v>
          </cell>
          <cell r="AG168">
            <v>-1356.8333333333333</v>
          </cell>
          <cell r="AM168" t="str">
            <v>OK</v>
          </cell>
          <cell r="AO168">
            <v>10.011851774691362</v>
          </cell>
          <cell r="AP168">
            <v>-3.9881482253086382</v>
          </cell>
          <cell r="AQ168">
            <v>0</v>
          </cell>
          <cell r="AR168">
            <v>10.011851774691362</v>
          </cell>
          <cell r="AS168">
            <v>0</v>
          </cell>
          <cell r="AT168">
            <v>46121</v>
          </cell>
          <cell r="AU168">
            <v>-3.9881482253086382</v>
          </cell>
          <cell r="AV168">
            <v>300.35555324074085</v>
          </cell>
          <cell r="AW168">
            <v>-3.9881482253086382</v>
          </cell>
          <cell r="AY168">
            <v>305.46369178241002</v>
          </cell>
          <cell r="AZ168" t="str">
            <v>GP3</v>
          </cell>
          <cell r="BA168">
            <v>7.7</v>
          </cell>
          <cell r="BB168" t="str">
            <v>NSFC</v>
          </cell>
          <cell r="BC168" t="str">
            <v>GP3CK</v>
          </cell>
        </row>
        <row r="169">
          <cell r="A169" t="str">
            <v>514E2</v>
          </cell>
          <cell r="B169" t="str">
            <v>3</v>
          </cell>
          <cell r="C169" t="str">
            <v>05</v>
          </cell>
          <cell r="D169">
            <v>17</v>
          </cell>
          <cell r="E169" t="str">
            <v>514E2</v>
          </cell>
          <cell r="F169">
            <v>15.4</v>
          </cell>
          <cell r="G169">
            <v>12.69</v>
          </cell>
          <cell r="H169">
            <v>12.69</v>
          </cell>
          <cell r="I169" t="str">
            <v>FC</v>
          </cell>
          <cell r="J169" t="str">
            <v>ST</v>
          </cell>
          <cell r="K169">
            <v>14</v>
          </cell>
          <cell r="L169">
            <v>45688</v>
          </cell>
          <cell r="M169">
            <v>45688</v>
          </cell>
          <cell r="N169">
            <v>306</v>
          </cell>
          <cell r="O169" t="str">
            <v>NS</v>
          </cell>
          <cell r="P169" t="str">
            <v>NSGP3CK3</v>
          </cell>
          <cell r="Q169">
            <v>46115</v>
          </cell>
          <cell r="R169" t="str">
            <v/>
          </cell>
          <cell r="S169" t="str">
            <v/>
          </cell>
          <cell r="T169" t="str">
            <v/>
          </cell>
          <cell r="U169">
            <v>66196</v>
          </cell>
          <cell r="V169">
            <v>66892</v>
          </cell>
          <cell r="W169">
            <v>44586</v>
          </cell>
          <cell r="X169" t="str">
            <v>Lokasi Produksi 514E2 ( pecahan 514E )</v>
          </cell>
          <cell r="Z169">
            <v>14</v>
          </cell>
          <cell r="AA169">
            <v>46115</v>
          </cell>
          <cell r="AB169">
            <v>551.59733611111005</v>
          </cell>
          <cell r="AC169">
            <v>18.386577870370335</v>
          </cell>
          <cell r="AD169">
            <v>4.3865778703703349</v>
          </cell>
          <cell r="AE169">
            <v>8.84</v>
          </cell>
          <cell r="AF169">
            <v>0</v>
          </cell>
          <cell r="AG169">
            <v>-1356.3</v>
          </cell>
          <cell r="AM169" t="str">
            <v>OK</v>
          </cell>
          <cell r="AO169">
            <v>10.211851774691361</v>
          </cell>
          <cell r="AP169">
            <v>-3.7881482253086389</v>
          </cell>
          <cell r="AQ169">
            <v>0</v>
          </cell>
          <cell r="AR169">
            <v>10.211851774691361</v>
          </cell>
          <cell r="AS169">
            <v>0</v>
          </cell>
          <cell r="AT169">
            <v>46115</v>
          </cell>
          <cell r="AU169">
            <v>-3.7881482253086389</v>
          </cell>
          <cell r="AV169">
            <v>306.35555324074085</v>
          </cell>
          <cell r="AW169">
            <v>-3.7881482253086389</v>
          </cell>
          <cell r="AY169">
            <v>311.46369178241002</v>
          </cell>
          <cell r="AZ169" t="str">
            <v>GP3</v>
          </cell>
          <cell r="BA169">
            <v>12.69</v>
          </cell>
          <cell r="BB169" t="str">
            <v>NSFC</v>
          </cell>
          <cell r="BC169" t="str">
            <v>GP3CK</v>
          </cell>
        </row>
        <row r="170">
          <cell r="A170" t="str">
            <v>514F1</v>
          </cell>
          <cell r="B170" t="str">
            <v>3</v>
          </cell>
          <cell r="C170" t="str">
            <v>05</v>
          </cell>
          <cell r="D170">
            <v>17</v>
          </cell>
          <cell r="E170" t="str">
            <v>514F1</v>
          </cell>
          <cell r="F170">
            <v>8.61</v>
          </cell>
          <cell r="G170">
            <v>6.66</v>
          </cell>
          <cell r="H170">
            <v>6.66</v>
          </cell>
          <cell r="I170" t="str">
            <v>BK</v>
          </cell>
          <cell r="J170" t="str">
            <v>SC</v>
          </cell>
          <cell r="K170">
            <v>0</v>
          </cell>
          <cell r="L170">
            <v>45874</v>
          </cell>
          <cell r="M170">
            <v>45874</v>
          </cell>
          <cell r="N170">
            <v>120</v>
          </cell>
          <cell r="O170" t="str">
            <v>NS</v>
          </cell>
          <cell r="P170" t="str">
            <v/>
          </cell>
          <cell r="Q170">
            <v>45874</v>
          </cell>
          <cell r="R170" t="str">
            <v/>
          </cell>
          <cell r="S170" t="str">
            <v/>
          </cell>
          <cell r="T170" t="str">
            <v/>
          </cell>
          <cell r="U170">
            <v>69191</v>
          </cell>
          <cell r="V170">
            <v>50139</v>
          </cell>
          <cell r="W170">
            <v>44616</v>
          </cell>
          <cell r="X170" t="str">
            <v>Lokasi Produksi 514F1 ( pecahan 514F )</v>
          </cell>
          <cell r="Z170">
            <v>0</v>
          </cell>
          <cell r="AA170">
            <v>45874</v>
          </cell>
          <cell r="AB170">
            <v>473.59733611111005</v>
          </cell>
          <cell r="AC170">
            <v>15.786577870370335</v>
          </cell>
          <cell r="AD170">
            <v>1.7865778703703352</v>
          </cell>
          <cell r="AE170">
            <v>11.62</v>
          </cell>
          <cell r="AF170">
            <v>0</v>
          </cell>
          <cell r="AG170">
            <v>-1358.9</v>
          </cell>
          <cell r="AM170" t="str">
            <v>OK</v>
          </cell>
          <cell r="AO170">
            <v>4.0118517746913618</v>
          </cell>
          <cell r="AP170">
            <v>4.0118517746913618</v>
          </cell>
          <cell r="AQ170">
            <v>0</v>
          </cell>
          <cell r="AR170">
            <v>4.0118517746913618</v>
          </cell>
          <cell r="AS170">
            <v>0</v>
          </cell>
          <cell r="AT170">
            <v>45874</v>
          </cell>
          <cell r="AU170">
            <v>4.0118517746913618</v>
          </cell>
          <cell r="AV170">
            <v>120.35555324074085</v>
          </cell>
          <cell r="AW170">
            <v>4.0118517746913618</v>
          </cell>
          <cell r="AY170">
            <v>125.46369178241002</v>
          </cell>
          <cell r="AZ170" t="str">
            <v>F18</v>
          </cell>
          <cell r="BA170">
            <v>0</v>
          </cell>
          <cell r="BB170" t="str">
            <v>NSBK</v>
          </cell>
          <cell r="BC170" t="str">
            <v>F18</v>
          </cell>
        </row>
        <row r="171">
          <cell r="A171" t="str">
            <v>514F2</v>
          </cell>
          <cell r="B171" t="str">
            <v>3</v>
          </cell>
          <cell r="C171" t="str">
            <v>05</v>
          </cell>
          <cell r="D171">
            <v>17</v>
          </cell>
          <cell r="E171" t="str">
            <v>514F2</v>
          </cell>
          <cell r="F171">
            <v>8.9</v>
          </cell>
          <cell r="G171">
            <v>6.96</v>
          </cell>
          <cell r="H171">
            <v>6.96</v>
          </cell>
          <cell r="I171" t="str">
            <v>BK</v>
          </cell>
          <cell r="J171" t="str">
            <v>SC</v>
          </cell>
          <cell r="K171">
            <v>0</v>
          </cell>
          <cell r="L171">
            <v>45894</v>
          </cell>
          <cell r="M171">
            <v>45894</v>
          </cell>
          <cell r="N171">
            <v>100</v>
          </cell>
          <cell r="O171" t="str">
            <v>NS</v>
          </cell>
          <cell r="P171" t="str">
            <v/>
          </cell>
          <cell r="Q171">
            <v>45894</v>
          </cell>
          <cell r="R171" t="str">
            <v/>
          </cell>
          <cell r="S171" t="str">
            <v/>
          </cell>
          <cell r="T171" t="str">
            <v/>
          </cell>
          <cell r="U171">
            <v>73040</v>
          </cell>
          <cell r="V171">
            <v>49841</v>
          </cell>
          <cell r="W171">
            <v>44622</v>
          </cell>
          <cell r="X171" t="str">
            <v>Lokasi Produksi 514F2 ( pecahan 514F )</v>
          </cell>
          <cell r="Z171">
            <v>0</v>
          </cell>
          <cell r="AA171">
            <v>45894</v>
          </cell>
          <cell r="AB171">
            <v>5473.5973361111101</v>
          </cell>
          <cell r="AC171">
            <v>182.45324453703699</v>
          </cell>
          <cell r="AD171">
            <v>-20</v>
          </cell>
          <cell r="AE171">
            <v>0</v>
          </cell>
          <cell r="AF171">
            <v>0</v>
          </cell>
          <cell r="AG171">
            <v>-1192.2333333333333</v>
          </cell>
          <cell r="AM171" t="str">
            <v>OK</v>
          </cell>
          <cell r="AO171">
            <v>3.3451851080246948</v>
          </cell>
          <cell r="AP171">
            <v>3.3451851080246948</v>
          </cell>
          <cell r="AQ171">
            <v>0</v>
          </cell>
          <cell r="AR171">
            <v>3.3451851080246948</v>
          </cell>
          <cell r="AS171">
            <v>0</v>
          </cell>
          <cell r="AT171">
            <v>45894</v>
          </cell>
          <cell r="AU171">
            <v>3.3451851080246948</v>
          </cell>
          <cell r="AV171">
            <v>100.35555324074085</v>
          </cell>
          <cell r="AW171">
            <v>3.3451851080246948</v>
          </cell>
          <cell r="AY171">
            <v>105.46369178241002</v>
          </cell>
          <cell r="AZ171" t="str">
            <v>F18</v>
          </cell>
          <cell r="BA171">
            <v>0</v>
          </cell>
          <cell r="BB171" t="str">
            <v>NSBK</v>
          </cell>
          <cell r="BC171" t="str">
            <v>F18</v>
          </cell>
        </row>
        <row r="172">
          <cell r="A172" t="str">
            <v>514G1</v>
          </cell>
          <cell r="B172" t="str">
            <v>3</v>
          </cell>
          <cell r="C172" t="str">
            <v>05</v>
          </cell>
          <cell r="D172">
            <v>17</v>
          </cell>
          <cell r="E172" t="str">
            <v>514G1</v>
          </cell>
          <cell r="F172">
            <v>6.12</v>
          </cell>
          <cell r="G172">
            <v>5.03</v>
          </cell>
          <cell r="H172">
            <v>5.03</v>
          </cell>
          <cell r="I172" t="str">
            <v>FC</v>
          </cell>
          <cell r="J172" t="str">
            <v>ST</v>
          </cell>
          <cell r="K172">
            <v>14</v>
          </cell>
          <cell r="L172">
            <v>45741</v>
          </cell>
          <cell r="M172">
            <v>45741</v>
          </cell>
          <cell r="N172">
            <v>253</v>
          </cell>
          <cell r="O172" t="str">
            <v>NS</v>
          </cell>
          <cell r="P172" t="str">
            <v>NSF18CK3</v>
          </cell>
          <cell r="Q172">
            <v>46168</v>
          </cell>
          <cell r="R172" t="str">
            <v/>
          </cell>
          <cell r="S172" t="str">
            <v/>
          </cell>
          <cell r="T172" t="str">
            <v/>
          </cell>
          <cell r="U172">
            <v>63935</v>
          </cell>
          <cell r="V172">
            <v>71121</v>
          </cell>
          <cell r="W172">
            <v>44567</v>
          </cell>
          <cell r="X172" t="str">
            <v>Lokasi Produksi 514G1 ( pecahan 514G )</v>
          </cell>
          <cell r="Z172">
            <v>14</v>
          </cell>
          <cell r="AA172">
            <v>46168</v>
          </cell>
          <cell r="AB172">
            <v>252.59733611111005</v>
          </cell>
          <cell r="AC172">
            <v>8.4199112037036681</v>
          </cell>
          <cell r="AD172">
            <v>-20</v>
          </cell>
          <cell r="AE172">
            <v>0</v>
          </cell>
          <cell r="AF172">
            <v>0</v>
          </cell>
          <cell r="AG172">
            <v>-1366.2666666666667</v>
          </cell>
          <cell r="AM172" t="str">
            <v>OK</v>
          </cell>
          <cell r="AO172">
            <v>8.4451851080246954</v>
          </cell>
          <cell r="AP172">
            <v>-5.5548148919753046</v>
          </cell>
          <cell r="AQ172">
            <v>0</v>
          </cell>
          <cell r="AR172">
            <v>8.4451851080246954</v>
          </cell>
          <cell r="AS172">
            <v>0</v>
          </cell>
          <cell r="AT172">
            <v>46168</v>
          </cell>
          <cell r="AU172">
            <v>-5.5548148919753046</v>
          </cell>
          <cell r="AV172">
            <v>253.35555324074085</v>
          </cell>
          <cell r="AW172">
            <v>-5.5548148919753046</v>
          </cell>
          <cell r="AY172">
            <v>258.46369178241002</v>
          </cell>
          <cell r="AZ172" t="str">
            <v>F18</v>
          </cell>
          <cell r="BA172">
            <v>5.03</v>
          </cell>
          <cell r="BB172" t="str">
            <v>NSFC</v>
          </cell>
          <cell r="BC172" t="str">
            <v>F18CK</v>
          </cell>
        </row>
        <row r="173">
          <cell r="A173" t="str">
            <v>514G2</v>
          </cell>
          <cell r="B173" t="str">
            <v>3</v>
          </cell>
          <cell r="C173" t="str">
            <v>05</v>
          </cell>
          <cell r="D173">
            <v>17</v>
          </cell>
          <cell r="E173" t="str">
            <v>514G2</v>
          </cell>
          <cell r="F173">
            <v>8.1300000000000008</v>
          </cell>
          <cell r="G173">
            <v>6.37</v>
          </cell>
          <cell r="H173">
            <v>6.37</v>
          </cell>
          <cell r="I173" t="str">
            <v>BK</v>
          </cell>
          <cell r="J173" t="str">
            <v>SC</v>
          </cell>
          <cell r="K173">
            <v>0</v>
          </cell>
          <cell r="L173">
            <v>45950</v>
          </cell>
          <cell r="M173">
            <v>45950</v>
          </cell>
          <cell r="N173">
            <v>44</v>
          </cell>
          <cell r="O173" t="str">
            <v>NS</v>
          </cell>
          <cell r="P173" t="str">
            <v/>
          </cell>
          <cell r="Q173">
            <v>45950</v>
          </cell>
          <cell r="R173" t="str">
            <v/>
          </cell>
          <cell r="S173" t="str">
            <v/>
          </cell>
          <cell r="T173" t="str">
            <v/>
          </cell>
          <cell r="U173">
            <v>70185</v>
          </cell>
          <cell r="V173">
            <v>51323</v>
          </cell>
          <cell r="W173">
            <v>44944</v>
          </cell>
          <cell r="X173" t="str">
            <v>Lokasi Produksi 514G2 ( pecahan 514G )</v>
          </cell>
          <cell r="Z173">
            <v>0</v>
          </cell>
          <cell r="AA173">
            <v>45950</v>
          </cell>
          <cell r="AB173">
            <v>94.597336111110053</v>
          </cell>
          <cell r="AC173">
            <v>3.1532445370370019</v>
          </cell>
          <cell r="AD173">
            <v>-4.8467554629629976</v>
          </cell>
          <cell r="AE173">
            <v>14.3</v>
          </cell>
          <cell r="AF173">
            <v>0</v>
          </cell>
          <cell r="AG173">
            <v>-1371.5333333333333</v>
          </cell>
          <cell r="AM173" t="str">
            <v>OK</v>
          </cell>
          <cell r="AO173">
            <v>1.4785184413580281</v>
          </cell>
          <cell r="AP173">
            <v>1.4785184413580281</v>
          </cell>
          <cell r="AQ173">
            <v>0</v>
          </cell>
          <cell r="AR173">
            <v>1.4785184413580281</v>
          </cell>
          <cell r="AS173">
            <v>0</v>
          </cell>
          <cell r="AT173">
            <v>45950</v>
          </cell>
          <cell r="AU173">
            <v>1.4785184413580281</v>
          </cell>
          <cell r="AV173">
            <v>44.355553240740846</v>
          </cell>
          <cell r="AW173">
            <v>1.4785184413580281</v>
          </cell>
          <cell r="AY173">
            <v>49.463691782410024</v>
          </cell>
          <cell r="AZ173" t="str">
            <v>F18</v>
          </cell>
          <cell r="BA173">
            <v>0</v>
          </cell>
          <cell r="BB173" t="str">
            <v>NSBK</v>
          </cell>
          <cell r="BC173" t="str">
            <v>F18</v>
          </cell>
        </row>
        <row r="174">
          <cell r="A174" t="str">
            <v>514H1</v>
          </cell>
          <cell r="B174" t="str">
            <v>3</v>
          </cell>
          <cell r="C174" t="str">
            <v>05</v>
          </cell>
          <cell r="D174">
            <v>17</v>
          </cell>
          <cell r="E174" t="str">
            <v>514H1</v>
          </cell>
          <cell r="F174">
            <v>8.5</v>
          </cell>
          <cell r="G174">
            <v>7.09</v>
          </cell>
          <cell r="H174">
            <v>7.09</v>
          </cell>
          <cell r="I174" t="str">
            <v>SC</v>
          </cell>
          <cell r="J174" t="str">
            <v>BB</v>
          </cell>
          <cell r="K174">
            <v>8</v>
          </cell>
          <cell r="L174">
            <v>45900</v>
          </cell>
          <cell r="M174">
            <v>45900</v>
          </cell>
          <cell r="N174">
            <v>94</v>
          </cell>
          <cell r="O174" t="str">
            <v>NS</v>
          </cell>
          <cell r="P174" t="str">
            <v/>
          </cell>
          <cell r="Q174">
            <v>46144</v>
          </cell>
          <cell r="R174" t="str">
            <v/>
          </cell>
          <cell r="S174" t="str">
            <v/>
          </cell>
          <cell r="T174" t="str">
            <v/>
          </cell>
          <cell r="U174">
            <v>71027</v>
          </cell>
          <cell r="V174">
            <v>71544</v>
          </cell>
          <cell r="W174" t="str">
            <v/>
          </cell>
          <cell r="X174" t="str">
            <v>Lokasi Produksi 514H1 ( pecahan 514H )</v>
          </cell>
          <cell r="Z174">
            <v>8</v>
          </cell>
          <cell r="AA174">
            <v>46144</v>
          </cell>
          <cell r="AB174">
            <v>540.59733611111005</v>
          </cell>
          <cell r="AC174">
            <v>18.019911203703668</v>
          </cell>
          <cell r="AD174">
            <v>-20</v>
          </cell>
          <cell r="AE174">
            <v>0</v>
          </cell>
          <cell r="AF174">
            <v>0</v>
          </cell>
          <cell r="AG174">
            <v>-1356.6666666666667</v>
          </cell>
          <cell r="AM174" t="str">
            <v>OK</v>
          </cell>
          <cell r="AO174">
            <v>3.1451851080246951</v>
          </cell>
          <cell r="AP174">
            <v>-4.8548148919753054</v>
          </cell>
          <cell r="AQ174">
            <v>0</v>
          </cell>
          <cell r="AR174">
            <v>3.1451851080246951</v>
          </cell>
          <cell r="AS174">
            <v>0</v>
          </cell>
          <cell r="AT174">
            <v>46144</v>
          </cell>
          <cell r="AU174">
            <v>-4.8548148919753054</v>
          </cell>
          <cell r="AV174">
            <v>94.355553240740846</v>
          </cell>
          <cell r="AW174">
            <v>-4.8548148919753054</v>
          </cell>
          <cell r="AY174">
            <v>99.463691782410024</v>
          </cell>
          <cell r="AZ174" t="str">
            <v>F18</v>
          </cell>
          <cell r="BA174">
            <v>7.09</v>
          </cell>
          <cell r="BB174" t="str">
            <v>NSSC</v>
          </cell>
          <cell r="BC174" t="str">
            <v>F18</v>
          </cell>
        </row>
        <row r="175">
          <cell r="A175" t="str">
            <v>514H2</v>
          </cell>
          <cell r="B175" t="str">
            <v>3</v>
          </cell>
          <cell r="C175" t="str">
            <v>05</v>
          </cell>
          <cell r="D175">
            <v>17</v>
          </cell>
          <cell r="E175" t="str">
            <v>514H2</v>
          </cell>
          <cell r="F175">
            <v>10.19</v>
          </cell>
          <cell r="G175">
            <v>8.49</v>
          </cell>
          <cell r="H175">
            <v>8.49</v>
          </cell>
          <cell r="I175" t="str">
            <v>FC</v>
          </cell>
          <cell r="J175" t="str">
            <v>ST</v>
          </cell>
          <cell r="K175">
            <v>14</v>
          </cell>
          <cell r="L175">
            <v>45474</v>
          </cell>
          <cell r="M175">
            <v>45474</v>
          </cell>
          <cell r="N175">
            <v>520</v>
          </cell>
          <cell r="O175" t="str">
            <v>NS</v>
          </cell>
          <cell r="P175" t="str">
            <v>NSF18CK3</v>
          </cell>
          <cell r="Q175">
            <v>45901</v>
          </cell>
          <cell r="R175" t="str">
            <v/>
          </cell>
          <cell r="S175" t="str">
            <v/>
          </cell>
          <cell r="T175">
            <v>45846</v>
          </cell>
          <cell r="U175">
            <v>66709</v>
          </cell>
          <cell r="V175">
            <v>67378</v>
          </cell>
          <cell r="W175" t="str">
            <v/>
          </cell>
          <cell r="X175" t="str">
            <v>Lokasi Produksi 514H2 ( pecahan 514H )</v>
          </cell>
          <cell r="Z175">
            <v>14</v>
          </cell>
          <cell r="AA175">
            <v>45901</v>
          </cell>
          <cell r="AB175">
            <v>4802.5973361111101</v>
          </cell>
          <cell r="AC175">
            <v>160.08657787037035</v>
          </cell>
          <cell r="AD175">
            <v>-20</v>
          </cell>
          <cell r="AE175">
            <v>0</v>
          </cell>
          <cell r="AF175">
            <v>0</v>
          </cell>
          <cell r="AG175">
            <v>-1214.5999999999999</v>
          </cell>
          <cell r="AM175" t="str">
            <v>OK</v>
          </cell>
          <cell r="AO175">
            <v>17.345185108024694</v>
          </cell>
          <cell r="AP175">
            <v>3.3451851080246939</v>
          </cell>
          <cell r="AQ175">
            <v>45846</v>
          </cell>
          <cell r="AR175">
            <v>12.4</v>
          </cell>
          <cell r="AS175">
            <v>4.9451851080246936</v>
          </cell>
          <cell r="AT175">
            <v>45901</v>
          </cell>
          <cell r="AU175">
            <v>4.9451851080246936</v>
          </cell>
          <cell r="AV175">
            <v>372</v>
          </cell>
          <cell r="AW175">
            <v>4.9451851080246936</v>
          </cell>
          <cell r="AY175">
            <v>525.46369178241002</v>
          </cell>
          <cell r="AZ175" t="str">
            <v>F18</v>
          </cell>
          <cell r="BA175">
            <v>8.49</v>
          </cell>
          <cell r="BB175" t="str">
            <v>NSFC</v>
          </cell>
          <cell r="BC175" t="str">
            <v>F18CK</v>
          </cell>
        </row>
        <row r="176">
          <cell r="A176" t="str">
            <v>514I</v>
          </cell>
          <cell r="B176" t="str">
            <v>3</v>
          </cell>
          <cell r="C176" t="str">
            <v>05</v>
          </cell>
          <cell r="D176">
            <v>17</v>
          </cell>
          <cell r="E176" t="str">
            <v>514I</v>
          </cell>
          <cell r="F176">
            <v>8.58</v>
          </cell>
          <cell r="G176">
            <v>7.22</v>
          </cell>
          <cell r="H176">
            <v>7.22</v>
          </cell>
          <cell r="I176" t="str">
            <v>FC</v>
          </cell>
          <cell r="J176" t="str">
            <v>ST</v>
          </cell>
          <cell r="K176">
            <v>10</v>
          </cell>
          <cell r="L176">
            <v>45681</v>
          </cell>
          <cell r="M176">
            <v>45681</v>
          </cell>
          <cell r="N176">
            <v>313</v>
          </cell>
          <cell r="O176" t="str">
            <v>NS</v>
          </cell>
          <cell r="P176" t="str">
            <v>NSGP3SB3</v>
          </cell>
          <cell r="Q176">
            <v>45986</v>
          </cell>
          <cell r="R176" t="str">
            <v/>
          </cell>
          <cell r="S176" t="str">
            <v/>
          </cell>
          <cell r="T176">
            <v>45992</v>
          </cell>
          <cell r="U176">
            <v>70824</v>
          </cell>
          <cell r="V176">
            <v>69821</v>
          </cell>
          <cell r="W176">
            <v>43503</v>
          </cell>
          <cell r="X176" t="str">
            <v>Lokasi Produksi 514I</v>
          </cell>
          <cell r="Z176">
            <v>10</v>
          </cell>
          <cell r="AA176">
            <v>45986</v>
          </cell>
          <cell r="AB176">
            <v>665.59733611111005</v>
          </cell>
          <cell r="AC176">
            <v>22.186577870370336</v>
          </cell>
          <cell r="AD176">
            <v>-20</v>
          </cell>
          <cell r="AE176">
            <v>0</v>
          </cell>
          <cell r="AF176">
            <v>0</v>
          </cell>
          <cell r="AG176">
            <v>-1352.5</v>
          </cell>
          <cell r="AM176" t="str">
            <v>OK</v>
          </cell>
          <cell r="AO176">
            <v>10.445185108024695</v>
          </cell>
          <cell r="AP176">
            <v>0.44518510802469535</v>
          </cell>
          <cell r="AQ176">
            <v>45992</v>
          </cell>
          <cell r="AR176">
            <v>10.366666666666667</v>
          </cell>
          <cell r="AS176">
            <v>7.8518441358028213E-2</v>
          </cell>
          <cell r="AT176">
            <v>45986</v>
          </cell>
          <cell r="AU176">
            <v>7.8518441358028213E-2</v>
          </cell>
          <cell r="AV176">
            <v>311</v>
          </cell>
          <cell r="AW176">
            <v>7.8518441358028213E-2</v>
          </cell>
          <cell r="AY176">
            <v>318.46369178241002</v>
          </cell>
          <cell r="AZ176" t="str">
            <v>GP3</v>
          </cell>
          <cell r="BA176">
            <v>7.22</v>
          </cell>
          <cell r="BB176" t="str">
            <v>NSFC</v>
          </cell>
          <cell r="BC176" t="str">
            <v>GP3SB</v>
          </cell>
        </row>
        <row r="177">
          <cell r="A177" t="str">
            <v>514SS</v>
          </cell>
          <cell r="B177" t="str">
            <v>3</v>
          </cell>
          <cell r="C177" t="str">
            <v>05</v>
          </cell>
          <cell r="D177">
            <v>17</v>
          </cell>
          <cell r="E177" t="str">
            <v>514SS</v>
          </cell>
          <cell r="F177">
            <v>0.69</v>
          </cell>
          <cell r="G177">
            <v>0.69</v>
          </cell>
          <cell r="H177">
            <v>0.69</v>
          </cell>
          <cell r="I177" t="str">
            <v>BK</v>
          </cell>
          <cell r="J177" t="str">
            <v>FC</v>
          </cell>
          <cell r="K177">
            <v>0</v>
          </cell>
          <cell r="L177">
            <v>45953</v>
          </cell>
          <cell r="M177">
            <v>45953</v>
          </cell>
          <cell r="N177">
            <v>41</v>
          </cell>
          <cell r="O177" t="str">
            <v>SK</v>
          </cell>
          <cell r="P177" t="str">
            <v/>
          </cell>
          <cell r="Q177">
            <v>45953</v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>Lokasi Produksi 514SS ( singkong )</v>
          </cell>
          <cell r="Z177">
            <v>0</v>
          </cell>
          <cell r="AA177">
            <v>45953</v>
          </cell>
          <cell r="AB177">
            <v>49.597336111110053</v>
          </cell>
          <cell r="AC177">
            <v>1.6532445370370017</v>
          </cell>
          <cell r="AD177">
            <v>-20</v>
          </cell>
          <cell r="AE177">
            <v>0</v>
          </cell>
          <cell r="AF177">
            <v>0</v>
          </cell>
          <cell r="AG177">
            <v>-1373.0333333333333</v>
          </cell>
          <cell r="AM177" t="str">
            <v>OK</v>
          </cell>
          <cell r="AO177">
            <v>1.3785184413580283</v>
          </cell>
          <cell r="AP177">
            <v>1.3785184413580283</v>
          </cell>
          <cell r="AQ177">
            <v>0</v>
          </cell>
          <cell r="AR177">
            <v>1.3785184413580283</v>
          </cell>
          <cell r="AS177">
            <v>0</v>
          </cell>
          <cell r="AT177">
            <v>45953</v>
          </cell>
          <cell r="AU177">
            <v>1.3785184413580283</v>
          </cell>
          <cell r="AV177">
            <v>41.355553240740846</v>
          </cell>
          <cell r="AW177">
            <v>1.3785184413580283</v>
          </cell>
          <cell r="AY177">
            <v>46.463691782410024</v>
          </cell>
          <cell r="AZ177" t="str">
            <v>F18</v>
          </cell>
          <cell r="BA177">
            <v>0</v>
          </cell>
          <cell r="BB177" t="str">
            <v>SKBK</v>
          </cell>
          <cell r="BC177" t="str">
            <v>F18</v>
          </cell>
        </row>
        <row r="178">
          <cell r="A178" t="str">
            <v>515A</v>
          </cell>
          <cell r="B178" t="str">
            <v>3</v>
          </cell>
          <cell r="C178" t="str">
            <v>05</v>
          </cell>
          <cell r="D178">
            <v>17</v>
          </cell>
          <cell r="E178" t="str">
            <v>515A</v>
          </cell>
          <cell r="F178">
            <v>9.51</v>
          </cell>
          <cell r="G178">
            <v>7.4</v>
          </cell>
          <cell r="H178">
            <v>7.4</v>
          </cell>
          <cell r="I178" t="str">
            <v>BK</v>
          </cell>
          <cell r="J178" t="str">
            <v>SC</v>
          </cell>
          <cell r="K178">
            <v>0</v>
          </cell>
          <cell r="L178">
            <v>45972</v>
          </cell>
          <cell r="M178">
            <v>45972</v>
          </cell>
          <cell r="N178">
            <v>22</v>
          </cell>
          <cell r="O178" t="str">
            <v>NS</v>
          </cell>
          <cell r="P178" t="str">
            <v/>
          </cell>
          <cell r="Q178">
            <v>45972</v>
          </cell>
          <cell r="R178" t="str">
            <v/>
          </cell>
          <cell r="S178" t="str">
            <v/>
          </cell>
          <cell r="T178" t="str">
            <v/>
          </cell>
          <cell r="U178">
            <v>71213</v>
          </cell>
          <cell r="V178">
            <v>52182</v>
          </cell>
          <cell r="W178">
            <v>44944</v>
          </cell>
          <cell r="X178" t="str">
            <v>Lokasi Produksi 515A</v>
          </cell>
          <cell r="Z178">
            <v>0</v>
          </cell>
          <cell r="AA178">
            <v>45972</v>
          </cell>
          <cell r="AB178">
            <v>551.59733611111005</v>
          </cell>
          <cell r="AC178">
            <v>18.386577870370335</v>
          </cell>
          <cell r="AD178">
            <v>4.3865778703703349</v>
          </cell>
          <cell r="AE178">
            <v>12.87</v>
          </cell>
          <cell r="AF178">
            <v>0</v>
          </cell>
          <cell r="AG178">
            <v>-1356.3</v>
          </cell>
          <cell r="AK178">
            <v>40359</v>
          </cell>
          <cell r="AM178" t="str">
            <v>OK</v>
          </cell>
          <cell r="AO178">
            <v>0.74518510802469484</v>
          </cell>
          <cell r="AP178">
            <v>0.74518510802469484</v>
          </cell>
          <cell r="AQ178">
            <v>0</v>
          </cell>
          <cell r="AR178">
            <v>0.74518510802469484</v>
          </cell>
          <cell r="AS178">
            <v>0</v>
          </cell>
          <cell r="AT178">
            <v>45972</v>
          </cell>
          <cell r="AU178">
            <v>0.74518510802469484</v>
          </cell>
          <cell r="AV178">
            <v>22.355553240740846</v>
          </cell>
          <cell r="AW178">
            <v>0.74518510802469484</v>
          </cell>
          <cell r="AY178">
            <v>27.463691782410024</v>
          </cell>
          <cell r="AZ178" t="str">
            <v>F18</v>
          </cell>
          <cell r="BA178">
            <v>0</v>
          </cell>
          <cell r="BB178" t="str">
            <v>NSBK</v>
          </cell>
          <cell r="BC178" t="str">
            <v>F18</v>
          </cell>
        </row>
        <row r="179">
          <cell r="A179" t="str">
            <v>515AS</v>
          </cell>
          <cell r="B179" t="str">
            <v>3</v>
          </cell>
          <cell r="C179" t="str">
            <v>05</v>
          </cell>
          <cell r="D179">
            <v>17</v>
          </cell>
          <cell r="E179" t="str">
            <v>515AS</v>
          </cell>
          <cell r="F179">
            <v>1.2</v>
          </cell>
          <cell r="G179">
            <v>1.2</v>
          </cell>
          <cell r="H179">
            <v>1.2</v>
          </cell>
          <cell r="I179" t="str">
            <v>FC</v>
          </cell>
          <cell r="J179" t="str">
            <v>ST</v>
          </cell>
          <cell r="K179">
            <v>0</v>
          </cell>
          <cell r="L179">
            <v>45740</v>
          </cell>
          <cell r="M179">
            <v>45740</v>
          </cell>
          <cell r="N179">
            <v>254</v>
          </cell>
          <cell r="O179" t="str">
            <v>SK</v>
          </cell>
          <cell r="P179" t="str">
            <v/>
          </cell>
          <cell r="Q179">
            <v>45740</v>
          </cell>
          <cell r="R179" t="str">
            <v/>
          </cell>
          <cell r="S179" t="str">
            <v/>
          </cell>
          <cell r="T179" t="str">
            <v/>
          </cell>
          <cell r="U179">
            <v>25766</v>
          </cell>
          <cell r="V179">
            <v>25766</v>
          </cell>
          <cell r="W179" t="str">
            <v/>
          </cell>
          <cell r="X179" t="str">
            <v>Lokasi Produksi 515AS ( Singkong )</v>
          </cell>
          <cell r="Z179">
            <v>0</v>
          </cell>
          <cell r="AA179">
            <v>45740</v>
          </cell>
          <cell r="AB179">
            <v>550.59733611111005</v>
          </cell>
          <cell r="AC179">
            <v>18.353244537037003</v>
          </cell>
          <cell r="AD179">
            <v>4.3532445370370034</v>
          </cell>
          <cell r="AE179">
            <v>9.0299999999999994</v>
          </cell>
          <cell r="AF179">
            <v>0</v>
          </cell>
          <cell r="AG179">
            <v>-1356.3333333333333</v>
          </cell>
          <cell r="AM179" t="str">
            <v>OK</v>
          </cell>
          <cell r="AO179">
            <v>8.4785184413580286</v>
          </cell>
          <cell r="AP179">
            <v>8.4785184413580286</v>
          </cell>
          <cell r="AQ179">
            <v>0</v>
          </cell>
          <cell r="AR179">
            <v>8.4785184413580286</v>
          </cell>
          <cell r="AS179">
            <v>0</v>
          </cell>
          <cell r="AT179">
            <v>45740</v>
          </cell>
          <cell r="AU179">
            <v>8.4785184413580286</v>
          </cell>
          <cell r="AV179">
            <v>254.35555324074085</v>
          </cell>
          <cell r="AW179">
            <v>8.4785184413580286</v>
          </cell>
          <cell r="AY179">
            <v>259.46369178241002</v>
          </cell>
          <cell r="AZ179" t="str">
            <v>F18</v>
          </cell>
          <cell r="BA179">
            <v>0</v>
          </cell>
          <cell r="BB179" t="str">
            <v>SKFC</v>
          </cell>
          <cell r="BC179" t="str">
            <v>F18</v>
          </cell>
        </row>
        <row r="180">
          <cell r="A180" t="str">
            <v>515B3</v>
          </cell>
          <cell r="B180" t="str">
            <v>3</v>
          </cell>
          <cell r="C180" t="str">
            <v>05</v>
          </cell>
          <cell r="D180">
            <v>17</v>
          </cell>
          <cell r="E180" t="str">
            <v>515B3</v>
          </cell>
          <cell r="F180">
            <v>8.32</v>
          </cell>
          <cell r="G180">
            <v>6.46</v>
          </cell>
          <cell r="H180">
            <v>6.46</v>
          </cell>
          <cell r="I180" t="str">
            <v>BK</v>
          </cell>
          <cell r="J180" t="str">
            <v>BB</v>
          </cell>
          <cell r="K180">
            <v>0</v>
          </cell>
          <cell r="L180">
            <v>45959</v>
          </cell>
          <cell r="M180">
            <v>45959</v>
          </cell>
          <cell r="N180">
            <v>35</v>
          </cell>
          <cell r="O180" t="str">
            <v>NS</v>
          </cell>
          <cell r="P180" t="str">
            <v/>
          </cell>
          <cell r="Q180">
            <v>45959</v>
          </cell>
          <cell r="R180" t="str">
            <v/>
          </cell>
          <cell r="S180" t="str">
            <v/>
          </cell>
          <cell r="T180" t="str">
            <v/>
          </cell>
          <cell r="U180">
            <v>71150</v>
          </cell>
          <cell r="V180">
            <v>72831</v>
          </cell>
          <cell r="W180">
            <v>44937</v>
          </cell>
          <cell r="X180" t="str">
            <v>Lok Produksi 515B3 ( pecahan 515B )</v>
          </cell>
          <cell r="Z180">
            <v>0</v>
          </cell>
          <cell r="AA180">
            <v>45959</v>
          </cell>
          <cell r="AB180">
            <v>530.59733611111005</v>
          </cell>
          <cell r="AC180">
            <v>17.686577870370336</v>
          </cell>
          <cell r="AD180">
            <v>1.6865778703703356</v>
          </cell>
          <cell r="AE180">
            <v>13.93</v>
          </cell>
          <cell r="AF180">
            <v>0</v>
          </cell>
          <cell r="AG180">
            <v>-1357</v>
          </cell>
          <cell r="AK180">
            <v>40354</v>
          </cell>
          <cell r="AM180" t="str">
            <v>OK</v>
          </cell>
          <cell r="AO180">
            <v>1.1785184413580283</v>
          </cell>
          <cell r="AP180">
            <v>1.1785184413580283</v>
          </cell>
          <cell r="AQ180">
            <v>0</v>
          </cell>
          <cell r="AR180">
            <v>1.1785184413580283</v>
          </cell>
          <cell r="AS180">
            <v>0</v>
          </cell>
          <cell r="AT180">
            <v>45959</v>
          </cell>
          <cell r="AU180">
            <v>1.1785184413580283</v>
          </cell>
          <cell r="AV180">
            <v>35.355553240740846</v>
          </cell>
          <cell r="AW180">
            <v>1.1785184413580283</v>
          </cell>
          <cell r="AY180">
            <v>40.463691782410024</v>
          </cell>
          <cell r="AZ180" t="str">
            <v>F18</v>
          </cell>
          <cell r="BA180">
            <v>0</v>
          </cell>
          <cell r="BB180" t="str">
            <v>NSBK</v>
          </cell>
          <cell r="BC180" t="str">
            <v>F18</v>
          </cell>
        </row>
        <row r="181">
          <cell r="A181" t="str">
            <v>515B4</v>
          </cell>
          <cell r="B181" t="str">
            <v>3</v>
          </cell>
          <cell r="C181" t="str">
            <v>05</v>
          </cell>
          <cell r="D181">
            <v>17</v>
          </cell>
          <cell r="E181" t="str">
            <v>515B4</v>
          </cell>
          <cell r="F181">
            <v>8.4700000000000006</v>
          </cell>
          <cell r="G181">
            <v>6.64</v>
          </cell>
          <cell r="H181">
            <v>6.64</v>
          </cell>
          <cell r="I181" t="str">
            <v>BK</v>
          </cell>
          <cell r="J181" t="str">
            <v>BB</v>
          </cell>
          <cell r="K181">
            <v>0</v>
          </cell>
          <cell r="L181">
            <v>45900</v>
          </cell>
          <cell r="M181">
            <v>45900</v>
          </cell>
          <cell r="N181">
            <v>94</v>
          </cell>
          <cell r="O181" t="str">
            <v>NS</v>
          </cell>
          <cell r="P181" t="str">
            <v/>
          </cell>
          <cell r="Q181">
            <v>45900</v>
          </cell>
          <cell r="R181" t="str">
            <v/>
          </cell>
          <cell r="S181" t="str">
            <v/>
          </cell>
          <cell r="T181" t="str">
            <v/>
          </cell>
          <cell r="U181">
            <v>71143</v>
          </cell>
          <cell r="V181">
            <v>73427</v>
          </cell>
          <cell r="W181">
            <v>44610</v>
          </cell>
          <cell r="X181" t="str">
            <v>Lok Produksi 515B4 ( pecahan 515B )</v>
          </cell>
          <cell r="Z181">
            <v>0</v>
          </cell>
          <cell r="AA181">
            <v>45900</v>
          </cell>
          <cell r="AB181">
            <v>550.59733611111005</v>
          </cell>
          <cell r="AC181">
            <v>18.353244537037003</v>
          </cell>
          <cell r="AD181">
            <v>4.3532445370370034</v>
          </cell>
          <cell r="AE181">
            <v>13.3</v>
          </cell>
          <cell r="AF181">
            <v>0</v>
          </cell>
          <cell r="AG181">
            <v>-1356.3333333333333</v>
          </cell>
          <cell r="AM181" t="str">
            <v>OK</v>
          </cell>
          <cell r="AO181">
            <v>3.1451851080246951</v>
          </cell>
          <cell r="AP181">
            <v>3.1451851080246951</v>
          </cell>
          <cell r="AQ181">
            <v>0</v>
          </cell>
          <cell r="AR181">
            <v>3.1451851080246951</v>
          </cell>
          <cell r="AS181">
            <v>0</v>
          </cell>
          <cell r="AT181">
            <v>45900</v>
          </cell>
          <cell r="AU181">
            <v>3.1451851080246951</v>
          </cell>
          <cell r="AV181">
            <v>94.355553240740846</v>
          </cell>
          <cell r="AW181">
            <v>3.1451851080246951</v>
          </cell>
          <cell r="AY181">
            <v>99.463691782410024</v>
          </cell>
          <cell r="AZ181" t="str">
            <v>F18</v>
          </cell>
          <cell r="BA181">
            <v>0</v>
          </cell>
          <cell r="BB181" t="str">
            <v>NSBK</v>
          </cell>
          <cell r="BC181" t="str">
            <v>F18</v>
          </cell>
        </row>
        <row r="182">
          <cell r="A182" t="str">
            <v>515BS</v>
          </cell>
          <cell r="B182" t="str">
            <v>3</v>
          </cell>
          <cell r="C182" t="str">
            <v>05</v>
          </cell>
          <cell r="D182">
            <v>17</v>
          </cell>
          <cell r="E182" t="str">
            <v>515BS</v>
          </cell>
          <cell r="F182">
            <v>2.1800000000000002</v>
          </cell>
          <cell r="G182">
            <v>2.1800000000000002</v>
          </cell>
          <cell r="H182">
            <v>2.1800000000000002</v>
          </cell>
          <cell r="I182" t="str">
            <v>FC</v>
          </cell>
          <cell r="J182" t="str">
            <v>ST</v>
          </cell>
          <cell r="K182">
            <v>0</v>
          </cell>
          <cell r="L182">
            <v>45673</v>
          </cell>
          <cell r="M182">
            <v>45673</v>
          </cell>
          <cell r="N182">
            <v>321</v>
          </cell>
          <cell r="O182" t="str">
            <v>SK</v>
          </cell>
          <cell r="P182" t="str">
            <v/>
          </cell>
          <cell r="Q182">
            <v>45673</v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>Lokasi Produksi 515BS ( singkong )</v>
          </cell>
          <cell r="Z182">
            <v>0</v>
          </cell>
          <cell r="AA182">
            <v>45673</v>
          </cell>
          <cell r="AB182">
            <v>601.59733611111005</v>
          </cell>
          <cell r="AC182">
            <v>20.053244537037003</v>
          </cell>
          <cell r="AD182">
            <v>-20</v>
          </cell>
          <cell r="AE182">
            <v>0</v>
          </cell>
          <cell r="AF182">
            <v>0</v>
          </cell>
          <cell r="AG182">
            <v>-1354.6333333333334</v>
          </cell>
          <cell r="AM182" t="str">
            <v>OK</v>
          </cell>
          <cell r="AO182">
            <v>10.711851774691361</v>
          </cell>
          <cell r="AP182">
            <v>10.711851774691361</v>
          </cell>
          <cell r="AQ182">
            <v>0</v>
          </cell>
          <cell r="AR182">
            <v>10.711851774691361</v>
          </cell>
          <cell r="AS182">
            <v>0</v>
          </cell>
          <cell r="AT182">
            <v>45673</v>
          </cell>
          <cell r="AU182">
            <v>10.711851774691361</v>
          </cell>
          <cell r="AV182">
            <v>321.35555324074085</v>
          </cell>
          <cell r="AW182">
            <v>10.711851774691361</v>
          </cell>
          <cell r="AY182">
            <v>326.46369178241002</v>
          </cell>
          <cell r="AZ182" t="str">
            <v>F18</v>
          </cell>
          <cell r="BA182">
            <v>0</v>
          </cell>
          <cell r="BB182" t="str">
            <v>SKFC</v>
          </cell>
          <cell r="BC182" t="str">
            <v>F18</v>
          </cell>
        </row>
        <row r="183">
          <cell r="A183" t="str">
            <v>515C2</v>
          </cell>
          <cell r="B183" t="str">
            <v>3</v>
          </cell>
          <cell r="C183" t="str">
            <v>05</v>
          </cell>
          <cell r="D183">
            <v>17</v>
          </cell>
          <cell r="E183" t="str">
            <v>515C2</v>
          </cell>
          <cell r="F183">
            <v>12.82</v>
          </cell>
          <cell r="G183">
            <v>10.53</v>
          </cell>
          <cell r="H183">
            <v>10.53</v>
          </cell>
          <cell r="I183" t="str">
            <v>FC</v>
          </cell>
          <cell r="J183" t="str">
            <v>ST</v>
          </cell>
          <cell r="K183">
            <v>14</v>
          </cell>
          <cell r="L183">
            <v>45530</v>
          </cell>
          <cell r="M183">
            <v>45530</v>
          </cell>
          <cell r="N183">
            <v>464</v>
          </cell>
          <cell r="O183" t="str">
            <v>NS</v>
          </cell>
          <cell r="P183" t="str">
            <v>NSF18CK3</v>
          </cell>
          <cell r="Q183">
            <v>45957</v>
          </cell>
          <cell r="R183" t="str">
            <v/>
          </cell>
          <cell r="S183" t="str">
            <v/>
          </cell>
          <cell r="T183">
            <v>45946</v>
          </cell>
          <cell r="U183">
            <v>67404</v>
          </cell>
          <cell r="V183">
            <v>64554</v>
          </cell>
          <cell r="W183">
            <v>43878</v>
          </cell>
          <cell r="X183" t="str">
            <v>Lokasi Produksi 515C2</v>
          </cell>
          <cell r="Z183">
            <v>14</v>
          </cell>
          <cell r="AA183">
            <v>45957</v>
          </cell>
          <cell r="AB183">
            <v>601.59733611111005</v>
          </cell>
          <cell r="AC183">
            <v>20.053244537037003</v>
          </cell>
          <cell r="AD183">
            <v>6.0532445370370027</v>
          </cell>
          <cell r="AE183">
            <v>7.63</v>
          </cell>
          <cell r="AF183">
            <v>0</v>
          </cell>
          <cell r="AG183">
            <v>-1354.6333333333334</v>
          </cell>
          <cell r="AM183" t="str">
            <v>OK</v>
          </cell>
          <cell r="AO183">
            <v>15.478518441358029</v>
          </cell>
          <cell r="AP183">
            <v>1.4785184413580286</v>
          </cell>
          <cell r="AQ183">
            <v>45946</v>
          </cell>
          <cell r="AR183">
            <v>13.866666666666667</v>
          </cell>
          <cell r="AS183">
            <v>1.6118517746913614</v>
          </cell>
          <cell r="AT183">
            <v>45957</v>
          </cell>
          <cell r="AU183">
            <v>1.6118517746913614</v>
          </cell>
          <cell r="AV183">
            <v>416</v>
          </cell>
          <cell r="AW183">
            <v>1.6118517746913614</v>
          </cell>
          <cell r="AY183">
            <v>469.46369178241002</v>
          </cell>
          <cell r="AZ183" t="str">
            <v>F18</v>
          </cell>
          <cell r="BA183">
            <v>10.53</v>
          </cell>
          <cell r="BB183" t="str">
            <v>NSFC</v>
          </cell>
          <cell r="BC183" t="str">
            <v>F18CK</v>
          </cell>
        </row>
        <row r="184">
          <cell r="A184" t="str">
            <v>515C3</v>
          </cell>
          <cell r="B184" t="str">
            <v>3</v>
          </cell>
          <cell r="C184" t="str">
            <v>05</v>
          </cell>
          <cell r="D184">
            <v>17</v>
          </cell>
          <cell r="E184" t="str">
            <v>515C3</v>
          </cell>
          <cell r="F184">
            <v>13.91</v>
          </cell>
          <cell r="G184">
            <v>11.47</v>
          </cell>
          <cell r="H184">
            <v>11.47</v>
          </cell>
          <cell r="I184" t="str">
            <v>FC</v>
          </cell>
          <cell r="J184" t="str">
            <v>ST</v>
          </cell>
          <cell r="K184">
            <v>14</v>
          </cell>
          <cell r="L184">
            <v>45530</v>
          </cell>
          <cell r="M184">
            <v>45530</v>
          </cell>
          <cell r="N184">
            <v>464</v>
          </cell>
          <cell r="O184" t="str">
            <v>NS</v>
          </cell>
          <cell r="P184" t="str">
            <v>NSF18CK3</v>
          </cell>
          <cell r="Q184">
            <v>45957</v>
          </cell>
          <cell r="R184" t="str">
            <v/>
          </cell>
          <cell r="S184" t="str">
            <v/>
          </cell>
          <cell r="T184">
            <v>45947</v>
          </cell>
          <cell r="U184">
            <v>66465</v>
          </cell>
          <cell r="V184">
            <v>63616</v>
          </cell>
          <cell r="W184">
            <v>43878</v>
          </cell>
          <cell r="X184" t="str">
            <v>Lokasi Produksi 515C3</v>
          </cell>
          <cell r="Z184">
            <v>14</v>
          </cell>
          <cell r="AA184">
            <v>45957</v>
          </cell>
          <cell r="AB184">
            <v>5473.5973361111101</v>
          </cell>
          <cell r="AC184">
            <v>182.45324453703699</v>
          </cell>
          <cell r="AD184">
            <v>-20</v>
          </cell>
          <cell r="AE184">
            <v>0</v>
          </cell>
          <cell r="AF184">
            <v>0</v>
          </cell>
          <cell r="AG184">
            <v>-1192.2333333333333</v>
          </cell>
          <cell r="AM184" t="str">
            <v>OK</v>
          </cell>
          <cell r="AO184">
            <v>15.478518441358029</v>
          </cell>
          <cell r="AP184">
            <v>1.4785184413580286</v>
          </cell>
          <cell r="AQ184">
            <v>45947</v>
          </cell>
          <cell r="AR184">
            <v>13.9</v>
          </cell>
          <cell r="AS184">
            <v>1.5785184413580282</v>
          </cell>
          <cell r="AT184">
            <v>45957</v>
          </cell>
          <cell r="AU184">
            <v>1.5785184413580282</v>
          </cell>
          <cell r="AV184">
            <v>417</v>
          </cell>
          <cell r="AW184">
            <v>1.5785184413580282</v>
          </cell>
          <cell r="AY184">
            <v>469.46369178241002</v>
          </cell>
          <cell r="AZ184" t="str">
            <v>F18</v>
          </cell>
          <cell r="BA184">
            <v>11.47</v>
          </cell>
          <cell r="BB184" t="str">
            <v>NSFC</v>
          </cell>
          <cell r="BC184" t="str">
            <v>F18CK</v>
          </cell>
        </row>
        <row r="185">
          <cell r="A185" t="str">
            <v>515CS</v>
          </cell>
          <cell r="B185" t="str">
            <v>3</v>
          </cell>
          <cell r="C185" t="str">
            <v>05</v>
          </cell>
          <cell r="D185">
            <v>17</v>
          </cell>
          <cell r="E185" t="str">
            <v>515CS</v>
          </cell>
          <cell r="F185">
            <v>3.49</v>
          </cell>
          <cell r="G185">
            <v>3.23</v>
          </cell>
          <cell r="H185">
            <v>3.23</v>
          </cell>
          <cell r="I185" t="str">
            <v>FC</v>
          </cell>
          <cell r="J185" t="str">
            <v>ST</v>
          </cell>
          <cell r="K185">
            <v>0</v>
          </cell>
          <cell r="L185">
            <v>45967</v>
          </cell>
          <cell r="M185">
            <v>45967</v>
          </cell>
          <cell r="N185">
            <v>27</v>
          </cell>
          <cell r="O185" t="str">
            <v>SK</v>
          </cell>
          <cell r="P185" t="str">
            <v/>
          </cell>
          <cell r="Q185">
            <v>45967</v>
          </cell>
          <cell r="R185" t="str">
            <v/>
          </cell>
          <cell r="S185" t="str">
            <v/>
          </cell>
          <cell r="T185" t="str">
            <v/>
          </cell>
          <cell r="U185">
            <v>25766</v>
          </cell>
          <cell r="V185">
            <v>25766</v>
          </cell>
          <cell r="W185" t="str">
            <v/>
          </cell>
          <cell r="X185" t="str">
            <v>Lokasi Produksi 515CS ( singkong )</v>
          </cell>
          <cell r="Z185">
            <v>0</v>
          </cell>
          <cell r="AA185">
            <v>45967</v>
          </cell>
          <cell r="AB185">
            <v>274.59733611111005</v>
          </cell>
          <cell r="AC185">
            <v>9.1532445370370024</v>
          </cell>
          <cell r="AD185">
            <v>1.1532445370370024</v>
          </cell>
          <cell r="AE185">
            <v>11.79</v>
          </cell>
          <cell r="AF185">
            <v>0</v>
          </cell>
          <cell r="AG185">
            <v>-1365.5333333333333</v>
          </cell>
          <cell r="AM185" t="str">
            <v>OK</v>
          </cell>
          <cell r="AO185">
            <v>0.91185177469136158</v>
          </cell>
          <cell r="AP185">
            <v>0.91185177469136158</v>
          </cell>
          <cell r="AQ185">
            <v>0</v>
          </cell>
          <cell r="AR185">
            <v>0.91185177469136158</v>
          </cell>
          <cell r="AS185">
            <v>0</v>
          </cell>
          <cell r="AT185">
            <v>45967</v>
          </cell>
          <cell r="AU185">
            <v>0.91185177469136158</v>
          </cell>
          <cell r="AV185">
            <v>27.355553240740846</v>
          </cell>
          <cell r="AW185">
            <v>0.91185177469136158</v>
          </cell>
          <cell r="AY185">
            <v>32.463691782410024</v>
          </cell>
          <cell r="AZ185" t="str">
            <v>F18</v>
          </cell>
          <cell r="BA185">
            <v>0</v>
          </cell>
          <cell r="BB185" t="str">
            <v>SKFC</v>
          </cell>
          <cell r="BC185" t="str">
            <v>F18</v>
          </cell>
        </row>
        <row r="186">
          <cell r="A186" t="str">
            <v>515E1</v>
          </cell>
          <cell r="B186" t="str">
            <v>3</v>
          </cell>
          <cell r="C186" t="str">
            <v>05</v>
          </cell>
          <cell r="D186">
            <v>17</v>
          </cell>
          <cell r="E186" t="str">
            <v>515E1</v>
          </cell>
          <cell r="F186">
            <v>12.1</v>
          </cell>
          <cell r="G186">
            <v>9.5500000000000007</v>
          </cell>
          <cell r="H186">
            <v>9.5500000000000007</v>
          </cell>
          <cell r="I186" t="str">
            <v>BK</v>
          </cell>
          <cell r="J186" t="str">
            <v>SC</v>
          </cell>
          <cell r="K186">
            <v>0</v>
          </cell>
          <cell r="L186">
            <v>45972</v>
          </cell>
          <cell r="M186">
            <v>45972</v>
          </cell>
          <cell r="N186">
            <v>22</v>
          </cell>
          <cell r="O186" t="str">
            <v>NS</v>
          </cell>
          <cell r="P186" t="str">
            <v/>
          </cell>
          <cell r="Q186">
            <v>45972</v>
          </cell>
          <cell r="R186" t="str">
            <v/>
          </cell>
          <cell r="S186" t="str">
            <v/>
          </cell>
          <cell r="T186" t="str">
            <v/>
          </cell>
          <cell r="U186">
            <v>69877</v>
          </cell>
          <cell r="V186">
            <v>51503</v>
          </cell>
          <cell r="W186">
            <v>45058</v>
          </cell>
          <cell r="X186" t="str">
            <v>Lokasi Produksi ( pecahan 515E )</v>
          </cell>
          <cell r="Z186">
            <v>0</v>
          </cell>
          <cell r="AA186">
            <v>45972</v>
          </cell>
          <cell r="AB186">
            <v>630.59733611111005</v>
          </cell>
          <cell r="AC186">
            <v>21.019911203703668</v>
          </cell>
          <cell r="AD186">
            <v>7.0199112037036677</v>
          </cell>
          <cell r="AE186">
            <v>19.29</v>
          </cell>
          <cell r="AF186">
            <v>0</v>
          </cell>
          <cell r="AG186">
            <v>-1353.6666666666667</v>
          </cell>
          <cell r="AM186" t="str">
            <v>OK</v>
          </cell>
          <cell r="AO186">
            <v>0.74518510802469484</v>
          </cell>
          <cell r="AP186">
            <v>0.74518510802469484</v>
          </cell>
          <cell r="AQ186">
            <v>0</v>
          </cell>
          <cell r="AR186">
            <v>0.74518510802469484</v>
          </cell>
          <cell r="AS186">
            <v>0</v>
          </cell>
          <cell r="AT186">
            <v>45972</v>
          </cell>
          <cell r="AU186">
            <v>0.74518510802469484</v>
          </cell>
          <cell r="AV186">
            <v>22.355553240740846</v>
          </cell>
          <cell r="AW186">
            <v>0.74518510802469484</v>
          </cell>
          <cell r="AY186">
            <v>27.463691782410024</v>
          </cell>
          <cell r="AZ186" t="str">
            <v>F18</v>
          </cell>
          <cell r="BA186">
            <v>0</v>
          </cell>
          <cell r="BB186" t="str">
            <v>NSBK</v>
          </cell>
          <cell r="BC186" t="str">
            <v>F18</v>
          </cell>
        </row>
        <row r="187">
          <cell r="A187" t="str">
            <v>515E2</v>
          </cell>
          <cell r="B187" t="str">
            <v>3</v>
          </cell>
          <cell r="C187" t="str">
            <v>05</v>
          </cell>
          <cell r="D187">
            <v>17</v>
          </cell>
          <cell r="E187" t="str">
            <v>515E2</v>
          </cell>
          <cell r="F187">
            <v>16</v>
          </cell>
          <cell r="G187">
            <v>12.57</v>
          </cell>
          <cell r="H187">
            <v>12.57</v>
          </cell>
          <cell r="I187" t="str">
            <v>BK</v>
          </cell>
          <cell r="J187" t="str">
            <v>SC</v>
          </cell>
          <cell r="K187">
            <v>0</v>
          </cell>
          <cell r="L187">
            <v>45987</v>
          </cell>
          <cell r="M187">
            <v>45987</v>
          </cell>
          <cell r="N187">
            <v>7</v>
          </cell>
          <cell r="O187" t="str">
            <v>NS</v>
          </cell>
          <cell r="P187" t="str">
            <v/>
          </cell>
          <cell r="Q187">
            <v>45987</v>
          </cell>
          <cell r="R187" t="str">
            <v/>
          </cell>
          <cell r="S187" t="str">
            <v/>
          </cell>
          <cell r="T187" t="str">
            <v/>
          </cell>
          <cell r="U187">
            <v>70526</v>
          </cell>
          <cell r="V187">
            <v>48276</v>
          </cell>
          <cell r="W187">
            <v>44944</v>
          </cell>
          <cell r="X187" t="str">
            <v>Lokasi Produksi ( pecahan 515E )</v>
          </cell>
          <cell r="Z187">
            <v>0</v>
          </cell>
          <cell r="AA187">
            <v>45987</v>
          </cell>
          <cell r="AB187">
            <v>110.59733611111005</v>
          </cell>
          <cell r="AC187">
            <v>3.6865778703703351</v>
          </cell>
          <cell r="AD187">
            <v>-20</v>
          </cell>
          <cell r="AE187">
            <v>0</v>
          </cell>
          <cell r="AF187">
            <v>0</v>
          </cell>
          <cell r="AG187">
            <v>-1371</v>
          </cell>
          <cell r="AM187" t="str">
            <v>OK</v>
          </cell>
          <cell r="AO187">
            <v>0.24518510802469487</v>
          </cell>
          <cell r="AP187">
            <v>0.24518510802469487</v>
          </cell>
          <cell r="AQ187">
            <v>0</v>
          </cell>
          <cell r="AR187">
            <v>0.24518510802469487</v>
          </cell>
          <cell r="AS187">
            <v>0</v>
          </cell>
          <cell r="AT187">
            <v>45987</v>
          </cell>
          <cell r="AU187">
            <v>0.24518510802469487</v>
          </cell>
          <cell r="AV187">
            <v>7.3555532407408464</v>
          </cell>
          <cell r="AW187">
            <v>0.24518510802469487</v>
          </cell>
          <cell r="AY187">
            <v>12.463691782410024</v>
          </cell>
          <cell r="AZ187" t="str">
            <v>F18</v>
          </cell>
          <cell r="BA187">
            <v>0</v>
          </cell>
          <cell r="BB187" t="str">
            <v>NSBK</v>
          </cell>
          <cell r="BC187" t="str">
            <v>F18</v>
          </cell>
        </row>
        <row r="188">
          <cell r="A188" t="str">
            <v>515F1</v>
          </cell>
          <cell r="B188" t="str">
            <v>3</v>
          </cell>
          <cell r="C188" t="str">
            <v>05</v>
          </cell>
          <cell r="D188">
            <v>17</v>
          </cell>
          <cell r="E188" t="str">
            <v>515F1</v>
          </cell>
          <cell r="F188">
            <v>7.13</v>
          </cell>
          <cell r="G188">
            <v>6.04</v>
          </cell>
          <cell r="H188">
            <v>6.04</v>
          </cell>
          <cell r="I188" t="str">
            <v>FC</v>
          </cell>
          <cell r="J188" t="str">
            <v>ST</v>
          </cell>
          <cell r="K188">
            <v>14</v>
          </cell>
          <cell r="L188">
            <v>45721</v>
          </cell>
          <cell r="M188">
            <v>45721</v>
          </cell>
          <cell r="N188">
            <v>273</v>
          </cell>
          <cell r="O188" t="str">
            <v>NS</v>
          </cell>
          <cell r="P188" t="str">
            <v>NSF18CK3</v>
          </cell>
          <cell r="Q188">
            <v>46148</v>
          </cell>
          <cell r="R188" t="str">
            <v/>
          </cell>
          <cell r="S188" t="str">
            <v/>
          </cell>
          <cell r="T188" t="str">
            <v/>
          </cell>
          <cell r="U188">
            <v>66068</v>
          </cell>
          <cell r="V188">
            <v>69072</v>
          </cell>
          <cell r="W188">
            <v>44555</v>
          </cell>
          <cell r="X188" t="str">
            <v>Lokasi Produksi 515F1 ( pecahan 515F )</v>
          </cell>
          <cell r="Z188">
            <v>14</v>
          </cell>
          <cell r="AA188">
            <v>46148</v>
          </cell>
          <cell r="AB188">
            <v>77.597336111110053</v>
          </cell>
          <cell r="AC188">
            <v>2.586577870370335</v>
          </cell>
          <cell r="AD188">
            <v>-20</v>
          </cell>
          <cell r="AE188">
            <v>0</v>
          </cell>
          <cell r="AF188">
            <v>0</v>
          </cell>
          <cell r="AG188">
            <v>-1372.1</v>
          </cell>
          <cell r="AM188" t="str">
            <v>OK</v>
          </cell>
          <cell r="AO188">
            <v>9.1118517746913614</v>
          </cell>
          <cell r="AP188">
            <v>-4.8881482253086386</v>
          </cell>
          <cell r="AQ188">
            <v>0</v>
          </cell>
          <cell r="AR188">
            <v>9.1118517746913614</v>
          </cell>
          <cell r="AS188">
            <v>0</v>
          </cell>
          <cell r="AT188">
            <v>46148</v>
          </cell>
          <cell r="AU188">
            <v>-4.8881482253086386</v>
          </cell>
          <cell r="AV188">
            <v>273.35555324074085</v>
          </cell>
          <cell r="AW188">
            <v>-4.8881482253086386</v>
          </cell>
          <cell r="AY188">
            <v>278.46369178241002</v>
          </cell>
          <cell r="AZ188" t="str">
            <v>F18</v>
          </cell>
          <cell r="BA188">
            <v>6.04</v>
          </cell>
          <cell r="BB188" t="str">
            <v>NSFC</v>
          </cell>
          <cell r="BC188" t="str">
            <v>F18CK</v>
          </cell>
        </row>
        <row r="189">
          <cell r="A189" t="str">
            <v>515F2</v>
          </cell>
          <cell r="B189" t="str">
            <v>3</v>
          </cell>
          <cell r="C189" t="str">
            <v>05</v>
          </cell>
          <cell r="D189">
            <v>17</v>
          </cell>
          <cell r="E189" t="str">
            <v>515F2</v>
          </cell>
          <cell r="F189">
            <v>8.57</v>
          </cell>
          <cell r="G189">
            <v>6.69</v>
          </cell>
          <cell r="H189">
            <v>6.69</v>
          </cell>
          <cell r="I189" t="str">
            <v>BK</v>
          </cell>
          <cell r="J189" t="str">
            <v>SC</v>
          </cell>
          <cell r="K189">
            <v>0</v>
          </cell>
          <cell r="L189">
            <v>45987</v>
          </cell>
          <cell r="M189">
            <v>45987</v>
          </cell>
          <cell r="N189">
            <v>7</v>
          </cell>
          <cell r="O189" t="str">
            <v>NS</v>
          </cell>
          <cell r="P189" t="str">
            <v/>
          </cell>
          <cell r="Q189">
            <v>45987</v>
          </cell>
          <cell r="R189" t="str">
            <v/>
          </cell>
          <cell r="S189" t="str">
            <v/>
          </cell>
          <cell r="T189" t="str">
            <v/>
          </cell>
          <cell r="U189">
            <v>72488</v>
          </cell>
          <cell r="V189">
            <v>50995</v>
          </cell>
          <cell r="W189">
            <v>44944</v>
          </cell>
          <cell r="X189" t="str">
            <v>Lokasi Produksi 515F2 ( pecahan 515F )</v>
          </cell>
          <cell r="Z189">
            <v>0</v>
          </cell>
          <cell r="AA189">
            <v>45987</v>
          </cell>
          <cell r="AB189">
            <v>5443.5973361111101</v>
          </cell>
          <cell r="AC189">
            <v>181.45324453703699</v>
          </cell>
          <cell r="AD189">
            <v>-20</v>
          </cell>
          <cell r="AE189">
            <v>0</v>
          </cell>
          <cell r="AF189">
            <v>0</v>
          </cell>
          <cell r="AG189">
            <v>-1193.2333333333333</v>
          </cell>
          <cell r="AM189" t="str">
            <v>OK</v>
          </cell>
          <cell r="AO189">
            <v>0.24518510802469487</v>
          </cell>
          <cell r="AP189">
            <v>0.24518510802469487</v>
          </cell>
          <cell r="AQ189">
            <v>0</v>
          </cell>
          <cell r="AR189">
            <v>0.24518510802469487</v>
          </cell>
          <cell r="AS189">
            <v>0</v>
          </cell>
          <cell r="AT189">
            <v>45987</v>
          </cell>
          <cell r="AU189">
            <v>0.24518510802469487</v>
          </cell>
          <cell r="AV189">
            <v>7.3555532407408464</v>
          </cell>
          <cell r="AW189">
            <v>0.24518510802469487</v>
          </cell>
          <cell r="AY189">
            <v>12.463691782410024</v>
          </cell>
          <cell r="AZ189" t="str">
            <v>F18</v>
          </cell>
          <cell r="BA189">
            <v>0</v>
          </cell>
          <cell r="BB189" t="str">
            <v>NSBK</v>
          </cell>
          <cell r="BC189" t="str">
            <v>F18</v>
          </cell>
        </row>
        <row r="190">
          <cell r="A190" t="str">
            <v>516A</v>
          </cell>
          <cell r="B190" t="str">
            <v>3</v>
          </cell>
          <cell r="C190" t="str">
            <v>05</v>
          </cell>
          <cell r="D190">
            <v>17</v>
          </cell>
          <cell r="E190" t="str">
            <v>516A</v>
          </cell>
          <cell r="F190">
            <v>9.5500000000000007</v>
          </cell>
          <cell r="G190">
            <v>7.38</v>
          </cell>
          <cell r="H190">
            <v>7.38</v>
          </cell>
          <cell r="I190" t="str">
            <v>BB</v>
          </cell>
          <cell r="J190" t="str">
            <v>FC</v>
          </cell>
          <cell r="K190">
            <v>0</v>
          </cell>
          <cell r="L190">
            <v>45915</v>
          </cell>
          <cell r="M190">
            <v>45915</v>
          </cell>
          <cell r="N190">
            <v>79</v>
          </cell>
          <cell r="O190" t="str">
            <v>NS</v>
          </cell>
          <cell r="P190" t="str">
            <v/>
          </cell>
          <cell r="Q190">
            <v>45915</v>
          </cell>
          <cell r="R190" t="str">
            <v/>
          </cell>
          <cell r="S190" t="str">
            <v/>
          </cell>
          <cell r="T190" t="str">
            <v/>
          </cell>
          <cell r="U190">
            <v>62073</v>
          </cell>
          <cell r="V190">
            <v>65603</v>
          </cell>
          <cell r="W190" t="str">
            <v/>
          </cell>
          <cell r="X190" t="str">
            <v>Lokasi Produksi 516A</v>
          </cell>
          <cell r="Z190">
            <v>0</v>
          </cell>
          <cell r="AA190">
            <v>45915</v>
          </cell>
          <cell r="AB190">
            <v>242.59733611111005</v>
          </cell>
          <cell r="AC190">
            <v>8.0865778703703359</v>
          </cell>
          <cell r="AD190">
            <v>8.657787037033593E-2</v>
          </cell>
          <cell r="AE190">
            <v>18.95</v>
          </cell>
          <cell r="AF190">
            <v>0</v>
          </cell>
          <cell r="AG190">
            <v>-1366.6</v>
          </cell>
          <cell r="AK190">
            <v>40360</v>
          </cell>
          <cell r="AM190" t="str">
            <v>OK</v>
          </cell>
          <cell r="AO190">
            <v>2.6451851080246951</v>
          </cell>
          <cell r="AP190">
            <v>2.6451851080246951</v>
          </cell>
          <cell r="AQ190">
            <v>0</v>
          </cell>
          <cell r="AR190">
            <v>2.6451851080246951</v>
          </cell>
          <cell r="AS190">
            <v>0</v>
          </cell>
          <cell r="AT190">
            <v>45915</v>
          </cell>
          <cell r="AU190">
            <v>2.6451851080246951</v>
          </cell>
          <cell r="AV190">
            <v>79.355553240740846</v>
          </cell>
          <cell r="AW190">
            <v>2.6451851080246951</v>
          </cell>
          <cell r="AY190">
            <v>84.463691782410024</v>
          </cell>
          <cell r="AZ190" t="str">
            <v>F18</v>
          </cell>
          <cell r="BA190">
            <v>0</v>
          </cell>
          <cell r="BB190" t="str">
            <v>NSBB</v>
          </cell>
          <cell r="BC190" t="str">
            <v>F18</v>
          </cell>
        </row>
        <row r="191">
          <cell r="A191" t="str">
            <v>516AS</v>
          </cell>
          <cell r="B191" t="str">
            <v>3</v>
          </cell>
          <cell r="C191" t="str">
            <v>05</v>
          </cell>
          <cell r="D191">
            <v>17</v>
          </cell>
          <cell r="E191" t="str">
            <v>516AS</v>
          </cell>
          <cell r="F191">
            <v>3.24</v>
          </cell>
          <cell r="G191">
            <v>2.93</v>
          </cell>
          <cell r="H191">
            <v>3.12</v>
          </cell>
          <cell r="I191" t="str">
            <v>FC</v>
          </cell>
          <cell r="J191" t="str">
            <v>ST</v>
          </cell>
          <cell r="K191">
            <v>0</v>
          </cell>
          <cell r="L191">
            <v>45740</v>
          </cell>
          <cell r="M191">
            <v>45740</v>
          </cell>
          <cell r="N191">
            <v>254</v>
          </cell>
          <cell r="O191" t="str">
            <v>SK</v>
          </cell>
          <cell r="P191" t="str">
            <v/>
          </cell>
          <cell r="Q191">
            <v>45740</v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>Lokasi Produksi 516AS ( Singkong )</v>
          </cell>
          <cell r="Z191">
            <v>0</v>
          </cell>
          <cell r="AA191">
            <v>45740</v>
          </cell>
          <cell r="AB191">
            <v>50.597336111110053</v>
          </cell>
          <cell r="AC191">
            <v>1.6865778703703351</v>
          </cell>
          <cell r="AD191">
            <v>-20</v>
          </cell>
          <cell r="AE191">
            <v>0</v>
          </cell>
          <cell r="AF191">
            <v>0</v>
          </cell>
          <cell r="AG191">
            <v>-1373</v>
          </cell>
          <cell r="AM191" t="str">
            <v>OK</v>
          </cell>
          <cell r="AO191">
            <v>8.4785184413580286</v>
          </cell>
          <cell r="AP191">
            <v>8.4785184413580286</v>
          </cell>
          <cell r="AQ191">
            <v>0</v>
          </cell>
          <cell r="AR191">
            <v>8.4785184413580286</v>
          </cell>
          <cell r="AS191">
            <v>0</v>
          </cell>
          <cell r="AT191">
            <v>45740</v>
          </cell>
          <cell r="AU191">
            <v>8.4785184413580286</v>
          </cell>
          <cell r="AV191">
            <v>254.35555324074085</v>
          </cell>
          <cell r="AW191">
            <v>8.4785184413580286</v>
          </cell>
          <cell r="AY191">
            <v>259.46369178241002</v>
          </cell>
          <cell r="AZ191" t="str">
            <v>F18</v>
          </cell>
          <cell r="BA191">
            <v>0</v>
          </cell>
          <cell r="BB191" t="str">
            <v>SKFC</v>
          </cell>
          <cell r="BC191" t="str">
            <v>F18</v>
          </cell>
        </row>
        <row r="192">
          <cell r="A192" t="str">
            <v>516AS1</v>
          </cell>
          <cell r="B192" t="str">
            <v>3</v>
          </cell>
          <cell r="C192" t="str">
            <v>05</v>
          </cell>
          <cell r="D192">
            <v>17</v>
          </cell>
          <cell r="E192" t="str">
            <v>516AS1</v>
          </cell>
          <cell r="F192">
            <v>0.39</v>
          </cell>
          <cell r="G192">
            <v>0.24</v>
          </cell>
          <cell r="H192">
            <v>0.24</v>
          </cell>
          <cell r="I192" t="str">
            <v>FC</v>
          </cell>
          <cell r="J192" t="str">
            <v>ST</v>
          </cell>
          <cell r="K192">
            <v>0</v>
          </cell>
          <cell r="L192">
            <v>45968</v>
          </cell>
          <cell r="M192">
            <v>45968</v>
          </cell>
          <cell r="N192">
            <v>26</v>
          </cell>
          <cell r="O192" t="str">
            <v>SK</v>
          </cell>
          <cell r="P192" t="str">
            <v/>
          </cell>
          <cell r="Q192">
            <v>45968</v>
          </cell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>Lokasi Produksi 516AS1 ( singkong )</v>
          </cell>
          <cell r="Z192">
            <v>0</v>
          </cell>
          <cell r="AA192">
            <v>45968</v>
          </cell>
          <cell r="AB192">
            <v>463.59733611111005</v>
          </cell>
          <cell r="AC192">
            <v>15.453244537037001</v>
          </cell>
          <cell r="AD192">
            <v>3.4532445370370013</v>
          </cell>
          <cell r="AE192">
            <v>5.55</v>
          </cell>
          <cell r="AF192">
            <v>0</v>
          </cell>
          <cell r="AG192">
            <v>-1359.2333333333333</v>
          </cell>
          <cell r="AM192" t="str">
            <v>OK</v>
          </cell>
          <cell r="AO192">
            <v>0.87851844135802826</v>
          </cell>
          <cell r="AP192">
            <v>0.87851844135802826</v>
          </cell>
          <cell r="AQ192">
            <v>0</v>
          </cell>
          <cell r="AR192">
            <v>0.87851844135802826</v>
          </cell>
          <cell r="AS192">
            <v>0</v>
          </cell>
          <cell r="AT192">
            <v>45968</v>
          </cell>
          <cell r="AU192">
            <v>0.87851844135802826</v>
          </cell>
          <cell r="AV192">
            <v>26.355553240740846</v>
          </cell>
          <cell r="AW192">
            <v>0.87851844135802826</v>
          </cell>
          <cell r="AY192">
            <v>31.463691782410024</v>
          </cell>
          <cell r="AZ192" t="str">
            <v>F18</v>
          </cell>
          <cell r="BA192">
            <v>0</v>
          </cell>
          <cell r="BB192" t="str">
            <v>SKFC</v>
          </cell>
          <cell r="BC192" t="str">
            <v>F18</v>
          </cell>
        </row>
        <row r="193">
          <cell r="A193" t="str">
            <v>516B</v>
          </cell>
          <cell r="B193" t="str">
            <v>3</v>
          </cell>
          <cell r="C193" t="str">
            <v>05</v>
          </cell>
          <cell r="D193">
            <v>17</v>
          </cell>
          <cell r="E193" t="str">
            <v>516B</v>
          </cell>
          <cell r="F193">
            <v>17.829999999999998</v>
          </cell>
          <cell r="G193">
            <v>14.65</v>
          </cell>
          <cell r="H193">
            <v>14.65</v>
          </cell>
          <cell r="I193" t="str">
            <v>BB</v>
          </cell>
          <cell r="J193" t="str">
            <v>FC</v>
          </cell>
          <cell r="K193">
            <v>0</v>
          </cell>
          <cell r="L193">
            <v>45881</v>
          </cell>
          <cell r="M193">
            <v>45881</v>
          </cell>
          <cell r="N193">
            <v>113</v>
          </cell>
          <cell r="O193" t="str">
            <v>NS</v>
          </cell>
          <cell r="P193" t="str">
            <v/>
          </cell>
          <cell r="Q193">
            <v>45881</v>
          </cell>
          <cell r="R193" t="str">
            <v/>
          </cell>
          <cell r="S193" t="str">
            <v/>
          </cell>
          <cell r="T193" t="str">
            <v/>
          </cell>
          <cell r="U193">
            <v>68962</v>
          </cell>
          <cell r="V193">
            <v>67732</v>
          </cell>
          <cell r="W193">
            <v>43828</v>
          </cell>
          <cell r="X193" t="str">
            <v>Lokasi Produksi 516B</v>
          </cell>
          <cell r="Z193">
            <v>0</v>
          </cell>
          <cell r="AA193">
            <v>45881</v>
          </cell>
          <cell r="AB193">
            <v>687.59733611111005</v>
          </cell>
          <cell r="AC193">
            <v>22.91991120370367</v>
          </cell>
          <cell r="AD193">
            <v>6.9199112037036699</v>
          </cell>
          <cell r="AE193">
            <v>14.15</v>
          </cell>
          <cell r="AF193">
            <v>0</v>
          </cell>
          <cell r="AG193">
            <v>-1351.7666666666667</v>
          </cell>
          <cell r="AM193" t="str">
            <v>OK</v>
          </cell>
          <cell r="AO193">
            <v>3.7785184413580284</v>
          </cell>
          <cell r="AP193">
            <v>3.7785184413580284</v>
          </cell>
          <cell r="AQ193">
            <v>0</v>
          </cell>
          <cell r="AR193">
            <v>3.7785184413580284</v>
          </cell>
          <cell r="AS193">
            <v>0</v>
          </cell>
          <cell r="AT193">
            <v>45881</v>
          </cell>
          <cell r="AU193">
            <v>3.7785184413580284</v>
          </cell>
          <cell r="AV193">
            <v>113.35555324074085</v>
          </cell>
          <cell r="AW193">
            <v>3.7785184413580284</v>
          </cell>
          <cell r="AY193">
            <v>118.46369178241002</v>
          </cell>
          <cell r="AZ193" t="str">
            <v>F18</v>
          </cell>
          <cell r="BA193">
            <v>0</v>
          </cell>
          <cell r="BB193" t="str">
            <v>NSBB</v>
          </cell>
          <cell r="BC193" t="str">
            <v>F18</v>
          </cell>
        </row>
        <row r="194">
          <cell r="A194" t="str">
            <v>516C1</v>
          </cell>
          <cell r="B194" t="str">
            <v>3</v>
          </cell>
          <cell r="C194" t="str">
            <v>05</v>
          </cell>
          <cell r="D194">
            <v>17</v>
          </cell>
          <cell r="E194" t="str">
            <v>516C1</v>
          </cell>
          <cell r="F194">
            <v>10.6</v>
          </cell>
          <cell r="G194">
            <v>8.9499999999999993</v>
          </cell>
          <cell r="H194">
            <v>8.9499999999999993</v>
          </cell>
          <cell r="I194" t="str">
            <v>ST</v>
          </cell>
          <cell r="J194" t="str">
            <v>BK</v>
          </cell>
          <cell r="K194">
            <v>0</v>
          </cell>
          <cell r="L194">
            <v>45962</v>
          </cell>
          <cell r="M194">
            <v>45962</v>
          </cell>
          <cell r="N194">
            <v>32</v>
          </cell>
          <cell r="O194" t="str">
            <v>NS</v>
          </cell>
          <cell r="P194" t="str">
            <v/>
          </cell>
          <cell r="Q194">
            <v>45962</v>
          </cell>
          <cell r="R194" t="str">
            <v/>
          </cell>
          <cell r="S194" t="str">
            <v/>
          </cell>
          <cell r="T194" t="str">
            <v/>
          </cell>
          <cell r="U194">
            <v>72024</v>
          </cell>
          <cell r="V194">
            <v>50318</v>
          </cell>
          <cell r="W194">
            <v>43451</v>
          </cell>
          <cell r="X194" t="str">
            <v>Lokasi Produksi 516C1 ( pecahan 516C )</v>
          </cell>
          <cell r="Z194">
            <v>0</v>
          </cell>
          <cell r="AA194">
            <v>45962</v>
          </cell>
          <cell r="AB194">
            <v>673.59733611111005</v>
          </cell>
          <cell r="AC194">
            <v>22.453244537037001</v>
          </cell>
          <cell r="AD194">
            <v>4.4532445370370013</v>
          </cell>
          <cell r="AE194">
            <v>9.74</v>
          </cell>
          <cell r="AF194">
            <v>0</v>
          </cell>
          <cell r="AG194">
            <v>-1352.2333333333333</v>
          </cell>
          <cell r="AK194">
            <v>40310</v>
          </cell>
          <cell r="AM194" t="str">
            <v>OK</v>
          </cell>
          <cell r="AO194">
            <v>1.0785184413580282</v>
          </cell>
          <cell r="AP194">
            <v>1.0785184413580282</v>
          </cell>
          <cell r="AQ194">
            <v>0</v>
          </cell>
          <cell r="AR194">
            <v>1.0785184413580282</v>
          </cell>
          <cell r="AS194">
            <v>0</v>
          </cell>
          <cell r="AT194">
            <v>45962</v>
          </cell>
          <cell r="AU194">
            <v>1.0785184413580282</v>
          </cell>
          <cell r="AV194">
            <v>32.355553240740846</v>
          </cell>
          <cell r="AW194">
            <v>1.0785184413580282</v>
          </cell>
          <cell r="AY194">
            <v>37.463691782410024</v>
          </cell>
          <cell r="AZ194" t="str">
            <v>F18</v>
          </cell>
          <cell r="BA194">
            <v>0</v>
          </cell>
          <cell r="BB194" t="str">
            <v>NSST</v>
          </cell>
          <cell r="BC194" t="str">
            <v>F18</v>
          </cell>
        </row>
        <row r="195">
          <cell r="A195" t="str">
            <v>516C2</v>
          </cell>
          <cell r="B195" t="str">
            <v>3</v>
          </cell>
          <cell r="C195" t="str">
            <v>05</v>
          </cell>
          <cell r="D195">
            <v>17</v>
          </cell>
          <cell r="E195" t="str">
            <v>516C2</v>
          </cell>
          <cell r="F195">
            <v>8.69</v>
          </cell>
          <cell r="G195">
            <v>6.9</v>
          </cell>
          <cell r="H195">
            <v>6.9</v>
          </cell>
          <cell r="I195" t="str">
            <v>BK</v>
          </cell>
          <cell r="J195" t="str">
            <v>BB</v>
          </cell>
          <cell r="K195">
            <v>0</v>
          </cell>
          <cell r="L195">
            <v>45959</v>
          </cell>
          <cell r="M195">
            <v>45959</v>
          </cell>
          <cell r="N195">
            <v>35</v>
          </cell>
          <cell r="O195" t="str">
            <v>NS</v>
          </cell>
          <cell r="P195" t="str">
            <v/>
          </cell>
          <cell r="Q195">
            <v>45959</v>
          </cell>
          <cell r="R195" t="str">
            <v/>
          </cell>
          <cell r="S195" t="str">
            <v/>
          </cell>
          <cell r="T195" t="str">
            <v/>
          </cell>
          <cell r="U195">
            <v>71605</v>
          </cell>
          <cell r="V195">
            <v>72603</v>
          </cell>
          <cell r="W195">
            <v>43451</v>
          </cell>
          <cell r="X195" t="str">
            <v>Lokasi Produksi 516C2 ( pecahan 516C )</v>
          </cell>
          <cell r="Z195">
            <v>0</v>
          </cell>
          <cell r="AA195">
            <v>45959</v>
          </cell>
          <cell r="AB195">
            <v>577.59733611111005</v>
          </cell>
          <cell r="AC195">
            <v>19.253244537037002</v>
          </cell>
          <cell r="AD195">
            <v>5.253244537037002</v>
          </cell>
          <cell r="AE195">
            <v>21.39</v>
          </cell>
          <cell r="AF195">
            <v>0</v>
          </cell>
          <cell r="AG195">
            <v>-1355.4333333333334</v>
          </cell>
          <cell r="AK195">
            <v>40301</v>
          </cell>
          <cell r="AM195" t="str">
            <v>OK</v>
          </cell>
          <cell r="AO195">
            <v>1.1785184413580283</v>
          </cell>
          <cell r="AP195">
            <v>1.1785184413580283</v>
          </cell>
          <cell r="AQ195">
            <v>0</v>
          </cell>
          <cell r="AR195">
            <v>1.1785184413580283</v>
          </cell>
          <cell r="AS195">
            <v>0</v>
          </cell>
          <cell r="AT195">
            <v>45959</v>
          </cell>
          <cell r="AU195">
            <v>1.1785184413580283</v>
          </cell>
          <cell r="AV195">
            <v>35.355553240740846</v>
          </cell>
          <cell r="AW195">
            <v>1.1785184413580283</v>
          </cell>
          <cell r="AY195">
            <v>40.463691782410024</v>
          </cell>
          <cell r="AZ195" t="str">
            <v>F18</v>
          </cell>
          <cell r="BA195">
            <v>0</v>
          </cell>
          <cell r="BB195" t="str">
            <v>NSBK</v>
          </cell>
          <cell r="BC195" t="str">
            <v>F18</v>
          </cell>
        </row>
        <row r="196">
          <cell r="A196" t="str">
            <v>516CS</v>
          </cell>
          <cell r="B196" t="str">
            <v>3</v>
          </cell>
          <cell r="C196" t="str">
            <v>05</v>
          </cell>
          <cell r="D196">
            <v>17</v>
          </cell>
          <cell r="E196" t="str">
            <v>516CS</v>
          </cell>
          <cell r="F196">
            <v>0.61</v>
          </cell>
          <cell r="G196">
            <v>0.61</v>
          </cell>
          <cell r="H196">
            <v>0.61</v>
          </cell>
          <cell r="I196" t="str">
            <v>FC</v>
          </cell>
          <cell r="J196" t="str">
            <v>ST</v>
          </cell>
          <cell r="K196">
            <v>0</v>
          </cell>
          <cell r="L196">
            <v>45969</v>
          </cell>
          <cell r="M196">
            <v>45969</v>
          </cell>
          <cell r="N196">
            <v>25</v>
          </cell>
          <cell r="O196" t="str">
            <v>SK</v>
          </cell>
          <cell r="P196" t="str">
            <v/>
          </cell>
          <cell r="Q196">
            <v>45969</v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>Lokasi Produksi 516CS ( singkong )</v>
          </cell>
          <cell r="Z196">
            <v>0</v>
          </cell>
          <cell r="AA196">
            <v>45969</v>
          </cell>
          <cell r="AB196">
            <v>353.59733611111005</v>
          </cell>
          <cell r="AC196">
            <v>11.786577870370335</v>
          </cell>
          <cell r="AD196">
            <v>-2.2134221296296648</v>
          </cell>
          <cell r="AE196">
            <v>12.74</v>
          </cell>
          <cell r="AF196">
            <v>0</v>
          </cell>
          <cell r="AG196">
            <v>-1362.9</v>
          </cell>
          <cell r="AM196" t="str">
            <v>OK</v>
          </cell>
          <cell r="AO196">
            <v>0.84518510802469493</v>
          </cell>
          <cell r="AP196">
            <v>0.84518510802469493</v>
          </cell>
          <cell r="AQ196">
            <v>0</v>
          </cell>
          <cell r="AR196">
            <v>0.84518510802469493</v>
          </cell>
          <cell r="AS196">
            <v>0</v>
          </cell>
          <cell r="AT196">
            <v>45969</v>
          </cell>
          <cell r="AU196">
            <v>0.84518510802469493</v>
          </cell>
          <cell r="AV196">
            <v>25.355553240740846</v>
          </cell>
          <cell r="AW196">
            <v>0.84518510802469493</v>
          </cell>
          <cell r="AY196">
            <v>30.463691782410024</v>
          </cell>
          <cell r="AZ196" t="str">
            <v>F18</v>
          </cell>
          <cell r="BA196">
            <v>0</v>
          </cell>
          <cell r="BB196" t="str">
            <v>SKFC</v>
          </cell>
          <cell r="BC196" t="str">
            <v>F18</v>
          </cell>
        </row>
        <row r="197">
          <cell r="A197" t="str">
            <v>516D</v>
          </cell>
          <cell r="B197" t="str">
            <v>3</v>
          </cell>
          <cell r="C197" t="str">
            <v>05</v>
          </cell>
          <cell r="D197">
            <v>17</v>
          </cell>
          <cell r="E197" t="str">
            <v>516D</v>
          </cell>
          <cell r="F197">
            <v>9.57</v>
          </cell>
          <cell r="G197">
            <v>8.01</v>
          </cell>
          <cell r="H197">
            <v>8.01</v>
          </cell>
          <cell r="I197" t="str">
            <v>BB</v>
          </cell>
          <cell r="J197" t="str">
            <v>FC</v>
          </cell>
          <cell r="K197">
            <v>0</v>
          </cell>
          <cell r="L197">
            <v>45891</v>
          </cell>
          <cell r="M197">
            <v>45891</v>
          </cell>
          <cell r="N197">
            <v>103</v>
          </cell>
          <cell r="O197" t="str">
            <v>NS</v>
          </cell>
          <cell r="P197" t="str">
            <v/>
          </cell>
          <cell r="Q197">
            <v>45891</v>
          </cell>
          <cell r="R197" t="str">
            <v/>
          </cell>
          <cell r="S197" t="str">
            <v/>
          </cell>
          <cell r="T197" t="str">
            <v/>
          </cell>
          <cell r="U197">
            <v>65398</v>
          </cell>
          <cell r="V197">
            <v>65968</v>
          </cell>
          <cell r="W197" t="str">
            <v/>
          </cell>
          <cell r="X197" t="str">
            <v>Lokasi Produksi 516D</v>
          </cell>
          <cell r="Z197">
            <v>0</v>
          </cell>
          <cell r="AA197">
            <v>45891</v>
          </cell>
          <cell r="AB197">
            <v>5441.5973361111101</v>
          </cell>
          <cell r="AC197">
            <v>181.38657787037033</v>
          </cell>
          <cell r="AD197">
            <v>-20</v>
          </cell>
          <cell r="AE197">
            <v>0</v>
          </cell>
          <cell r="AF197">
            <v>0</v>
          </cell>
          <cell r="AG197">
            <v>-1193.3</v>
          </cell>
          <cell r="AM197" t="str">
            <v>OK</v>
          </cell>
          <cell r="AO197">
            <v>3.4451851080246949</v>
          </cell>
          <cell r="AP197">
            <v>3.4451851080246949</v>
          </cell>
          <cell r="AQ197">
            <v>0</v>
          </cell>
          <cell r="AR197">
            <v>3.4451851080246949</v>
          </cell>
          <cell r="AS197">
            <v>0</v>
          </cell>
          <cell r="AT197">
            <v>45891</v>
          </cell>
          <cell r="AU197">
            <v>3.4451851080246949</v>
          </cell>
          <cell r="AV197">
            <v>103.35555324074085</v>
          </cell>
          <cell r="AW197">
            <v>3.4451851080246949</v>
          </cell>
          <cell r="AY197">
            <v>108.46369178241002</v>
          </cell>
          <cell r="AZ197" t="str">
            <v>F18</v>
          </cell>
          <cell r="BA197">
            <v>0</v>
          </cell>
          <cell r="BB197" t="str">
            <v>NSBB</v>
          </cell>
          <cell r="BC197" t="str">
            <v>F18</v>
          </cell>
        </row>
        <row r="198">
          <cell r="A198" t="str">
            <v>516DS</v>
          </cell>
          <cell r="B198" t="str">
            <v>3</v>
          </cell>
          <cell r="C198" t="str">
            <v>05</v>
          </cell>
          <cell r="D198">
            <v>17</v>
          </cell>
          <cell r="E198" t="str">
            <v>516DS</v>
          </cell>
          <cell r="F198">
            <v>3.88</v>
          </cell>
          <cell r="G198">
            <v>3.88</v>
          </cell>
          <cell r="H198">
            <v>3.88</v>
          </cell>
          <cell r="I198" t="str">
            <v>FC</v>
          </cell>
          <cell r="J198" t="str">
            <v>ST</v>
          </cell>
          <cell r="K198">
            <v>0</v>
          </cell>
          <cell r="L198">
            <v>45961</v>
          </cell>
          <cell r="M198">
            <v>45961</v>
          </cell>
          <cell r="N198">
            <v>33</v>
          </cell>
          <cell r="O198" t="str">
            <v>SK</v>
          </cell>
          <cell r="P198" t="str">
            <v/>
          </cell>
          <cell r="Q198">
            <v>45961</v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>Lokasi Produksi 516DS ( singkong )</v>
          </cell>
          <cell r="Z198">
            <v>0</v>
          </cell>
          <cell r="AA198">
            <v>45961</v>
          </cell>
          <cell r="AB198">
            <v>172.59733611111005</v>
          </cell>
          <cell r="AC198">
            <v>5.753244537037002</v>
          </cell>
          <cell r="AD198">
            <v>-8.246755462962998</v>
          </cell>
          <cell r="AE198">
            <v>14.96</v>
          </cell>
          <cell r="AF198">
            <v>0</v>
          </cell>
          <cell r="AG198">
            <v>-1368.9333333333334</v>
          </cell>
          <cell r="AM198" t="str">
            <v>OK</v>
          </cell>
          <cell r="AO198">
            <v>1.1118517746913616</v>
          </cell>
          <cell r="AP198">
            <v>1.1118517746913616</v>
          </cell>
          <cell r="AQ198">
            <v>0</v>
          </cell>
          <cell r="AR198">
            <v>1.1118517746913616</v>
          </cell>
          <cell r="AS198">
            <v>0</v>
          </cell>
          <cell r="AT198">
            <v>45961</v>
          </cell>
          <cell r="AU198">
            <v>1.1118517746913616</v>
          </cell>
          <cell r="AV198">
            <v>33.355553240740846</v>
          </cell>
          <cell r="AW198">
            <v>1.1118517746913616</v>
          </cell>
          <cell r="AY198">
            <v>38.463691782410024</v>
          </cell>
          <cell r="AZ198" t="str">
            <v>F18</v>
          </cell>
          <cell r="BA198">
            <v>0</v>
          </cell>
          <cell r="BB198" t="str">
            <v>SKFC</v>
          </cell>
          <cell r="BC198" t="str">
            <v>F18</v>
          </cell>
        </row>
        <row r="199">
          <cell r="A199" t="str">
            <v>516E</v>
          </cell>
          <cell r="B199" t="str">
            <v>3</v>
          </cell>
          <cell r="C199" t="str">
            <v>05</v>
          </cell>
          <cell r="D199">
            <v>17</v>
          </cell>
          <cell r="E199" t="str">
            <v>516E</v>
          </cell>
          <cell r="F199">
            <v>8.4499999999999993</v>
          </cell>
          <cell r="G199">
            <v>6.79</v>
          </cell>
          <cell r="H199">
            <v>6.79</v>
          </cell>
          <cell r="I199" t="str">
            <v>BK</v>
          </cell>
          <cell r="J199" t="str">
            <v>BB</v>
          </cell>
          <cell r="K199">
            <v>0</v>
          </cell>
          <cell r="L199">
            <v>45958</v>
          </cell>
          <cell r="M199">
            <v>45958</v>
          </cell>
          <cell r="N199">
            <v>36</v>
          </cell>
          <cell r="O199" t="str">
            <v>NS</v>
          </cell>
          <cell r="P199" t="str">
            <v/>
          </cell>
          <cell r="Q199">
            <v>45958</v>
          </cell>
          <cell r="R199" t="str">
            <v/>
          </cell>
          <cell r="S199" t="str">
            <v/>
          </cell>
          <cell r="T199" t="str">
            <v/>
          </cell>
          <cell r="U199">
            <v>70312</v>
          </cell>
          <cell r="V199">
            <v>72303</v>
          </cell>
          <cell r="W199">
            <v>43517</v>
          </cell>
          <cell r="X199" t="str">
            <v>Lokasi Produksi 516E</v>
          </cell>
          <cell r="Z199">
            <v>0</v>
          </cell>
          <cell r="AA199">
            <v>45958</v>
          </cell>
          <cell r="AB199">
            <v>202.59733611111005</v>
          </cell>
          <cell r="AC199">
            <v>6.753244537037002</v>
          </cell>
          <cell r="AD199">
            <v>-7.246755462962998</v>
          </cell>
          <cell r="AE199">
            <v>16.75</v>
          </cell>
          <cell r="AF199">
            <v>0</v>
          </cell>
          <cell r="AG199">
            <v>-1367.9333333333334</v>
          </cell>
          <cell r="AM199" t="str">
            <v>OK</v>
          </cell>
          <cell r="AO199">
            <v>1.2118517746913615</v>
          </cell>
          <cell r="AP199">
            <v>1.2118517746913615</v>
          </cell>
          <cell r="AQ199">
            <v>0</v>
          </cell>
          <cell r="AR199">
            <v>1.2118517746913615</v>
          </cell>
          <cell r="AS199">
            <v>0</v>
          </cell>
          <cell r="AT199">
            <v>45958</v>
          </cell>
          <cell r="AU199">
            <v>1.2118517746913615</v>
          </cell>
          <cell r="AV199">
            <v>36.355553240740846</v>
          </cell>
          <cell r="AW199">
            <v>1.2118517746913615</v>
          </cell>
          <cell r="AY199">
            <v>41.463691782410024</v>
          </cell>
          <cell r="AZ199" t="str">
            <v>F18</v>
          </cell>
          <cell r="BA199">
            <v>0</v>
          </cell>
          <cell r="BB199" t="str">
            <v>NSBK</v>
          </cell>
          <cell r="BC199" t="str">
            <v>F18</v>
          </cell>
        </row>
        <row r="200">
          <cell r="A200" t="str">
            <v>517A</v>
          </cell>
          <cell r="B200" t="str">
            <v>3</v>
          </cell>
          <cell r="C200" t="str">
            <v>05</v>
          </cell>
          <cell r="D200">
            <v>17</v>
          </cell>
          <cell r="E200" t="str">
            <v>517A</v>
          </cell>
          <cell r="F200">
            <v>10.71</v>
          </cell>
          <cell r="G200">
            <v>7.16</v>
          </cell>
          <cell r="H200">
            <v>7.16</v>
          </cell>
          <cell r="I200" t="str">
            <v>Y2</v>
          </cell>
          <cell r="J200" t="str">
            <v>FC</v>
          </cell>
          <cell r="K200">
            <v>0</v>
          </cell>
          <cell r="L200">
            <v>45563</v>
          </cell>
          <cell r="M200">
            <v>45563</v>
          </cell>
          <cell r="N200">
            <v>431</v>
          </cell>
          <cell r="O200" t="str">
            <v>PS</v>
          </cell>
          <cell r="P200" t="str">
            <v/>
          </cell>
          <cell r="Q200">
            <v>45563</v>
          </cell>
          <cell r="R200" t="str">
            <v/>
          </cell>
          <cell r="S200" t="str">
            <v/>
          </cell>
          <cell r="T200" t="str">
            <v/>
          </cell>
          <cell r="U200">
            <v>17184</v>
          </cell>
          <cell r="V200">
            <v>73563</v>
          </cell>
          <cell r="W200">
            <v>45705</v>
          </cell>
          <cell r="X200" t="str">
            <v>Lokasi Produksi 517A</v>
          </cell>
          <cell r="Z200">
            <v>0</v>
          </cell>
          <cell r="AA200">
            <v>45563</v>
          </cell>
          <cell r="AB200">
            <v>180.59733611111005</v>
          </cell>
          <cell r="AC200">
            <v>6.0199112037036686</v>
          </cell>
          <cell r="AD200">
            <v>-7.9800887962963314</v>
          </cell>
          <cell r="AE200">
            <v>9.93</v>
          </cell>
          <cell r="AF200">
            <v>0</v>
          </cell>
          <cell r="AG200">
            <v>-1368.6666666666667</v>
          </cell>
          <cell r="AM200" t="str">
            <v>OK</v>
          </cell>
          <cell r="AO200">
            <v>14.378518441358029</v>
          </cell>
          <cell r="AP200">
            <v>14.378518441358029</v>
          </cell>
          <cell r="AQ200">
            <v>0</v>
          </cell>
          <cell r="AR200">
            <v>14.378518441358029</v>
          </cell>
          <cell r="AS200">
            <v>0</v>
          </cell>
          <cell r="AT200">
            <v>45563</v>
          </cell>
          <cell r="AU200">
            <v>14.378518441358029</v>
          </cell>
          <cell r="AV200">
            <v>431.35555324074085</v>
          </cell>
          <cell r="AW200">
            <v>14.378518441358029</v>
          </cell>
          <cell r="AY200">
            <v>436.46369178241002</v>
          </cell>
          <cell r="AZ200" t="str">
            <v>F18</v>
          </cell>
          <cell r="BA200">
            <v>0</v>
          </cell>
          <cell r="BB200" t="str">
            <v>PSY2</v>
          </cell>
          <cell r="BC200" t="str">
            <v>F18</v>
          </cell>
        </row>
        <row r="201">
          <cell r="A201" t="str">
            <v>517B1</v>
          </cell>
          <cell r="B201" t="str">
            <v>3</v>
          </cell>
          <cell r="C201" t="str">
            <v>05</v>
          </cell>
          <cell r="D201">
            <v>17</v>
          </cell>
          <cell r="E201" t="str">
            <v>517B1</v>
          </cell>
          <cell r="F201">
            <v>7.04</v>
          </cell>
          <cell r="G201">
            <v>5.29</v>
          </cell>
          <cell r="H201">
            <v>5.29</v>
          </cell>
          <cell r="I201" t="str">
            <v>Y2</v>
          </cell>
          <cell r="J201" t="str">
            <v>FC</v>
          </cell>
          <cell r="K201">
            <v>0</v>
          </cell>
          <cell r="L201">
            <v>45635</v>
          </cell>
          <cell r="M201">
            <v>45635</v>
          </cell>
          <cell r="N201">
            <v>359</v>
          </cell>
          <cell r="O201" t="str">
            <v>PS</v>
          </cell>
          <cell r="P201" t="str">
            <v/>
          </cell>
          <cell r="Q201">
            <v>45635</v>
          </cell>
          <cell r="R201" t="str">
            <v/>
          </cell>
          <cell r="S201" t="str">
            <v/>
          </cell>
          <cell r="T201" t="str">
            <v/>
          </cell>
          <cell r="U201">
            <v>13490</v>
          </cell>
          <cell r="V201" t="str">
            <v/>
          </cell>
          <cell r="W201">
            <v>45635</v>
          </cell>
          <cell r="X201" t="str">
            <v>Lokasi Produksi 517B1 ( pecahan 517B )</v>
          </cell>
          <cell r="Z201">
            <v>0</v>
          </cell>
          <cell r="AA201">
            <v>45635</v>
          </cell>
          <cell r="AB201">
            <v>180.59733611111005</v>
          </cell>
          <cell r="AC201">
            <v>6.0199112037036686</v>
          </cell>
          <cell r="AD201">
            <v>-3.9800887962963314</v>
          </cell>
          <cell r="AE201">
            <v>2.91</v>
          </cell>
          <cell r="AF201">
            <v>0</v>
          </cell>
          <cell r="AG201">
            <v>-1368.6666666666667</v>
          </cell>
          <cell r="AM201" t="str">
            <v>OK</v>
          </cell>
          <cell r="AO201">
            <v>11.978518441358029</v>
          </cell>
          <cell r="AP201">
            <v>11.978518441358029</v>
          </cell>
          <cell r="AQ201">
            <v>0</v>
          </cell>
          <cell r="AR201">
            <v>11.978518441358029</v>
          </cell>
          <cell r="AS201">
            <v>0</v>
          </cell>
          <cell r="AT201">
            <v>45635</v>
          </cell>
          <cell r="AU201">
            <v>11.978518441358029</v>
          </cell>
          <cell r="AV201">
            <v>359.35555324074085</v>
          </cell>
          <cell r="AW201">
            <v>11.978518441358029</v>
          </cell>
          <cell r="AY201">
            <v>364.46369178241002</v>
          </cell>
          <cell r="AZ201" t="str">
            <v>F18</v>
          </cell>
          <cell r="BA201">
            <v>0</v>
          </cell>
          <cell r="BB201" t="str">
            <v>PSY2</v>
          </cell>
          <cell r="BC201" t="str">
            <v>F18</v>
          </cell>
        </row>
        <row r="202">
          <cell r="A202" t="str">
            <v>517B2</v>
          </cell>
          <cell r="B202" t="str">
            <v>3</v>
          </cell>
          <cell r="C202" t="str">
            <v>05</v>
          </cell>
          <cell r="D202">
            <v>17</v>
          </cell>
          <cell r="E202" t="str">
            <v>517B2</v>
          </cell>
          <cell r="F202">
            <v>6.75</v>
          </cell>
          <cell r="G202">
            <v>5.05</v>
          </cell>
          <cell r="H202">
            <v>5.05</v>
          </cell>
          <cell r="I202" t="str">
            <v>Y2</v>
          </cell>
          <cell r="J202" t="str">
            <v>FC</v>
          </cell>
          <cell r="K202">
            <v>0</v>
          </cell>
          <cell r="L202">
            <v>45635</v>
          </cell>
          <cell r="M202">
            <v>45635</v>
          </cell>
          <cell r="N202">
            <v>359</v>
          </cell>
          <cell r="O202" t="str">
            <v>PS</v>
          </cell>
          <cell r="P202" t="str">
            <v/>
          </cell>
          <cell r="Q202">
            <v>45635</v>
          </cell>
          <cell r="R202" t="str">
            <v/>
          </cell>
          <cell r="S202" t="str">
            <v/>
          </cell>
          <cell r="T202" t="str">
            <v/>
          </cell>
          <cell r="U202">
            <v>13130</v>
          </cell>
          <cell r="V202" t="str">
            <v/>
          </cell>
          <cell r="W202">
            <v>45635</v>
          </cell>
          <cell r="X202" t="str">
            <v>Lokasi Produksi 517B2 ( pecahan 517B )</v>
          </cell>
          <cell r="Z202">
            <v>0</v>
          </cell>
          <cell r="AA202">
            <v>45635</v>
          </cell>
          <cell r="AB202">
            <v>165.59733611111005</v>
          </cell>
          <cell r="AC202">
            <v>5.5199112037036686</v>
          </cell>
          <cell r="AD202">
            <v>-8.4800887962963323</v>
          </cell>
          <cell r="AE202">
            <v>8.2100000000000009</v>
          </cell>
          <cell r="AF202">
            <v>0</v>
          </cell>
          <cell r="AG202">
            <v>-1369.1666666666667</v>
          </cell>
          <cell r="AM202" t="str">
            <v>OK</v>
          </cell>
          <cell r="AO202">
            <v>11.978518441358029</v>
          </cell>
          <cell r="AP202">
            <v>11.978518441358029</v>
          </cell>
          <cell r="AQ202">
            <v>0</v>
          </cell>
          <cell r="AR202">
            <v>11.978518441358029</v>
          </cell>
          <cell r="AS202">
            <v>0</v>
          </cell>
          <cell r="AT202">
            <v>45635</v>
          </cell>
          <cell r="AU202">
            <v>11.978518441358029</v>
          </cell>
          <cell r="AV202">
            <v>359.35555324074085</v>
          </cell>
          <cell r="AW202">
            <v>11.978518441358029</v>
          </cell>
          <cell r="AY202">
            <v>364.46369178241002</v>
          </cell>
          <cell r="AZ202" t="str">
            <v>F18</v>
          </cell>
          <cell r="BA202">
            <v>0</v>
          </cell>
          <cell r="BB202" t="str">
            <v>PSY2</v>
          </cell>
          <cell r="BC202" t="str">
            <v>F18</v>
          </cell>
        </row>
        <row r="203">
          <cell r="A203" t="str">
            <v>517C</v>
          </cell>
          <cell r="B203" t="str">
            <v>3</v>
          </cell>
          <cell r="C203" t="str">
            <v>05</v>
          </cell>
          <cell r="D203">
            <v>17</v>
          </cell>
          <cell r="E203" t="str">
            <v>517C</v>
          </cell>
          <cell r="F203">
            <v>11.92</v>
          </cell>
          <cell r="G203">
            <v>8.99</v>
          </cell>
          <cell r="H203">
            <v>8.99</v>
          </cell>
          <cell r="I203" t="str">
            <v>Y1</v>
          </cell>
          <cell r="J203" t="str">
            <v>TU</v>
          </cell>
          <cell r="K203">
            <v>0</v>
          </cell>
          <cell r="L203">
            <v>45664</v>
          </cell>
          <cell r="M203">
            <v>45664</v>
          </cell>
          <cell r="N203">
            <v>330</v>
          </cell>
          <cell r="O203" t="str">
            <v>PS</v>
          </cell>
          <cell r="P203" t="str">
            <v/>
          </cell>
          <cell r="Q203">
            <v>45664</v>
          </cell>
          <cell r="R203" t="str">
            <v/>
          </cell>
          <cell r="S203" t="str">
            <v/>
          </cell>
          <cell r="T203" t="str">
            <v/>
          </cell>
          <cell r="U203">
            <v>23986</v>
          </cell>
          <cell r="V203">
            <v>73524</v>
          </cell>
          <cell r="W203" t="str">
            <v/>
          </cell>
          <cell r="X203" t="str">
            <v>Lokasi Produksi 517C</v>
          </cell>
          <cell r="Z203">
            <v>0</v>
          </cell>
          <cell r="AA203">
            <v>45664</v>
          </cell>
          <cell r="AB203">
            <v>181.59733611111005</v>
          </cell>
          <cell r="AC203">
            <v>6.0532445370370018</v>
          </cell>
          <cell r="AD203">
            <v>-20</v>
          </cell>
          <cell r="AE203">
            <v>0</v>
          </cell>
          <cell r="AF203">
            <v>0</v>
          </cell>
          <cell r="AG203">
            <v>-1368.6333333333334</v>
          </cell>
          <cell r="AM203" t="str">
            <v>OK</v>
          </cell>
          <cell r="AO203">
            <v>11.011851774691362</v>
          </cell>
          <cell r="AP203">
            <v>11.011851774691362</v>
          </cell>
          <cell r="AQ203">
            <v>0</v>
          </cell>
          <cell r="AR203">
            <v>11.011851774691362</v>
          </cell>
          <cell r="AS203">
            <v>0</v>
          </cell>
          <cell r="AT203">
            <v>45664</v>
          </cell>
          <cell r="AU203">
            <v>11.011851774691362</v>
          </cell>
          <cell r="AV203">
            <v>330.35555324074085</v>
          </cell>
          <cell r="AW203">
            <v>11.011851774691362</v>
          </cell>
          <cell r="AY203">
            <v>335.46369178241002</v>
          </cell>
          <cell r="AZ203" t="str">
            <v>F18</v>
          </cell>
          <cell r="BA203">
            <v>0</v>
          </cell>
          <cell r="BB203" t="str">
            <v>PSY1</v>
          </cell>
          <cell r="BC203" t="str">
            <v>F18</v>
          </cell>
        </row>
        <row r="204">
          <cell r="A204" t="str">
            <v>518A</v>
          </cell>
          <cell r="B204" t="str">
            <v>3</v>
          </cell>
          <cell r="C204" t="str">
            <v>05</v>
          </cell>
          <cell r="D204">
            <v>17</v>
          </cell>
          <cell r="E204" t="str">
            <v>518A</v>
          </cell>
          <cell r="F204">
            <v>18.54</v>
          </cell>
          <cell r="G204">
            <v>15.49</v>
          </cell>
          <cell r="H204">
            <v>15.49</v>
          </cell>
          <cell r="I204" t="str">
            <v>SC</v>
          </cell>
          <cell r="J204" t="str">
            <v>FC</v>
          </cell>
          <cell r="K204">
            <v>8</v>
          </cell>
          <cell r="L204">
            <v>45905</v>
          </cell>
          <cell r="M204">
            <v>45905</v>
          </cell>
          <cell r="N204">
            <v>89</v>
          </cell>
          <cell r="O204" t="str">
            <v>NS</v>
          </cell>
          <cell r="P204" t="str">
            <v/>
          </cell>
          <cell r="Q204">
            <v>46149</v>
          </cell>
          <cell r="R204" t="str">
            <v/>
          </cell>
          <cell r="S204" t="str">
            <v/>
          </cell>
          <cell r="T204" t="str">
            <v/>
          </cell>
          <cell r="U204">
            <v>71582</v>
          </cell>
          <cell r="V204">
            <v>69288</v>
          </cell>
          <cell r="W204" t="str">
            <v/>
          </cell>
          <cell r="X204" t="str">
            <v>Lokasi Produksi 518A</v>
          </cell>
          <cell r="Z204">
            <v>8</v>
          </cell>
          <cell r="AA204">
            <v>46149</v>
          </cell>
          <cell r="AB204">
            <v>251.59733611111005</v>
          </cell>
          <cell r="AC204">
            <v>8.3865778703703349</v>
          </cell>
          <cell r="AD204">
            <v>-20</v>
          </cell>
          <cell r="AE204">
            <v>0</v>
          </cell>
          <cell r="AF204">
            <v>0</v>
          </cell>
          <cell r="AG204">
            <v>-1366.3</v>
          </cell>
          <cell r="AM204" t="str">
            <v>OK</v>
          </cell>
          <cell r="AO204">
            <v>2.9785184413580281</v>
          </cell>
          <cell r="AP204">
            <v>-5.0214815586419714</v>
          </cell>
          <cell r="AQ204">
            <v>0</v>
          </cell>
          <cell r="AR204">
            <v>2.9785184413580281</v>
          </cell>
          <cell r="AS204">
            <v>0</v>
          </cell>
          <cell r="AT204">
            <v>46149</v>
          </cell>
          <cell r="AU204">
            <v>-5.0214815586419714</v>
          </cell>
          <cell r="AV204">
            <v>89.355553240740846</v>
          </cell>
          <cell r="AW204">
            <v>-5.0214815586419714</v>
          </cell>
          <cell r="AY204">
            <v>94.463691782410024</v>
          </cell>
          <cell r="AZ204" t="str">
            <v>F18</v>
          </cell>
          <cell r="BA204">
            <v>15.49</v>
          </cell>
          <cell r="BB204" t="str">
            <v>NSSC</v>
          </cell>
          <cell r="BC204" t="str">
            <v>F18</v>
          </cell>
        </row>
        <row r="205">
          <cell r="A205" t="str">
            <v>518B</v>
          </cell>
          <cell r="B205" t="str">
            <v>3</v>
          </cell>
          <cell r="C205" t="str">
            <v>05</v>
          </cell>
          <cell r="D205">
            <v>17</v>
          </cell>
          <cell r="E205" t="str">
            <v>518B</v>
          </cell>
          <cell r="F205">
            <v>13.91</v>
          </cell>
          <cell r="G205">
            <v>11.76</v>
          </cell>
          <cell r="H205">
            <v>11.76</v>
          </cell>
          <cell r="I205" t="str">
            <v>FC</v>
          </cell>
          <cell r="J205" t="str">
            <v>ST</v>
          </cell>
          <cell r="K205">
            <v>14</v>
          </cell>
          <cell r="L205">
            <v>45484</v>
          </cell>
          <cell r="M205">
            <v>45484</v>
          </cell>
          <cell r="N205">
            <v>510</v>
          </cell>
          <cell r="O205" t="str">
            <v>NS</v>
          </cell>
          <cell r="P205" t="str">
            <v>NSF18CK3</v>
          </cell>
          <cell r="Q205">
            <v>45911</v>
          </cell>
          <cell r="R205" t="str">
            <v/>
          </cell>
          <cell r="S205" t="str">
            <v/>
          </cell>
          <cell r="T205">
            <v>45860</v>
          </cell>
          <cell r="U205">
            <v>63369</v>
          </cell>
          <cell r="V205">
            <v>67241</v>
          </cell>
          <cell r="W205">
            <v>43820</v>
          </cell>
          <cell r="X205" t="str">
            <v>Lokasi Produksi 518B</v>
          </cell>
          <cell r="Z205">
            <v>14</v>
          </cell>
          <cell r="AA205">
            <v>45911</v>
          </cell>
          <cell r="AB205">
            <v>479.59733611111005</v>
          </cell>
          <cell r="AC205">
            <v>15.986577870370335</v>
          </cell>
          <cell r="AD205">
            <v>1.9865778703703345</v>
          </cell>
          <cell r="AE205">
            <v>22.61</v>
          </cell>
          <cell r="AF205">
            <v>0</v>
          </cell>
          <cell r="AG205">
            <v>-1358.7</v>
          </cell>
          <cell r="AM205" t="str">
            <v>OK</v>
          </cell>
          <cell r="AO205">
            <v>17.011851774691362</v>
          </cell>
          <cell r="AP205">
            <v>3.0118517746913618</v>
          </cell>
          <cell r="AQ205">
            <v>45860</v>
          </cell>
          <cell r="AR205">
            <v>12.533333333333333</v>
          </cell>
          <cell r="AS205">
            <v>4.4785184413580286</v>
          </cell>
          <cell r="AT205">
            <v>45911</v>
          </cell>
          <cell r="AU205">
            <v>4.4785184413580286</v>
          </cell>
          <cell r="AV205">
            <v>376</v>
          </cell>
          <cell r="AW205">
            <v>4.4785184413580286</v>
          </cell>
          <cell r="AY205">
            <v>515.46369178241002</v>
          </cell>
          <cell r="AZ205" t="str">
            <v>F18</v>
          </cell>
          <cell r="BA205">
            <v>11.76</v>
          </cell>
          <cell r="BB205" t="str">
            <v>NSFC</v>
          </cell>
          <cell r="BC205" t="str">
            <v>F18CK</v>
          </cell>
        </row>
        <row r="206">
          <cell r="A206" t="str">
            <v>518C1</v>
          </cell>
          <cell r="B206" t="str">
            <v>3</v>
          </cell>
          <cell r="C206" t="str">
            <v>05</v>
          </cell>
          <cell r="D206">
            <v>17</v>
          </cell>
          <cell r="E206" t="str">
            <v>518C1</v>
          </cell>
          <cell r="F206">
            <v>9.1</v>
          </cell>
          <cell r="G206">
            <v>7.67</v>
          </cell>
          <cell r="H206">
            <v>7.67</v>
          </cell>
          <cell r="I206" t="str">
            <v>FC</v>
          </cell>
          <cell r="J206" t="str">
            <v>ST</v>
          </cell>
          <cell r="K206">
            <v>14</v>
          </cell>
          <cell r="L206">
            <v>45898</v>
          </cell>
          <cell r="M206">
            <v>45898</v>
          </cell>
          <cell r="N206">
            <v>96</v>
          </cell>
          <cell r="O206" t="str">
            <v>NS</v>
          </cell>
          <cell r="P206" t="str">
            <v>NSF18CK3</v>
          </cell>
          <cell r="Q206">
            <v>46325</v>
          </cell>
          <cell r="R206" t="str">
            <v/>
          </cell>
          <cell r="S206" t="str">
            <v/>
          </cell>
          <cell r="T206" t="str">
            <v/>
          </cell>
          <cell r="U206">
            <v>61465</v>
          </cell>
          <cell r="V206">
            <v>54090</v>
          </cell>
          <cell r="W206" t="str">
            <v/>
          </cell>
          <cell r="X206" t="str">
            <v>Lokasi Produksi 518C1 ( pecahan 518C )</v>
          </cell>
          <cell r="Z206">
            <v>14</v>
          </cell>
          <cell r="AA206">
            <v>46325</v>
          </cell>
          <cell r="AB206">
            <v>228.59733611111005</v>
          </cell>
          <cell r="AC206">
            <v>7.6199112037036683</v>
          </cell>
          <cell r="AD206">
            <v>-20</v>
          </cell>
          <cell r="AE206">
            <v>0</v>
          </cell>
          <cell r="AF206">
            <v>0</v>
          </cell>
          <cell r="AG206">
            <v>-1367.0666666666666</v>
          </cell>
          <cell r="AM206" t="str">
            <v>OK</v>
          </cell>
          <cell r="AO206">
            <v>3.2118517746913615</v>
          </cell>
          <cell r="AP206">
            <v>-10.788148225308639</v>
          </cell>
          <cell r="AQ206">
            <v>0</v>
          </cell>
          <cell r="AR206">
            <v>3.2118517746913615</v>
          </cell>
          <cell r="AS206">
            <v>0</v>
          </cell>
          <cell r="AT206">
            <v>46325</v>
          </cell>
          <cell r="AU206">
            <v>-10.788148225308639</v>
          </cell>
          <cell r="AV206">
            <v>96.355553240740846</v>
          </cell>
          <cell r="AW206">
            <v>-10.788148225308639</v>
          </cell>
          <cell r="AY206">
            <v>101.46369178241002</v>
          </cell>
          <cell r="AZ206" t="str">
            <v>F18</v>
          </cell>
          <cell r="BA206">
            <v>7.67</v>
          </cell>
          <cell r="BB206" t="str">
            <v>NSFC</v>
          </cell>
          <cell r="BC206" t="str">
            <v>F18CK</v>
          </cell>
        </row>
        <row r="207">
          <cell r="A207" t="str">
            <v>518C2</v>
          </cell>
          <cell r="B207" t="str">
            <v>3</v>
          </cell>
          <cell r="C207" t="str">
            <v>05</v>
          </cell>
          <cell r="D207">
            <v>17</v>
          </cell>
          <cell r="E207" t="str">
            <v>518C2</v>
          </cell>
          <cell r="F207">
            <v>10.4</v>
          </cell>
          <cell r="G207">
            <v>8.74</v>
          </cell>
          <cell r="H207">
            <v>8.74</v>
          </cell>
          <cell r="I207" t="str">
            <v>FC</v>
          </cell>
          <cell r="J207" t="str">
            <v>ST</v>
          </cell>
          <cell r="K207">
            <v>14</v>
          </cell>
          <cell r="L207">
            <v>45898</v>
          </cell>
          <cell r="M207">
            <v>45898</v>
          </cell>
          <cell r="N207">
            <v>96</v>
          </cell>
          <cell r="O207" t="str">
            <v>NS</v>
          </cell>
          <cell r="P207" t="str">
            <v>NSF18CK3</v>
          </cell>
          <cell r="Q207">
            <v>46325</v>
          </cell>
          <cell r="R207" t="str">
            <v/>
          </cell>
          <cell r="S207" t="str">
            <v/>
          </cell>
          <cell r="T207" t="str">
            <v/>
          </cell>
          <cell r="U207">
            <v>67881</v>
          </cell>
          <cell r="V207">
            <v>53675</v>
          </cell>
          <cell r="W207" t="str">
            <v/>
          </cell>
          <cell r="X207" t="str">
            <v>Lokasi Produksi 518C2 ( pecahan 518C )</v>
          </cell>
          <cell r="Z207">
            <v>14</v>
          </cell>
          <cell r="AA207">
            <v>46325</v>
          </cell>
          <cell r="AB207">
            <v>228.59733611111005</v>
          </cell>
          <cell r="AC207">
            <v>7.6199112037036683</v>
          </cell>
          <cell r="AD207">
            <v>-20</v>
          </cell>
          <cell r="AE207">
            <v>0</v>
          </cell>
          <cell r="AF207">
            <v>0</v>
          </cell>
          <cell r="AG207">
            <v>-1367.0666666666666</v>
          </cell>
          <cell r="AM207" t="str">
            <v>OK</v>
          </cell>
          <cell r="AO207">
            <v>3.2118517746913615</v>
          </cell>
          <cell r="AP207">
            <v>-10.788148225308639</v>
          </cell>
          <cell r="AQ207">
            <v>0</v>
          </cell>
          <cell r="AR207">
            <v>3.2118517746913615</v>
          </cell>
          <cell r="AS207">
            <v>0</v>
          </cell>
          <cell r="AT207">
            <v>46325</v>
          </cell>
          <cell r="AU207">
            <v>-10.788148225308639</v>
          </cell>
          <cell r="AV207">
            <v>96.355553240740846</v>
          </cell>
          <cell r="AW207">
            <v>-10.788148225308639</v>
          </cell>
          <cell r="AY207">
            <v>101.46369178241002</v>
          </cell>
          <cell r="AZ207" t="str">
            <v>F18</v>
          </cell>
          <cell r="BA207">
            <v>8.74</v>
          </cell>
          <cell r="BB207" t="str">
            <v>NSFC</v>
          </cell>
          <cell r="BC207" t="str">
            <v>F18CK</v>
          </cell>
        </row>
        <row r="208">
          <cell r="A208" t="str">
            <v>518D</v>
          </cell>
          <cell r="B208" t="str">
            <v>3</v>
          </cell>
          <cell r="C208" t="str">
            <v>05</v>
          </cell>
          <cell r="D208">
            <v>17</v>
          </cell>
          <cell r="E208" t="str">
            <v>518D</v>
          </cell>
          <cell r="F208">
            <v>15.93</v>
          </cell>
          <cell r="G208">
            <v>12.86</v>
          </cell>
          <cell r="H208">
            <v>12.86</v>
          </cell>
          <cell r="I208" t="str">
            <v>BB</v>
          </cell>
          <cell r="J208" t="str">
            <v>FC</v>
          </cell>
          <cell r="K208">
            <v>0</v>
          </cell>
          <cell r="L208">
            <v>45916</v>
          </cell>
          <cell r="M208">
            <v>45916</v>
          </cell>
          <cell r="N208">
            <v>78</v>
          </cell>
          <cell r="O208" t="str">
            <v>NS</v>
          </cell>
          <cell r="P208" t="str">
            <v/>
          </cell>
          <cell r="Q208">
            <v>45916</v>
          </cell>
          <cell r="R208" t="str">
            <v/>
          </cell>
          <cell r="S208" t="str">
            <v/>
          </cell>
          <cell r="T208" t="str">
            <v/>
          </cell>
          <cell r="U208">
            <v>64171</v>
          </cell>
          <cell r="V208">
            <v>66563</v>
          </cell>
          <cell r="W208">
            <v>45270</v>
          </cell>
          <cell r="X208" t="str">
            <v>Lokasi Produksi 518D</v>
          </cell>
          <cell r="Z208">
            <v>0</v>
          </cell>
          <cell r="AA208">
            <v>45916</v>
          </cell>
          <cell r="AB208">
            <v>4821.5973361111101</v>
          </cell>
          <cell r="AC208">
            <v>160.71991120370367</v>
          </cell>
          <cell r="AD208">
            <v>-20</v>
          </cell>
          <cell r="AE208">
            <v>0</v>
          </cell>
          <cell r="AF208">
            <v>0</v>
          </cell>
          <cell r="AG208">
            <v>-1213.9666666666667</v>
          </cell>
          <cell r="AM208" t="str">
            <v>OK</v>
          </cell>
          <cell r="AO208">
            <v>2.6118517746913614</v>
          </cell>
          <cell r="AP208">
            <v>2.6118517746913614</v>
          </cell>
          <cell r="AQ208">
            <v>0</v>
          </cell>
          <cell r="AR208">
            <v>2.6118517746913614</v>
          </cell>
          <cell r="AS208">
            <v>0</v>
          </cell>
          <cell r="AT208">
            <v>45916</v>
          </cell>
          <cell r="AU208">
            <v>2.6118517746913614</v>
          </cell>
          <cell r="AV208">
            <v>78.355553240740846</v>
          </cell>
          <cell r="AW208">
            <v>2.6118517746913614</v>
          </cell>
          <cell r="AY208">
            <v>83.463691782410024</v>
          </cell>
          <cell r="AZ208" t="str">
            <v>F18</v>
          </cell>
          <cell r="BA208">
            <v>0</v>
          </cell>
          <cell r="BB208" t="str">
            <v>NSBB</v>
          </cell>
          <cell r="BC208" t="str">
            <v>F18</v>
          </cell>
        </row>
        <row r="209">
          <cell r="A209" t="str">
            <v>518E</v>
          </cell>
          <cell r="B209" t="str">
            <v>3</v>
          </cell>
          <cell r="C209" t="str">
            <v>05</v>
          </cell>
          <cell r="D209">
            <v>17</v>
          </cell>
          <cell r="E209" t="str">
            <v>518E</v>
          </cell>
          <cell r="F209">
            <v>17.27</v>
          </cell>
          <cell r="G209">
            <v>14.09</v>
          </cell>
          <cell r="H209">
            <v>14.09</v>
          </cell>
          <cell r="I209" t="str">
            <v>FC</v>
          </cell>
          <cell r="J209" t="str">
            <v>ST</v>
          </cell>
          <cell r="K209">
            <v>14</v>
          </cell>
          <cell r="L209">
            <v>45489</v>
          </cell>
          <cell r="M209">
            <v>45489</v>
          </cell>
          <cell r="N209">
            <v>505</v>
          </cell>
          <cell r="O209" t="str">
            <v>NS</v>
          </cell>
          <cell r="P209" t="str">
            <v>NSF18CK3</v>
          </cell>
          <cell r="Q209">
            <v>45916</v>
          </cell>
          <cell r="R209" t="str">
            <v/>
          </cell>
          <cell r="S209" t="str">
            <v/>
          </cell>
          <cell r="T209">
            <v>45860</v>
          </cell>
          <cell r="U209">
            <v>63490</v>
          </cell>
          <cell r="V209">
            <v>66265</v>
          </cell>
          <cell r="W209" t="str">
            <v/>
          </cell>
          <cell r="X209" t="str">
            <v>Lokasi Produksi 518E</v>
          </cell>
          <cell r="Z209">
            <v>14</v>
          </cell>
          <cell r="AA209">
            <v>45916</v>
          </cell>
          <cell r="AB209">
            <v>86.597336111110053</v>
          </cell>
          <cell r="AC209">
            <v>2.8865778703703353</v>
          </cell>
          <cell r="AD209">
            <v>-20</v>
          </cell>
          <cell r="AE209">
            <v>0</v>
          </cell>
          <cell r="AF209">
            <v>0</v>
          </cell>
          <cell r="AG209">
            <v>-1371.8</v>
          </cell>
          <cell r="AM209" t="str">
            <v>OK</v>
          </cell>
          <cell r="AO209">
            <v>16.845185108024694</v>
          </cell>
          <cell r="AP209">
            <v>2.8451851080246939</v>
          </cell>
          <cell r="AQ209">
            <v>45860</v>
          </cell>
          <cell r="AR209">
            <v>12.366666666666667</v>
          </cell>
          <cell r="AS209">
            <v>4.4785184413580268</v>
          </cell>
          <cell r="AT209">
            <v>45916</v>
          </cell>
          <cell r="AU209">
            <v>4.4785184413580268</v>
          </cell>
          <cell r="AV209">
            <v>371</v>
          </cell>
          <cell r="AW209">
            <v>4.4785184413580268</v>
          </cell>
          <cell r="AY209">
            <v>510.46369178241002</v>
          </cell>
          <cell r="AZ209" t="str">
            <v>F18</v>
          </cell>
          <cell r="BA209">
            <v>14.09</v>
          </cell>
          <cell r="BB209" t="str">
            <v>NSFC</v>
          </cell>
          <cell r="BC209" t="str">
            <v>F18CK</v>
          </cell>
        </row>
        <row r="210">
          <cell r="A210" t="str">
            <v>518F</v>
          </cell>
          <cell r="B210" t="str">
            <v>3</v>
          </cell>
          <cell r="C210" t="str">
            <v>05</v>
          </cell>
          <cell r="D210">
            <v>17</v>
          </cell>
          <cell r="E210" t="str">
            <v>518F</v>
          </cell>
          <cell r="F210">
            <v>14.76</v>
          </cell>
          <cell r="G210">
            <v>12.18</v>
          </cell>
          <cell r="H210">
            <v>12.18</v>
          </cell>
          <cell r="I210" t="str">
            <v>FC</v>
          </cell>
          <cell r="J210" t="str">
            <v>ST</v>
          </cell>
          <cell r="K210">
            <v>14</v>
          </cell>
          <cell r="L210">
            <v>45512</v>
          </cell>
          <cell r="M210">
            <v>45512</v>
          </cell>
          <cell r="N210">
            <v>482</v>
          </cell>
          <cell r="O210" t="str">
            <v>NS</v>
          </cell>
          <cell r="P210" t="str">
            <v>NSGP3CK3</v>
          </cell>
          <cell r="Q210">
            <v>45939</v>
          </cell>
          <cell r="R210" t="str">
            <v/>
          </cell>
          <cell r="S210" t="str">
            <v/>
          </cell>
          <cell r="T210">
            <v>45937</v>
          </cell>
          <cell r="U210">
            <v>65432</v>
          </cell>
          <cell r="V210">
            <v>65229</v>
          </cell>
          <cell r="W210">
            <v>43894</v>
          </cell>
          <cell r="X210" t="str">
            <v>Lokasi Produksi 518F</v>
          </cell>
          <cell r="Z210">
            <v>14</v>
          </cell>
          <cell r="AA210">
            <v>45939</v>
          </cell>
          <cell r="AB210">
            <v>866.59733611111005</v>
          </cell>
          <cell r="AC210">
            <v>28.886577870370335</v>
          </cell>
          <cell r="AD210">
            <v>-20</v>
          </cell>
          <cell r="AE210">
            <v>0</v>
          </cell>
          <cell r="AF210">
            <v>0</v>
          </cell>
          <cell r="AG210">
            <v>-1345.8</v>
          </cell>
          <cell r="AM210" t="str">
            <v>OK</v>
          </cell>
          <cell r="AO210">
            <v>16.078518441358028</v>
          </cell>
          <cell r="AP210">
            <v>2.0785184413580282</v>
          </cell>
          <cell r="AQ210">
            <v>45937</v>
          </cell>
          <cell r="AR210">
            <v>14.166666666666666</v>
          </cell>
          <cell r="AS210">
            <v>1.9118517746913621</v>
          </cell>
          <cell r="AT210">
            <v>45939</v>
          </cell>
          <cell r="AU210">
            <v>1.9118517746913621</v>
          </cell>
          <cell r="AV210">
            <v>425</v>
          </cell>
          <cell r="AW210">
            <v>1.9118517746913621</v>
          </cell>
          <cell r="AY210">
            <v>487.46369178241002</v>
          </cell>
          <cell r="AZ210" t="str">
            <v>GP3</v>
          </cell>
          <cell r="BA210">
            <v>12.18</v>
          </cell>
          <cell r="BB210" t="str">
            <v>NSFC</v>
          </cell>
          <cell r="BC210" t="str">
            <v>GP3CK</v>
          </cell>
        </row>
        <row r="211">
          <cell r="A211" t="str">
            <v>518FS1</v>
          </cell>
          <cell r="B211" t="str">
            <v>3</v>
          </cell>
          <cell r="C211" t="str">
            <v>05</v>
          </cell>
          <cell r="D211">
            <v>17</v>
          </cell>
          <cell r="E211" t="str">
            <v>518FS1</v>
          </cell>
          <cell r="F211">
            <v>1.17</v>
          </cell>
          <cell r="G211">
            <v>1.17</v>
          </cell>
          <cell r="H211">
            <v>1.17</v>
          </cell>
          <cell r="I211" t="str">
            <v>FC</v>
          </cell>
          <cell r="J211" t="str">
            <v>ST</v>
          </cell>
          <cell r="K211">
            <v>0</v>
          </cell>
          <cell r="L211">
            <v>45875</v>
          </cell>
          <cell r="M211">
            <v>45875</v>
          </cell>
          <cell r="N211">
            <v>119</v>
          </cell>
          <cell r="O211" t="str">
            <v>SK</v>
          </cell>
          <cell r="P211" t="str">
            <v/>
          </cell>
          <cell r="Q211">
            <v>45875</v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>
            <v>45468</v>
          </cell>
          <cell r="X211" t="str">
            <v>Lokasi Produksi 518FS1 ( singkong )</v>
          </cell>
          <cell r="Z211">
            <v>0</v>
          </cell>
          <cell r="AA211">
            <v>45875</v>
          </cell>
          <cell r="AB211">
            <v>4778.5973361111101</v>
          </cell>
          <cell r="AC211">
            <v>159.28657787037034</v>
          </cell>
          <cell r="AD211">
            <v>-20</v>
          </cell>
          <cell r="AE211">
            <v>0</v>
          </cell>
          <cell r="AF211">
            <v>0</v>
          </cell>
          <cell r="AG211">
            <v>-1215.4000000000001</v>
          </cell>
          <cell r="AM211" t="str">
            <v>OK</v>
          </cell>
          <cell r="AO211">
            <v>3.9785184413580281</v>
          </cell>
          <cell r="AP211">
            <v>3.9785184413580281</v>
          </cell>
          <cell r="AQ211">
            <v>0</v>
          </cell>
          <cell r="AR211">
            <v>3.9785184413580281</v>
          </cell>
          <cell r="AS211">
            <v>0</v>
          </cell>
          <cell r="AT211">
            <v>45875</v>
          </cell>
          <cell r="AU211">
            <v>3.9785184413580281</v>
          </cell>
          <cell r="AV211">
            <v>119.35555324074085</v>
          </cell>
          <cell r="AW211">
            <v>3.9785184413580281</v>
          </cell>
          <cell r="AY211">
            <v>124.46369178241002</v>
          </cell>
          <cell r="AZ211" t="str">
            <v>F18</v>
          </cell>
          <cell r="BA211">
            <v>0</v>
          </cell>
          <cell r="BB211" t="str">
            <v>SKFC</v>
          </cell>
          <cell r="BC211" t="str">
            <v>F18</v>
          </cell>
        </row>
        <row r="212">
          <cell r="A212" t="str">
            <v>518G</v>
          </cell>
          <cell r="B212" t="str">
            <v>3</v>
          </cell>
          <cell r="C212" t="str">
            <v>05</v>
          </cell>
          <cell r="D212">
            <v>17</v>
          </cell>
          <cell r="E212" t="str">
            <v>518G</v>
          </cell>
          <cell r="F212">
            <v>15.71</v>
          </cell>
          <cell r="G212">
            <v>13.23</v>
          </cell>
          <cell r="H212">
            <v>13.23</v>
          </cell>
          <cell r="I212" t="str">
            <v>FC</v>
          </cell>
          <cell r="J212" t="str">
            <v>ST</v>
          </cell>
          <cell r="K212">
            <v>14</v>
          </cell>
          <cell r="L212">
            <v>45738</v>
          </cell>
          <cell r="M212">
            <v>45738</v>
          </cell>
          <cell r="N212">
            <v>256</v>
          </cell>
          <cell r="O212" t="str">
            <v>NS</v>
          </cell>
          <cell r="P212" t="str">
            <v>NSF18CK3</v>
          </cell>
          <cell r="Q212">
            <v>46165</v>
          </cell>
          <cell r="R212" t="str">
            <v/>
          </cell>
          <cell r="S212" t="str">
            <v/>
          </cell>
          <cell r="T212" t="str">
            <v/>
          </cell>
          <cell r="U212">
            <v>66145</v>
          </cell>
          <cell r="V212">
            <v>67021</v>
          </cell>
          <cell r="W212" t="str">
            <v/>
          </cell>
          <cell r="X212" t="str">
            <v>Lokasi Produksi 518G</v>
          </cell>
          <cell r="Z212">
            <v>14</v>
          </cell>
          <cell r="AA212">
            <v>46165</v>
          </cell>
          <cell r="AB212">
            <v>349.59733611111005</v>
          </cell>
          <cell r="AC212">
            <v>11.653244537037002</v>
          </cell>
          <cell r="AD212">
            <v>-2.3467554629629976</v>
          </cell>
          <cell r="AE212">
            <v>11.99</v>
          </cell>
          <cell r="AF212">
            <v>0</v>
          </cell>
          <cell r="AG212">
            <v>-1363.0333333333333</v>
          </cell>
          <cell r="AM212" t="str">
            <v>OK</v>
          </cell>
          <cell r="AO212">
            <v>8.545185108024695</v>
          </cell>
          <cell r="AP212">
            <v>-5.454814891975305</v>
          </cell>
          <cell r="AQ212">
            <v>0</v>
          </cell>
          <cell r="AR212">
            <v>8.545185108024695</v>
          </cell>
          <cell r="AS212">
            <v>0</v>
          </cell>
          <cell r="AT212">
            <v>46165</v>
          </cell>
          <cell r="AU212">
            <v>-5.454814891975305</v>
          </cell>
          <cell r="AV212">
            <v>256.35555324074085</v>
          </cell>
          <cell r="AW212">
            <v>-5.454814891975305</v>
          </cell>
          <cell r="AY212">
            <v>261.46369178241002</v>
          </cell>
          <cell r="AZ212" t="str">
            <v>F18</v>
          </cell>
          <cell r="BA212">
            <v>13.23</v>
          </cell>
          <cell r="BB212" t="str">
            <v>NSFC</v>
          </cell>
          <cell r="BC212" t="str">
            <v>F18CK</v>
          </cell>
        </row>
        <row r="213">
          <cell r="A213" t="str">
            <v>519A</v>
          </cell>
          <cell r="B213" t="str">
            <v>3</v>
          </cell>
          <cell r="C213" t="str">
            <v>05</v>
          </cell>
          <cell r="D213">
            <v>17</v>
          </cell>
          <cell r="E213" t="str">
            <v>519A</v>
          </cell>
          <cell r="F213">
            <v>7.88</v>
          </cell>
          <cell r="G213">
            <v>6.55</v>
          </cell>
          <cell r="H213">
            <v>6.55</v>
          </cell>
          <cell r="I213" t="str">
            <v>ST</v>
          </cell>
          <cell r="J213" t="str">
            <v>BK</v>
          </cell>
          <cell r="K213">
            <v>0</v>
          </cell>
          <cell r="L213">
            <v>45946</v>
          </cell>
          <cell r="M213">
            <v>45946</v>
          </cell>
          <cell r="N213">
            <v>48</v>
          </cell>
          <cell r="O213" t="str">
            <v>NS</v>
          </cell>
          <cell r="P213" t="str">
            <v/>
          </cell>
          <cell r="Q213">
            <v>45946</v>
          </cell>
          <cell r="R213" t="str">
            <v/>
          </cell>
          <cell r="S213" t="str">
            <v/>
          </cell>
          <cell r="T213" t="str">
            <v/>
          </cell>
          <cell r="U213">
            <v>70286</v>
          </cell>
          <cell r="V213">
            <v>49795</v>
          </cell>
          <cell r="W213">
            <v>44638</v>
          </cell>
          <cell r="X213" t="str">
            <v>Lokasi Produksi 519A</v>
          </cell>
          <cell r="Z213">
            <v>0</v>
          </cell>
          <cell r="AA213">
            <v>45946</v>
          </cell>
          <cell r="AB213">
            <v>538.59733611111005</v>
          </cell>
          <cell r="AC213">
            <v>17.953244537037001</v>
          </cell>
          <cell r="AD213">
            <v>3.9532445370370013</v>
          </cell>
          <cell r="AE213">
            <v>12.19</v>
          </cell>
          <cell r="AF213">
            <v>0</v>
          </cell>
          <cell r="AG213">
            <v>-1356.7333333333333</v>
          </cell>
          <cell r="AM213" t="str">
            <v>OK</v>
          </cell>
          <cell r="AO213">
            <v>1.6118517746913616</v>
          </cell>
          <cell r="AP213">
            <v>1.6118517746913616</v>
          </cell>
          <cell r="AQ213">
            <v>0</v>
          </cell>
          <cell r="AR213">
            <v>1.6118517746913616</v>
          </cell>
          <cell r="AS213">
            <v>0</v>
          </cell>
          <cell r="AT213">
            <v>45946</v>
          </cell>
          <cell r="AU213">
            <v>1.6118517746913616</v>
          </cell>
          <cell r="AV213">
            <v>48.355553240740846</v>
          </cell>
          <cell r="AW213">
            <v>1.6118517746913616</v>
          </cell>
          <cell r="AY213">
            <v>53.463691782410024</v>
          </cell>
          <cell r="AZ213" t="str">
            <v>F18</v>
          </cell>
          <cell r="BA213">
            <v>0</v>
          </cell>
          <cell r="BB213" t="str">
            <v>NSST</v>
          </cell>
          <cell r="BC213" t="str">
            <v>F18</v>
          </cell>
        </row>
        <row r="214">
          <cell r="A214" t="str">
            <v>519B1</v>
          </cell>
          <cell r="B214" t="str">
            <v>3</v>
          </cell>
          <cell r="C214" t="str">
            <v>05</v>
          </cell>
          <cell r="D214">
            <v>17</v>
          </cell>
          <cell r="E214" t="str">
            <v>519B1</v>
          </cell>
          <cell r="F214">
            <v>7.29</v>
          </cell>
          <cell r="G214">
            <v>5.89</v>
          </cell>
          <cell r="H214">
            <v>5.89</v>
          </cell>
          <cell r="I214" t="str">
            <v>BK</v>
          </cell>
          <cell r="J214" t="str">
            <v>SC</v>
          </cell>
          <cell r="K214">
            <v>0</v>
          </cell>
          <cell r="L214">
            <v>45950</v>
          </cell>
          <cell r="M214">
            <v>45950</v>
          </cell>
          <cell r="N214">
            <v>44</v>
          </cell>
          <cell r="O214" t="str">
            <v>NS</v>
          </cell>
          <cell r="P214" t="str">
            <v/>
          </cell>
          <cell r="Q214">
            <v>45950</v>
          </cell>
          <cell r="R214" t="str">
            <v/>
          </cell>
          <cell r="S214" t="str">
            <v/>
          </cell>
          <cell r="T214" t="str">
            <v/>
          </cell>
          <cell r="U214">
            <v>71740</v>
          </cell>
          <cell r="V214">
            <v>51914</v>
          </cell>
          <cell r="W214">
            <v>44681</v>
          </cell>
          <cell r="X214" t="str">
            <v>Lokasi Produksi 519B1 ( pecahan 519B )</v>
          </cell>
          <cell r="Z214">
            <v>0</v>
          </cell>
          <cell r="AA214">
            <v>45950</v>
          </cell>
          <cell r="AB214">
            <v>82.597336111110053</v>
          </cell>
          <cell r="AC214">
            <v>2.7532445370370016</v>
          </cell>
          <cell r="AD214">
            <v>-20</v>
          </cell>
          <cell r="AE214">
            <v>0</v>
          </cell>
          <cell r="AF214">
            <v>0</v>
          </cell>
          <cell r="AG214">
            <v>-1371.9333333333334</v>
          </cell>
          <cell r="AM214" t="str">
            <v>OK</v>
          </cell>
          <cell r="AO214">
            <v>1.4785184413580281</v>
          </cell>
          <cell r="AP214">
            <v>1.4785184413580281</v>
          </cell>
          <cell r="AQ214">
            <v>0</v>
          </cell>
          <cell r="AR214">
            <v>1.4785184413580281</v>
          </cell>
          <cell r="AS214">
            <v>0</v>
          </cell>
          <cell r="AT214">
            <v>45950</v>
          </cell>
          <cell r="AU214">
            <v>1.4785184413580281</v>
          </cell>
          <cell r="AV214">
            <v>44.355553240740846</v>
          </cell>
          <cell r="AW214">
            <v>1.4785184413580281</v>
          </cell>
          <cell r="AY214">
            <v>49.463691782410024</v>
          </cell>
          <cell r="AZ214" t="str">
            <v>F18</v>
          </cell>
          <cell r="BA214">
            <v>0</v>
          </cell>
          <cell r="BB214" t="str">
            <v>NSBK</v>
          </cell>
          <cell r="BC214" t="str">
            <v>F18</v>
          </cell>
        </row>
        <row r="215">
          <cell r="A215" t="str">
            <v>519B2</v>
          </cell>
          <cell r="B215" t="str">
            <v>3</v>
          </cell>
          <cell r="C215" t="str">
            <v>05</v>
          </cell>
          <cell r="D215">
            <v>17</v>
          </cell>
          <cell r="E215" t="str">
            <v>519B2</v>
          </cell>
          <cell r="F215">
            <v>5.39</v>
          </cell>
          <cell r="G215">
            <v>4.0999999999999996</v>
          </cell>
          <cell r="H215">
            <v>4.0999999999999996</v>
          </cell>
          <cell r="I215" t="str">
            <v>SC</v>
          </cell>
          <cell r="J215" t="str">
            <v>FC</v>
          </cell>
          <cell r="K215">
            <v>8</v>
          </cell>
          <cell r="L215">
            <v>45648</v>
          </cell>
          <cell r="M215">
            <v>45648</v>
          </cell>
          <cell r="N215">
            <v>346</v>
          </cell>
          <cell r="O215" t="str">
            <v>NS</v>
          </cell>
          <cell r="P215" t="str">
            <v/>
          </cell>
          <cell r="Q215">
            <v>45892</v>
          </cell>
          <cell r="R215" t="str">
            <v/>
          </cell>
          <cell r="S215" t="str">
            <v/>
          </cell>
          <cell r="T215">
            <v>45838</v>
          </cell>
          <cell r="U215">
            <v>71601</v>
          </cell>
          <cell r="V215">
            <v>51416</v>
          </cell>
          <cell r="W215">
            <v>44747</v>
          </cell>
          <cell r="X215" t="str">
            <v>Lokasi Produksi 519B2 ( pecahan 519B )</v>
          </cell>
          <cell r="Z215">
            <v>8</v>
          </cell>
          <cell r="AA215">
            <v>45892</v>
          </cell>
          <cell r="AB215">
            <v>215.59733611111005</v>
          </cell>
          <cell r="AC215">
            <v>7.1865778703703347</v>
          </cell>
          <cell r="AD215">
            <v>-0.81342212962966531</v>
          </cell>
          <cell r="AE215">
            <v>6.89</v>
          </cell>
          <cell r="AF215">
            <v>0</v>
          </cell>
          <cell r="AG215">
            <v>-1367.5</v>
          </cell>
          <cell r="AM215" t="str">
            <v>OK</v>
          </cell>
          <cell r="AO215">
            <v>11.545185108024695</v>
          </cell>
          <cell r="AP215">
            <v>3.545185108024695</v>
          </cell>
          <cell r="AQ215">
            <v>45838</v>
          </cell>
          <cell r="AR215">
            <v>6.333333333333333</v>
          </cell>
          <cell r="AS215">
            <v>5.211851774691362</v>
          </cell>
          <cell r="AT215">
            <v>45892</v>
          </cell>
          <cell r="AU215">
            <v>5.211851774691362</v>
          </cell>
          <cell r="AV215">
            <v>190</v>
          </cell>
          <cell r="AW215">
            <v>5.211851774691362</v>
          </cell>
          <cell r="AY215">
            <v>351.46369178241002</v>
          </cell>
          <cell r="AZ215" t="str">
            <v>F18</v>
          </cell>
          <cell r="BA215">
            <v>4.0999999999999996</v>
          </cell>
          <cell r="BB215" t="str">
            <v>NSSC</v>
          </cell>
          <cell r="BC215" t="str">
            <v>F18</v>
          </cell>
        </row>
        <row r="216">
          <cell r="A216" t="str">
            <v>519C1</v>
          </cell>
          <cell r="B216" t="str">
            <v>3</v>
          </cell>
          <cell r="C216" t="str">
            <v>05</v>
          </cell>
          <cell r="D216">
            <v>17</v>
          </cell>
          <cell r="E216" t="str">
            <v>519C1</v>
          </cell>
          <cell r="F216">
            <v>11.04</v>
          </cell>
          <cell r="G216">
            <v>8.7799999999999994</v>
          </cell>
          <cell r="H216">
            <v>8.7799999999999994</v>
          </cell>
          <cell r="I216" t="str">
            <v>SC</v>
          </cell>
          <cell r="J216" t="str">
            <v>FC</v>
          </cell>
          <cell r="K216">
            <v>8</v>
          </cell>
          <cell r="L216">
            <v>45632</v>
          </cell>
          <cell r="M216">
            <v>45632</v>
          </cell>
          <cell r="N216">
            <v>362</v>
          </cell>
          <cell r="O216" t="str">
            <v>NS</v>
          </cell>
          <cell r="P216" t="str">
            <v/>
          </cell>
          <cell r="Q216">
            <v>45876</v>
          </cell>
          <cell r="R216" t="str">
            <v/>
          </cell>
          <cell r="S216" t="str">
            <v/>
          </cell>
          <cell r="T216">
            <v>45841</v>
          </cell>
          <cell r="U216">
            <v>71099</v>
          </cell>
          <cell r="V216">
            <v>51256</v>
          </cell>
          <cell r="W216">
            <v>43837</v>
          </cell>
          <cell r="X216" t="str">
            <v>Lokasi Produksi 519C1 ( pecahan 519C )</v>
          </cell>
          <cell r="Z216">
            <v>8</v>
          </cell>
          <cell r="AA216">
            <v>45876</v>
          </cell>
          <cell r="AB216">
            <v>537.59733611111005</v>
          </cell>
          <cell r="AC216">
            <v>17.91991120370367</v>
          </cell>
          <cell r="AD216">
            <v>3.9199112037036699</v>
          </cell>
          <cell r="AE216">
            <v>19.93</v>
          </cell>
          <cell r="AF216">
            <v>0</v>
          </cell>
          <cell r="AG216">
            <v>-1356.7666666666667</v>
          </cell>
          <cell r="AM216" t="str">
            <v>OK</v>
          </cell>
          <cell r="AO216">
            <v>12.078518441358028</v>
          </cell>
          <cell r="AP216">
            <v>4.0785184413580282</v>
          </cell>
          <cell r="AQ216">
            <v>45841</v>
          </cell>
          <cell r="AR216">
            <v>6.9666666666666668</v>
          </cell>
          <cell r="AS216">
            <v>5.1118517746913614</v>
          </cell>
          <cell r="AT216">
            <v>45876</v>
          </cell>
          <cell r="AU216">
            <v>5.1118517746913614</v>
          </cell>
          <cell r="AV216">
            <v>209</v>
          </cell>
          <cell r="AW216">
            <v>5.1118517746913614</v>
          </cell>
          <cell r="AY216">
            <v>367.46369178241002</v>
          </cell>
          <cell r="AZ216" t="str">
            <v>F18</v>
          </cell>
          <cell r="BA216">
            <v>8.7799999999999994</v>
          </cell>
          <cell r="BB216" t="str">
            <v>NSSC</v>
          </cell>
          <cell r="BC216" t="str">
            <v>F18</v>
          </cell>
        </row>
        <row r="217">
          <cell r="A217" t="str">
            <v>519C2</v>
          </cell>
          <cell r="B217" t="str">
            <v>3</v>
          </cell>
          <cell r="C217" t="str">
            <v>05</v>
          </cell>
          <cell r="D217">
            <v>17</v>
          </cell>
          <cell r="E217" t="str">
            <v>519C2</v>
          </cell>
          <cell r="F217">
            <v>8.02</v>
          </cell>
          <cell r="G217">
            <v>6.24</v>
          </cell>
          <cell r="H217">
            <v>6.32</v>
          </cell>
          <cell r="I217" t="str">
            <v>SC</v>
          </cell>
          <cell r="J217" t="str">
            <v>FC</v>
          </cell>
          <cell r="K217">
            <v>8</v>
          </cell>
          <cell r="L217">
            <v>45638</v>
          </cell>
          <cell r="M217">
            <v>45638</v>
          </cell>
          <cell r="N217">
            <v>356</v>
          </cell>
          <cell r="O217" t="str">
            <v>NS</v>
          </cell>
          <cell r="P217" t="str">
            <v/>
          </cell>
          <cell r="Q217">
            <v>45882</v>
          </cell>
          <cell r="R217" t="str">
            <v/>
          </cell>
          <cell r="S217" t="str">
            <v/>
          </cell>
          <cell r="T217">
            <v>45841</v>
          </cell>
          <cell r="U217">
            <v>71169</v>
          </cell>
          <cell r="V217">
            <v>52259</v>
          </cell>
          <cell r="W217">
            <v>43837</v>
          </cell>
          <cell r="X217" t="str">
            <v>Lokasi Produksi 519C2 ( pecahan 519C )</v>
          </cell>
          <cell r="Z217">
            <v>8</v>
          </cell>
          <cell r="AA217">
            <v>45882</v>
          </cell>
          <cell r="AB217">
            <v>565.59733611111005</v>
          </cell>
          <cell r="AC217">
            <v>18.853244537037003</v>
          </cell>
          <cell r="AD217">
            <v>4.8532445370370034</v>
          </cell>
          <cell r="AE217">
            <v>9.57</v>
          </cell>
          <cell r="AF217">
            <v>0</v>
          </cell>
          <cell r="AG217">
            <v>-1355.8333333333333</v>
          </cell>
          <cell r="AM217" t="str">
            <v>OK</v>
          </cell>
          <cell r="AO217">
            <v>11.878518441358029</v>
          </cell>
          <cell r="AP217">
            <v>3.8785184413580289</v>
          </cell>
          <cell r="AQ217">
            <v>45841</v>
          </cell>
          <cell r="AR217">
            <v>6.7666666666666666</v>
          </cell>
          <cell r="AS217">
            <v>5.1118517746913623</v>
          </cell>
          <cell r="AT217">
            <v>45882</v>
          </cell>
          <cell r="AU217">
            <v>5.1118517746913623</v>
          </cell>
          <cell r="AV217">
            <v>203</v>
          </cell>
          <cell r="AW217">
            <v>5.1118517746913623</v>
          </cell>
          <cell r="AY217">
            <v>361.46369178241002</v>
          </cell>
          <cell r="AZ217" t="str">
            <v>F18</v>
          </cell>
          <cell r="BA217">
            <v>6.24</v>
          </cell>
          <cell r="BB217" t="str">
            <v>NSSC</v>
          </cell>
          <cell r="BC217" t="str">
            <v>F18</v>
          </cell>
        </row>
        <row r="218">
          <cell r="A218" t="str">
            <v>519CS</v>
          </cell>
          <cell r="B218" t="str">
            <v>3</v>
          </cell>
          <cell r="C218" t="str">
            <v>05</v>
          </cell>
          <cell r="D218">
            <v>17</v>
          </cell>
          <cell r="E218" t="str">
            <v>519CS</v>
          </cell>
          <cell r="F218">
            <v>0.81</v>
          </cell>
          <cell r="G218">
            <v>0.79</v>
          </cell>
          <cell r="H218">
            <v>0.79</v>
          </cell>
          <cell r="I218" t="str">
            <v>FC</v>
          </cell>
          <cell r="J218" t="str">
            <v>ST</v>
          </cell>
          <cell r="K218">
            <v>0</v>
          </cell>
          <cell r="L218">
            <v>45618</v>
          </cell>
          <cell r="M218">
            <v>45618</v>
          </cell>
          <cell r="N218">
            <v>376</v>
          </cell>
          <cell r="O218" t="str">
            <v>SK</v>
          </cell>
          <cell r="P218" t="str">
            <v/>
          </cell>
          <cell r="Q218">
            <v>45618</v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>Lokasi Produksi 519CS ( singkong )</v>
          </cell>
          <cell r="Z218">
            <v>0</v>
          </cell>
          <cell r="AA218">
            <v>45618</v>
          </cell>
          <cell r="AB218">
            <v>4867.5973361111101</v>
          </cell>
          <cell r="AC218">
            <v>162.25324453703701</v>
          </cell>
          <cell r="AD218">
            <v>-20</v>
          </cell>
          <cell r="AE218">
            <v>0</v>
          </cell>
          <cell r="AF218">
            <v>0</v>
          </cell>
          <cell r="AG218">
            <v>-1212.4333333333334</v>
          </cell>
          <cell r="AM218" t="str">
            <v>OK</v>
          </cell>
          <cell r="AO218">
            <v>12.545185108024695</v>
          </cell>
          <cell r="AP218">
            <v>12.545185108024695</v>
          </cell>
          <cell r="AQ218">
            <v>0</v>
          </cell>
          <cell r="AR218">
            <v>12.545185108024695</v>
          </cell>
          <cell r="AS218">
            <v>0</v>
          </cell>
          <cell r="AT218">
            <v>45618</v>
          </cell>
          <cell r="AU218">
            <v>12.545185108024695</v>
          </cell>
          <cell r="AV218">
            <v>376.35555324074085</v>
          </cell>
          <cell r="AW218">
            <v>12.545185108024695</v>
          </cell>
          <cell r="AY218">
            <v>381.46369178241002</v>
          </cell>
          <cell r="AZ218" t="str">
            <v>F18</v>
          </cell>
          <cell r="BA218">
            <v>0</v>
          </cell>
          <cell r="BB218" t="str">
            <v>SKFC</v>
          </cell>
          <cell r="BC218" t="str">
            <v>F18</v>
          </cell>
        </row>
        <row r="219">
          <cell r="A219" t="str">
            <v>519D3</v>
          </cell>
          <cell r="B219" t="str">
            <v>3</v>
          </cell>
          <cell r="C219" t="str">
            <v>05</v>
          </cell>
          <cell r="D219">
            <v>17</v>
          </cell>
          <cell r="E219" t="str">
            <v>519D3</v>
          </cell>
          <cell r="F219">
            <v>9.99</v>
          </cell>
          <cell r="G219">
            <v>7.5</v>
          </cell>
          <cell r="H219">
            <v>7.5</v>
          </cell>
          <cell r="I219" t="str">
            <v>BK</v>
          </cell>
          <cell r="J219" t="str">
            <v/>
          </cell>
          <cell r="K219">
            <v>0</v>
          </cell>
          <cell r="L219">
            <v>45968</v>
          </cell>
          <cell r="M219">
            <v>45968</v>
          </cell>
          <cell r="N219">
            <v>26</v>
          </cell>
          <cell r="O219" t="str">
            <v>NS</v>
          </cell>
          <cell r="P219" t="str">
            <v/>
          </cell>
          <cell r="Q219">
            <v>45968</v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>519D1 &amp; 519D2 digabung jadi 519D3</v>
          </cell>
          <cell r="Z219">
            <v>0</v>
          </cell>
          <cell r="AA219">
            <v>45968</v>
          </cell>
          <cell r="AB219">
            <v>49.597336111110053</v>
          </cell>
          <cell r="AC219">
            <v>1.6532445370370017</v>
          </cell>
          <cell r="AD219">
            <v>-20</v>
          </cell>
          <cell r="AE219">
            <v>0</v>
          </cell>
          <cell r="AF219">
            <v>0</v>
          </cell>
          <cell r="AG219">
            <v>-1373.0333333333333</v>
          </cell>
          <cell r="AM219" t="str">
            <v>OK</v>
          </cell>
          <cell r="AO219">
            <v>0.87851844135802826</v>
          </cell>
          <cell r="AP219">
            <v>0.87851844135802826</v>
          </cell>
          <cell r="AQ219">
            <v>0</v>
          </cell>
          <cell r="AR219">
            <v>0.87851844135802826</v>
          </cell>
          <cell r="AS219">
            <v>0</v>
          </cell>
          <cell r="AT219">
            <v>45968</v>
          </cell>
          <cell r="AU219">
            <v>0.87851844135802826</v>
          </cell>
          <cell r="AV219">
            <v>26.355553240740846</v>
          </cell>
          <cell r="AW219">
            <v>0.87851844135802826</v>
          </cell>
          <cell r="AY219">
            <v>31.463691782410024</v>
          </cell>
          <cell r="AZ219" t="str">
            <v>F18</v>
          </cell>
          <cell r="BA219">
            <v>0</v>
          </cell>
          <cell r="BB219" t="str">
            <v>NSBK</v>
          </cell>
          <cell r="BC219" t="str">
            <v>F18</v>
          </cell>
        </row>
        <row r="220">
          <cell r="A220" t="str">
            <v>519DS</v>
          </cell>
          <cell r="B220" t="str">
            <v>3</v>
          </cell>
          <cell r="C220" t="str">
            <v>05</v>
          </cell>
          <cell r="D220">
            <v>17</v>
          </cell>
          <cell r="E220" t="str">
            <v>519DS</v>
          </cell>
          <cell r="F220">
            <v>0.25</v>
          </cell>
          <cell r="G220">
            <v>0.25</v>
          </cell>
          <cell r="H220">
            <v>0.25</v>
          </cell>
          <cell r="I220" t="str">
            <v>FC</v>
          </cell>
          <cell r="J220" t="str">
            <v>ST</v>
          </cell>
          <cell r="K220">
            <v>0</v>
          </cell>
          <cell r="L220">
            <v>45824</v>
          </cell>
          <cell r="M220">
            <v>45824</v>
          </cell>
          <cell r="N220">
            <v>170</v>
          </cell>
          <cell r="O220" t="str">
            <v>SK</v>
          </cell>
          <cell r="P220" t="str">
            <v/>
          </cell>
          <cell r="Q220">
            <v>45824</v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>
            <v>45442</v>
          </cell>
          <cell r="X220" t="str">
            <v>Lokasi Produksi 519DS ( singkong )</v>
          </cell>
          <cell r="Z220">
            <v>0</v>
          </cell>
          <cell r="AA220">
            <v>45824</v>
          </cell>
          <cell r="AB220">
            <v>180.59733611111005</v>
          </cell>
          <cell r="AC220">
            <v>6.0199112037036686</v>
          </cell>
          <cell r="AD220">
            <v>-5.9800887962963314</v>
          </cell>
          <cell r="AE220">
            <v>8.66</v>
          </cell>
          <cell r="AF220">
            <v>0</v>
          </cell>
          <cell r="AG220">
            <v>-1368.6666666666667</v>
          </cell>
          <cell r="AM220" t="str">
            <v>OK</v>
          </cell>
          <cell r="AO220">
            <v>5.6785184413580279</v>
          </cell>
          <cell r="AP220">
            <v>5.6785184413580279</v>
          </cell>
          <cell r="AQ220">
            <v>0</v>
          </cell>
          <cell r="AR220">
            <v>5.6785184413580279</v>
          </cell>
          <cell r="AS220">
            <v>0</v>
          </cell>
          <cell r="AT220">
            <v>45824</v>
          </cell>
          <cell r="AU220">
            <v>5.6785184413580279</v>
          </cell>
          <cell r="AV220">
            <v>170.35555324074085</v>
          </cell>
          <cell r="AW220">
            <v>5.6785184413580279</v>
          </cell>
          <cell r="AY220">
            <v>175.46369178241002</v>
          </cell>
          <cell r="AZ220" t="str">
            <v>F18</v>
          </cell>
          <cell r="BA220">
            <v>0</v>
          </cell>
          <cell r="BB220" t="str">
            <v>SKFC</v>
          </cell>
          <cell r="BC220" t="str">
            <v>F18</v>
          </cell>
        </row>
        <row r="221">
          <cell r="A221" t="str">
            <v>519E2</v>
          </cell>
          <cell r="B221" t="str">
            <v>3</v>
          </cell>
          <cell r="C221" t="str">
            <v>05</v>
          </cell>
          <cell r="D221">
            <v>17</v>
          </cell>
          <cell r="E221" t="str">
            <v>519E2</v>
          </cell>
          <cell r="F221">
            <v>16.23</v>
          </cell>
          <cell r="G221">
            <v>13.33</v>
          </cell>
          <cell r="H221">
            <v>13.33</v>
          </cell>
          <cell r="I221" t="str">
            <v>SC</v>
          </cell>
          <cell r="J221" t="str">
            <v>FC</v>
          </cell>
          <cell r="K221">
            <v>8</v>
          </cell>
          <cell r="L221">
            <v>45952</v>
          </cell>
          <cell r="M221">
            <v>45952</v>
          </cell>
          <cell r="N221">
            <v>42</v>
          </cell>
          <cell r="O221" t="str">
            <v>NS</v>
          </cell>
          <cell r="P221" t="str">
            <v/>
          </cell>
          <cell r="Q221">
            <v>46196</v>
          </cell>
          <cell r="R221" t="str">
            <v/>
          </cell>
          <cell r="S221" t="str">
            <v/>
          </cell>
          <cell r="T221" t="str">
            <v/>
          </cell>
          <cell r="U221">
            <v>69798</v>
          </cell>
          <cell r="V221">
            <v>68728</v>
          </cell>
          <cell r="W221">
            <v>44167</v>
          </cell>
          <cell r="X221" t="str">
            <v>Lokasi Produksi 519E2 ( pecahan 519E )</v>
          </cell>
          <cell r="Z221">
            <v>8</v>
          </cell>
          <cell r="AA221">
            <v>46196</v>
          </cell>
          <cell r="AB221">
            <v>126.59733611111005</v>
          </cell>
          <cell r="AC221">
            <v>4.2199112037036688</v>
          </cell>
          <cell r="AD221">
            <v>-9.7800887962963312</v>
          </cell>
          <cell r="AE221">
            <v>12.96</v>
          </cell>
          <cell r="AF221">
            <v>0</v>
          </cell>
          <cell r="AG221">
            <v>-1370.4666666666667</v>
          </cell>
          <cell r="AK221">
            <v>40342</v>
          </cell>
          <cell r="AM221" t="str">
            <v>OK</v>
          </cell>
          <cell r="AO221">
            <v>1.4118517746913615</v>
          </cell>
          <cell r="AP221">
            <v>-6.5881482253086388</v>
          </cell>
          <cell r="AQ221">
            <v>0</v>
          </cell>
          <cell r="AR221">
            <v>1.4118517746913615</v>
          </cell>
          <cell r="AS221">
            <v>0</v>
          </cell>
          <cell r="AT221">
            <v>46196</v>
          </cell>
          <cell r="AU221">
            <v>-6.5881482253086388</v>
          </cell>
          <cell r="AV221">
            <v>42.355553240740846</v>
          </cell>
          <cell r="AW221">
            <v>-6.5881482253086388</v>
          </cell>
          <cell r="AY221">
            <v>47.463691782410024</v>
          </cell>
          <cell r="AZ221" t="str">
            <v>F18</v>
          </cell>
          <cell r="BA221">
            <v>13.33</v>
          </cell>
          <cell r="BB221" t="str">
            <v>NSSC</v>
          </cell>
          <cell r="BC221" t="str">
            <v>F18</v>
          </cell>
        </row>
        <row r="222">
          <cell r="A222" t="str">
            <v>519E3A</v>
          </cell>
          <cell r="B222" t="str">
            <v>3</v>
          </cell>
          <cell r="C222" t="str">
            <v>05</v>
          </cell>
          <cell r="D222">
            <v>17</v>
          </cell>
          <cell r="E222" t="str">
            <v>519E3A</v>
          </cell>
          <cell r="F222">
            <v>10.97</v>
          </cell>
          <cell r="G222">
            <v>8.9600000000000009</v>
          </cell>
          <cell r="H222">
            <v>8.9600000000000009</v>
          </cell>
          <cell r="I222" t="str">
            <v>SC</v>
          </cell>
          <cell r="J222" t="str">
            <v>FC</v>
          </cell>
          <cell r="K222">
            <v>8</v>
          </cell>
          <cell r="L222">
            <v>45968</v>
          </cell>
          <cell r="M222">
            <v>45968</v>
          </cell>
          <cell r="N222">
            <v>26</v>
          </cell>
          <cell r="O222" t="str">
            <v>NS</v>
          </cell>
          <cell r="P222" t="str">
            <v/>
          </cell>
          <cell r="Q222">
            <v>46212</v>
          </cell>
          <cell r="R222" t="str">
            <v/>
          </cell>
          <cell r="S222" t="str">
            <v/>
          </cell>
          <cell r="T222" t="str">
            <v/>
          </cell>
          <cell r="U222">
            <v>69896</v>
          </cell>
          <cell r="V222">
            <v>70315</v>
          </cell>
          <cell r="W222" t="str">
            <v/>
          </cell>
          <cell r="X222" t="str">
            <v>Lokasi Produksi 519E3A ( pecahan 519E3 )</v>
          </cell>
          <cell r="Z222">
            <v>8</v>
          </cell>
          <cell r="AA222">
            <v>46212</v>
          </cell>
          <cell r="AB222">
            <v>330.59733611111005</v>
          </cell>
          <cell r="AC222">
            <v>11.019911203703668</v>
          </cell>
          <cell r="AD222">
            <v>-4.9800887962963323</v>
          </cell>
          <cell r="AE222">
            <v>7.43</v>
          </cell>
          <cell r="AF222">
            <v>0</v>
          </cell>
          <cell r="AG222">
            <v>-1363.6666666666667</v>
          </cell>
          <cell r="AM222" t="str">
            <v>OK</v>
          </cell>
          <cell r="AO222">
            <v>0.87851844135802826</v>
          </cell>
          <cell r="AP222">
            <v>-7.121481558641972</v>
          </cell>
          <cell r="AQ222">
            <v>0</v>
          </cell>
          <cell r="AR222">
            <v>0.87851844135802826</v>
          </cell>
          <cell r="AS222">
            <v>0</v>
          </cell>
          <cell r="AT222">
            <v>46212</v>
          </cell>
          <cell r="AU222">
            <v>-7.121481558641972</v>
          </cell>
          <cell r="AV222">
            <v>26.355553240740846</v>
          </cell>
          <cell r="AW222">
            <v>-7.121481558641972</v>
          </cell>
          <cell r="AY222">
            <v>31.463691782410024</v>
          </cell>
          <cell r="AZ222" t="str">
            <v>F18</v>
          </cell>
          <cell r="BA222">
            <v>8.9600000000000009</v>
          </cell>
          <cell r="BB222" t="str">
            <v>NSSC</v>
          </cell>
          <cell r="BC222" t="str">
            <v>F18</v>
          </cell>
        </row>
        <row r="223">
          <cell r="A223" t="str">
            <v>519E3B</v>
          </cell>
          <cell r="B223" t="str">
            <v>3</v>
          </cell>
          <cell r="C223" t="str">
            <v>05</v>
          </cell>
          <cell r="D223">
            <v>17</v>
          </cell>
          <cell r="E223" t="str">
            <v>519E3B</v>
          </cell>
          <cell r="F223">
            <v>8.3699999999999992</v>
          </cell>
          <cell r="G223">
            <v>6.86</v>
          </cell>
          <cell r="H223">
            <v>6.86</v>
          </cell>
          <cell r="I223" t="str">
            <v>FC</v>
          </cell>
          <cell r="J223" t="str">
            <v>ST</v>
          </cell>
          <cell r="K223">
            <v>14</v>
          </cell>
          <cell r="L223">
            <v>45496</v>
          </cell>
          <cell r="M223">
            <v>45496</v>
          </cell>
          <cell r="N223">
            <v>498</v>
          </cell>
          <cell r="O223" t="str">
            <v>NS</v>
          </cell>
          <cell r="P223" t="str">
            <v>NSF18CK3</v>
          </cell>
          <cell r="Q223">
            <v>45923</v>
          </cell>
          <cell r="R223" t="str">
            <v/>
          </cell>
          <cell r="S223" t="str">
            <v/>
          </cell>
          <cell r="T223">
            <v>45863</v>
          </cell>
          <cell r="U223">
            <v>68046</v>
          </cell>
          <cell r="V223">
            <v>66614</v>
          </cell>
          <cell r="W223">
            <v>45407</v>
          </cell>
          <cell r="X223" t="str">
            <v>Lokasi Produksi 519E3B ( pecahan 519E3 )</v>
          </cell>
          <cell r="Z223">
            <v>14</v>
          </cell>
          <cell r="AA223">
            <v>45923</v>
          </cell>
          <cell r="AB223">
            <v>4789.5973361111101</v>
          </cell>
          <cell r="AC223">
            <v>159.65324453703701</v>
          </cell>
          <cell r="AD223">
            <v>-20</v>
          </cell>
          <cell r="AE223">
            <v>0</v>
          </cell>
          <cell r="AF223">
            <v>0</v>
          </cell>
          <cell r="AG223">
            <v>-1215.0333333333333</v>
          </cell>
          <cell r="AM223" t="str">
            <v>OK</v>
          </cell>
          <cell r="AO223">
            <v>16.611851774691363</v>
          </cell>
          <cell r="AP223">
            <v>2.6118517746913632</v>
          </cell>
          <cell r="AQ223">
            <v>45863</v>
          </cell>
          <cell r="AR223">
            <v>12.233333333333333</v>
          </cell>
          <cell r="AS223">
            <v>4.3785184413580307</v>
          </cell>
          <cell r="AT223">
            <v>45923</v>
          </cell>
          <cell r="AU223">
            <v>4.3785184413580307</v>
          </cell>
          <cell r="AV223">
            <v>367</v>
          </cell>
          <cell r="AW223">
            <v>4.3785184413580307</v>
          </cell>
          <cell r="AY223">
            <v>503.46369178241002</v>
          </cell>
          <cell r="AZ223" t="str">
            <v>F18</v>
          </cell>
          <cell r="BA223">
            <v>6.86</v>
          </cell>
          <cell r="BB223" t="str">
            <v>NSFC</v>
          </cell>
          <cell r="BC223" t="str">
            <v>F18CK</v>
          </cell>
        </row>
        <row r="224">
          <cell r="A224" t="str">
            <v>519F</v>
          </cell>
          <cell r="B224" t="str">
            <v>3</v>
          </cell>
          <cell r="C224" t="str">
            <v>05</v>
          </cell>
          <cell r="D224">
            <v>17</v>
          </cell>
          <cell r="E224" t="str">
            <v>519F</v>
          </cell>
          <cell r="F224">
            <v>9.27</v>
          </cell>
          <cell r="G224">
            <v>7.73</v>
          </cell>
          <cell r="H224">
            <v>7.73</v>
          </cell>
          <cell r="I224" t="str">
            <v>FC</v>
          </cell>
          <cell r="J224" t="str">
            <v>ST</v>
          </cell>
          <cell r="K224">
            <v>14</v>
          </cell>
          <cell r="L224">
            <v>45735</v>
          </cell>
          <cell r="M224">
            <v>45735</v>
          </cell>
          <cell r="N224">
            <v>259</v>
          </cell>
          <cell r="O224" t="str">
            <v>NS</v>
          </cell>
          <cell r="P224" t="str">
            <v>NSGP3CK3</v>
          </cell>
          <cell r="Q224">
            <v>46162</v>
          </cell>
          <cell r="R224" t="str">
            <v/>
          </cell>
          <cell r="S224" t="str">
            <v/>
          </cell>
          <cell r="T224" t="str">
            <v/>
          </cell>
          <cell r="U224">
            <v>63429</v>
          </cell>
          <cell r="V224">
            <v>68546</v>
          </cell>
          <cell r="W224">
            <v>44720</v>
          </cell>
          <cell r="X224" t="str">
            <v>Lokasi Produksi 519F</v>
          </cell>
          <cell r="Z224">
            <v>14</v>
          </cell>
          <cell r="AA224">
            <v>46162</v>
          </cell>
          <cell r="AB224">
            <v>325.59733611111005</v>
          </cell>
          <cell r="AC224">
            <v>10.853244537037002</v>
          </cell>
          <cell r="AD224">
            <v>-20</v>
          </cell>
          <cell r="AE224">
            <v>0</v>
          </cell>
          <cell r="AF224">
            <v>0</v>
          </cell>
          <cell r="AG224">
            <v>-1363.8333333333333</v>
          </cell>
          <cell r="AM224" t="str">
            <v>OK</v>
          </cell>
          <cell r="AO224">
            <v>8.6451851080246946</v>
          </cell>
          <cell r="AP224">
            <v>-5.3548148919753054</v>
          </cell>
          <cell r="AQ224">
            <v>0</v>
          </cell>
          <cell r="AR224">
            <v>8.6451851080246946</v>
          </cell>
          <cell r="AS224">
            <v>0</v>
          </cell>
          <cell r="AT224">
            <v>46162</v>
          </cell>
          <cell r="AU224">
            <v>-5.3548148919753054</v>
          </cell>
          <cell r="AV224">
            <v>259.35555324074085</v>
          </cell>
          <cell r="AW224">
            <v>-5.3548148919753054</v>
          </cell>
          <cell r="AY224">
            <v>264.46369178241002</v>
          </cell>
          <cell r="AZ224" t="str">
            <v>GP3</v>
          </cell>
          <cell r="BA224">
            <v>7.73</v>
          </cell>
          <cell r="BB224" t="str">
            <v>NSFC</v>
          </cell>
          <cell r="BC224" t="str">
            <v>GP3CK</v>
          </cell>
        </row>
        <row r="225">
          <cell r="A225" t="str">
            <v>519G</v>
          </cell>
          <cell r="B225" t="str">
            <v>3</v>
          </cell>
          <cell r="C225" t="str">
            <v>05</v>
          </cell>
          <cell r="D225">
            <v>17</v>
          </cell>
          <cell r="E225" t="str">
            <v>519G</v>
          </cell>
          <cell r="F225">
            <v>8.7200000000000006</v>
          </cell>
          <cell r="G225">
            <v>7.41</v>
          </cell>
          <cell r="H225">
            <v>7.41</v>
          </cell>
          <cell r="I225" t="str">
            <v>FC</v>
          </cell>
          <cell r="J225" t="str">
            <v>ST</v>
          </cell>
          <cell r="K225">
            <v>14</v>
          </cell>
          <cell r="L225">
            <v>45738</v>
          </cell>
          <cell r="M225">
            <v>45738</v>
          </cell>
          <cell r="N225">
            <v>256</v>
          </cell>
          <cell r="O225" t="str">
            <v>NS</v>
          </cell>
          <cell r="P225" t="str">
            <v>NSGP3CK3</v>
          </cell>
          <cell r="Q225">
            <v>46165</v>
          </cell>
          <cell r="R225" t="str">
            <v/>
          </cell>
          <cell r="S225" t="str">
            <v/>
          </cell>
          <cell r="T225" t="str">
            <v/>
          </cell>
          <cell r="U225">
            <v>62200</v>
          </cell>
          <cell r="V225">
            <v>71585</v>
          </cell>
          <cell r="W225">
            <v>44250</v>
          </cell>
          <cell r="X225" t="str">
            <v>Lokasi Produksi 519G</v>
          </cell>
          <cell r="Z225">
            <v>14</v>
          </cell>
          <cell r="AA225">
            <v>46165</v>
          </cell>
          <cell r="AB225">
            <v>350.59733611111005</v>
          </cell>
          <cell r="AC225">
            <v>11.686577870370336</v>
          </cell>
          <cell r="AD225">
            <v>-4.3134221296296644</v>
          </cell>
          <cell r="AE225">
            <v>20.09</v>
          </cell>
          <cell r="AF225">
            <v>0</v>
          </cell>
          <cell r="AG225">
            <v>-1363</v>
          </cell>
          <cell r="AM225" t="str">
            <v>OK</v>
          </cell>
          <cell r="AO225">
            <v>8.545185108024695</v>
          </cell>
          <cell r="AP225">
            <v>-5.454814891975305</v>
          </cell>
          <cell r="AQ225">
            <v>0</v>
          </cell>
          <cell r="AR225">
            <v>8.545185108024695</v>
          </cell>
          <cell r="AS225">
            <v>0</v>
          </cell>
          <cell r="AT225">
            <v>46165</v>
          </cell>
          <cell r="AU225">
            <v>-5.454814891975305</v>
          </cell>
          <cell r="AV225">
            <v>256.35555324074085</v>
          </cell>
          <cell r="AW225">
            <v>-5.454814891975305</v>
          </cell>
          <cell r="AY225">
            <v>261.46369178241002</v>
          </cell>
          <cell r="AZ225" t="str">
            <v>GP3</v>
          </cell>
          <cell r="BA225">
            <v>7.41</v>
          </cell>
          <cell r="BB225" t="str">
            <v>NSFC</v>
          </cell>
          <cell r="BC225" t="str">
            <v>GP3CK</v>
          </cell>
        </row>
        <row r="226">
          <cell r="A226" t="str">
            <v>519O1</v>
          </cell>
          <cell r="B226" t="str">
            <v>3</v>
          </cell>
          <cell r="C226" t="str">
            <v>05</v>
          </cell>
          <cell r="D226">
            <v>18</v>
          </cell>
          <cell r="E226" t="str">
            <v>519O1</v>
          </cell>
          <cell r="F226">
            <v>6.65</v>
          </cell>
          <cell r="G226">
            <v>5.63</v>
          </cell>
          <cell r="H226">
            <v>5.63</v>
          </cell>
          <cell r="I226" t="str">
            <v>BB</v>
          </cell>
          <cell r="J226" t="str">
            <v>FC</v>
          </cell>
          <cell r="K226">
            <v>0</v>
          </cell>
          <cell r="L226">
            <v>45979</v>
          </cell>
          <cell r="M226">
            <v>45979</v>
          </cell>
          <cell r="N226">
            <v>15</v>
          </cell>
          <cell r="O226" t="str">
            <v>NS</v>
          </cell>
          <cell r="P226" t="str">
            <v/>
          </cell>
          <cell r="Q226">
            <v>45979</v>
          </cell>
          <cell r="R226" t="str">
            <v/>
          </cell>
          <cell r="S226" t="str">
            <v/>
          </cell>
          <cell r="T226" t="str">
            <v/>
          </cell>
          <cell r="U226">
            <v>63799</v>
          </cell>
          <cell r="V226">
            <v>70252</v>
          </cell>
          <cell r="W226">
            <v>43721</v>
          </cell>
          <cell r="X226" t="str">
            <v>Lokasi NR GP3</v>
          </cell>
          <cell r="Z226">
            <v>0</v>
          </cell>
          <cell r="AA226">
            <v>45979</v>
          </cell>
          <cell r="AB226">
            <v>225.59733611111005</v>
          </cell>
          <cell r="AC226">
            <v>7.5199112037036686</v>
          </cell>
          <cell r="AD226">
            <v>-4.4800887962963314</v>
          </cell>
          <cell r="AE226">
            <v>9.2799999999999994</v>
          </cell>
          <cell r="AF226">
            <v>0</v>
          </cell>
          <cell r="AG226">
            <v>-1367.1666666666667</v>
          </cell>
          <cell r="AM226" t="str">
            <v>OK</v>
          </cell>
          <cell r="AO226">
            <v>0.51185177469136156</v>
          </cell>
          <cell r="AP226">
            <v>0.51185177469136156</v>
          </cell>
          <cell r="AQ226">
            <v>0</v>
          </cell>
          <cell r="AR226">
            <v>0.51185177469136156</v>
          </cell>
          <cell r="AS226">
            <v>0</v>
          </cell>
          <cell r="AT226">
            <v>45979</v>
          </cell>
          <cell r="AU226">
            <v>0.51185177469136156</v>
          </cell>
          <cell r="AV226">
            <v>15.355553240740846</v>
          </cell>
          <cell r="AW226">
            <v>0.51185177469136156</v>
          </cell>
          <cell r="AY226">
            <v>20.463691782410024</v>
          </cell>
          <cell r="AZ226" t="str">
            <v>F18</v>
          </cell>
          <cell r="BA226">
            <v>0</v>
          </cell>
          <cell r="BB226" t="str">
            <v>NSBB</v>
          </cell>
          <cell r="BC226" t="str">
            <v>F18</v>
          </cell>
        </row>
        <row r="227">
          <cell r="A227" t="str">
            <v>519O2</v>
          </cell>
          <cell r="B227" t="str">
            <v>3</v>
          </cell>
          <cell r="C227" t="str">
            <v>05</v>
          </cell>
          <cell r="D227">
            <v>18</v>
          </cell>
          <cell r="E227" t="str">
            <v>519O2</v>
          </cell>
          <cell r="F227">
            <v>4.47</v>
          </cell>
          <cell r="G227">
            <v>3.7</v>
          </cell>
          <cell r="H227">
            <v>3.7</v>
          </cell>
          <cell r="I227" t="str">
            <v>BB</v>
          </cell>
          <cell r="J227" t="str">
            <v>FC</v>
          </cell>
          <cell r="K227">
            <v>0</v>
          </cell>
          <cell r="L227">
            <v>45979</v>
          </cell>
          <cell r="M227">
            <v>45979</v>
          </cell>
          <cell r="N227">
            <v>15</v>
          </cell>
          <cell r="O227" t="str">
            <v>NS</v>
          </cell>
          <cell r="P227" t="str">
            <v/>
          </cell>
          <cell r="Q227">
            <v>45979</v>
          </cell>
          <cell r="R227" t="str">
            <v/>
          </cell>
          <cell r="S227" t="str">
            <v/>
          </cell>
          <cell r="T227" t="str">
            <v/>
          </cell>
          <cell r="U227">
            <v>70354</v>
          </cell>
          <cell r="V227">
            <v>69127</v>
          </cell>
          <cell r="W227">
            <v>43721</v>
          </cell>
          <cell r="X227" t="str">
            <v>Lokasi NR GP3</v>
          </cell>
          <cell r="Z227">
            <v>0</v>
          </cell>
          <cell r="AA227">
            <v>45979</v>
          </cell>
          <cell r="AB227">
            <v>355.59733611111005</v>
          </cell>
          <cell r="AC227">
            <v>11.853244537037002</v>
          </cell>
          <cell r="AD227">
            <v>-2.1467554629629984</v>
          </cell>
          <cell r="AE227">
            <v>12.75</v>
          </cell>
          <cell r="AF227">
            <v>0</v>
          </cell>
          <cell r="AG227">
            <v>-1362.8333333333333</v>
          </cell>
          <cell r="AM227" t="str">
            <v>OK</v>
          </cell>
          <cell r="AO227">
            <v>0.51185177469136156</v>
          </cell>
          <cell r="AP227">
            <v>0.51185177469136156</v>
          </cell>
          <cell r="AQ227">
            <v>0</v>
          </cell>
          <cell r="AR227">
            <v>0.51185177469136156</v>
          </cell>
          <cell r="AS227">
            <v>0</v>
          </cell>
          <cell r="AT227">
            <v>45979</v>
          </cell>
          <cell r="AU227">
            <v>0.51185177469136156</v>
          </cell>
          <cell r="AV227">
            <v>15.355553240740846</v>
          </cell>
          <cell r="AW227">
            <v>0.51185177469136156</v>
          </cell>
          <cell r="AY227">
            <v>20.463691782410024</v>
          </cell>
          <cell r="AZ227" t="str">
            <v>F18</v>
          </cell>
          <cell r="BA227">
            <v>0</v>
          </cell>
          <cell r="BB227" t="str">
            <v>NSBB</v>
          </cell>
          <cell r="BC227" t="str">
            <v>F18</v>
          </cell>
        </row>
        <row r="228">
          <cell r="A228" t="str">
            <v>519P</v>
          </cell>
          <cell r="B228" t="str">
            <v>3</v>
          </cell>
          <cell r="C228" t="str">
            <v>05</v>
          </cell>
          <cell r="D228">
            <v>18</v>
          </cell>
          <cell r="E228" t="str">
            <v>519P</v>
          </cell>
          <cell r="F228">
            <v>6.86</v>
          </cell>
          <cell r="G228">
            <v>5.67</v>
          </cell>
          <cell r="H228">
            <v>5.67</v>
          </cell>
          <cell r="I228" t="str">
            <v>FC</v>
          </cell>
          <cell r="J228" t="str">
            <v>ST</v>
          </cell>
          <cell r="K228">
            <v>14</v>
          </cell>
          <cell r="L228">
            <v>45596</v>
          </cell>
          <cell r="M228">
            <v>45596</v>
          </cell>
          <cell r="N228">
            <v>398</v>
          </cell>
          <cell r="O228" t="str">
            <v>NS</v>
          </cell>
          <cell r="P228" t="str">
            <v>NSF18CK3</v>
          </cell>
          <cell r="Q228">
            <v>46023</v>
          </cell>
          <cell r="R228" t="str">
            <v/>
          </cell>
          <cell r="S228" t="str">
            <v/>
          </cell>
          <cell r="T228" t="str">
            <v/>
          </cell>
          <cell r="U228">
            <v>66516</v>
          </cell>
          <cell r="V228">
            <v>65364</v>
          </cell>
          <cell r="W228" t="str">
            <v/>
          </cell>
          <cell r="X228" t="str">
            <v>Lokasi NR GP3</v>
          </cell>
          <cell r="Z228">
            <v>14</v>
          </cell>
          <cell r="AA228">
            <v>46023</v>
          </cell>
          <cell r="AB228">
            <v>325.59733611111005</v>
          </cell>
          <cell r="AC228">
            <v>10.853244537037002</v>
          </cell>
          <cell r="AD228">
            <v>-20</v>
          </cell>
          <cell r="AE228">
            <v>0</v>
          </cell>
          <cell r="AF228">
            <v>0</v>
          </cell>
          <cell r="AG228">
            <v>-1363.8333333333333</v>
          </cell>
          <cell r="AM228" t="str">
            <v>OK</v>
          </cell>
          <cell r="AO228">
            <v>13.278518441358028</v>
          </cell>
          <cell r="AP228">
            <v>-0.7214815586419725</v>
          </cell>
          <cell r="AQ228">
            <v>0</v>
          </cell>
          <cell r="AR228">
            <v>13.278518441358028</v>
          </cell>
          <cell r="AS228">
            <v>0</v>
          </cell>
          <cell r="AT228">
            <v>46023</v>
          </cell>
          <cell r="AU228">
            <v>-0.7214815586419725</v>
          </cell>
          <cell r="AV228">
            <v>398.35555324074085</v>
          </cell>
          <cell r="AW228">
            <v>-0.7214815586419725</v>
          </cell>
          <cell r="AY228">
            <v>403.46369178241002</v>
          </cell>
          <cell r="AZ228" t="str">
            <v>F18</v>
          </cell>
          <cell r="BA228">
            <v>5.67</v>
          </cell>
          <cell r="BB228" t="str">
            <v>NSFC</v>
          </cell>
          <cell r="BC228" t="str">
            <v>F18CK</v>
          </cell>
        </row>
        <row r="229">
          <cell r="A229" t="str">
            <v>519Q</v>
          </cell>
          <cell r="B229" t="str">
            <v>3</v>
          </cell>
          <cell r="C229" t="str">
            <v>05</v>
          </cell>
          <cell r="D229">
            <v>18</v>
          </cell>
          <cell r="E229" t="str">
            <v>519Q</v>
          </cell>
          <cell r="F229">
            <v>12.28</v>
          </cell>
          <cell r="G229">
            <v>10.19</v>
          </cell>
          <cell r="H229">
            <v>10.19</v>
          </cell>
          <cell r="I229" t="str">
            <v>FC</v>
          </cell>
          <cell r="J229" t="str">
            <v>ST</v>
          </cell>
          <cell r="K229">
            <v>14</v>
          </cell>
          <cell r="L229">
            <v>45587</v>
          </cell>
          <cell r="M229">
            <v>45587</v>
          </cell>
          <cell r="N229">
            <v>407</v>
          </cell>
          <cell r="O229" t="str">
            <v>NS</v>
          </cell>
          <cell r="P229" t="str">
            <v>NSGP3CK3</v>
          </cell>
          <cell r="Q229">
            <v>46014</v>
          </cell>
          <cell r="R229" t="str">
            <v/>
          </cell>
          <cell r="S229" t="str">
            <v/>
          </cell>
          <cell r="T229" t="str">
            <v/>
          </cell>
          <cell r="U229">
            <v>63775</v>
          </cell>
          <cell r="V229">
            <v>66442</v>
          </cell>
          <cell r="W229" t="str">
            <v/>
          </cell>
          <cell r="X229" t="str">
            <v>Lokasi Produksi 519Q</v>
          </cell>
          <cell r="Z229">
            <v>14</v>
          </cell>
          <cell r="AA229">
            <v>46014</v>
          </cell>
          <cell r="AB229">
            <v>4788.5973361111101</v>
          </cell>
          <cell r="AC229">
            <v>159.61991120370368</v>
          </cell>
          <cell r="AD229">
            <v>-20</v>
          </cell>
          <cell r="AE229">
            <v>0</v>
          </cell>
          <cell r="AF229">
            <v>0</v>
          </cell>
          <cell r="AG229">
            <v>-1215.0666666666666</v>
          </cell>
          <cell r="AM229" t="str">
            <v>OK</v>
          </cell>
          <cell r="AO229">
            <v>13.578518441358028</v>
          </cell>
          <cell r="AP229">
            <v>-0.42148155864197179</v>
          </cell>
          <cell r="AQ229">
            <v>0</v>
          </cell>
          <cell r="AR229">
            <v>13.578518441358028</v>
          </cell>
          <cell r="AS229">
            <v>0</v>
          </cell>
          <cell r="AT229">
            <v>46014</v>
          </cell>
          <cell r="AU229">
            <v>-0.42148155864197179</v>
          </cell>
          <cell r="AV229">
            <v>407.35555324074085</v>
          </cell>
          <cell r="AW229">
            <v>-0.42148155864197179</v>
          </cell>
          <cell r="AY229">
            <v>412.46369178241002</v>
          </cell>
          <cell r="AZ229" t="str">
            <v>GP3</v>
          </cell>
          <cell r="BA229">
            <v>10.19</v>
          </cell>
          <cell r="BB229" t="str">
            <v>NSFC</v>
          </cell>
          <cell r="BC229" t="str">
            <v>GP3CK</v>
          </cell>
        </row>
        <row r="230">
          <cell r="A230" t="str">
            <v>519R</v>
          </cell>
          <cell r="B230" t="str">
            <v>3</v>
          </cell>
          <cell r="C230" t="str">
            <v>05</v>
          </cell>
          <cell r="D230">
            <v>18</v>
          </cell>
          <cell r="E230" t="str">
            <v>519R</v>
          </cell>
          <cell r="F230">
            <v>8.8699999999999992</v>
          </cell>
          <cell r="G230">
            <v>7.41</v>
          </cell>
          <cell r="H230">
            <v>7.41</v>
          </cell>
          <cell r="I230" t="str">
            <v>FC</v>
          </cell>
          <cell r="J230" t="str">
            <v>ST</v>
          </cell>
          <cell r="K230">
            <v>10</v>
          </cell>
          <cell r="L230">
            <v>45669</v>
          </cell>
          <cell r="M230">
            <v>45669</v>
          </cell>
          <cell r="N230">
            <v>325</v>
          </cell>
          <cell r="O230" t="str">
            <v>NS</v>
          </cell>
          <cell r="P230" t="str">
            <v>NSGP3SB3</v>
          </cell>
          <cell r="Q230">
            <v>45974</v>
          </cell>
          <cell r="R230" t="str">
            <v/>
          </cell>
          <cell r="S230" t="str">
            <v/>
          </cell>
          <cell r="T230">
            <v>45985</v>
          </cell>
          <cell r="U230">
            <v>66345</v>
          </cell>
          <cell r="V230">
            <v>71728</v>
          </cell>
          <cell r="W230">
            <v>44031</v>
          </cell>
          <cell r="X230" t="str">
            <v>Lokasi Produksi 519R ( pisang )</v>
          </cell>
          <cell r="Z230">
            <v>10</v>
          </cell>
          <cell r="AA230">
            <v>45974</v>
          </cell>
          <cell r="AB230">
            <v>536.59733611111005</v>
          </cell>
          <cell r="AC230">
            <v>17.886577870370335</v>
          </cell>
          <cell r="AD230">
            <v>3.8865778703703349</v>
          </cell>
          <cell r="AE230">
            <v>11.55</v>
          </cell>
          <cell r="AF230">
            <v>0</v>
          </cell>
          <cell r="AG230">
            <v>-1356.8</v>
          </cell>
          <cell r="AM230" t="str">
            <v>OK</v>
          </cell>
          <cell r="AO230">
            <v>10.845185108024696</v>
          </cell>
          <cell r="AP230">
            <v>0.84518510802469571</v>
          </cell>
          <cell r="AQ230">
            <v>45985</v>
          </cell>
          <cell r="AR230">
            <v>10.533333333333333</v>
          </cell>
          <cell r="AS230">
            <v>0.31185177469136249</v>
          </cell>
          <cell r="AT230">
            <v>45974</v>
          </cell>
          <cell r="AU230">
            <v>0.31185177469136249</v>
          </cell>
          <cell r="AV230">
            <v>316</v>
          </cell>
          <cell r="AW230">
            <v>0.31185177469136249</v>
          </cell>
          <cell r="AY230">
            <v>330.46369178241002</v>
          </cell>
          <cell r="AZ230" t="str">
            <v>GP3</v>
          </cell>
          <cell r="BA230">
            <v>7.41</v>
          </cell>
          <cell r="BB230" t="str">
            <v>NSFC</v>
          </cell>
          <cell r="BC230" t="str">
            <v>GP3SB</v>
          </cell>
        </row>
        <row r="231">
          <cell r="A231" t="str">
            <v>520A</v>
          </cell>
          <cell r="B231" t="str">
            <v>3</v>
          </cell>
          <cell r="C231" t="str">
            <v>05</v>
          </cell>
          <cell r="D231">
            <v>17</v>
          </cell>
          <cell r="E231" t="str">
            <v>520A</v>
          </cell>
          <cell r="F231">
            <v>6.88</v>
          </cell>
          <cell r="G231">
            <v>5.62</v>
          </cell>
          <cell r="H231">
            <v>5.62</v>
          </cell>
          <cell r="I231" t="str">
            <v>FC</v>
          </cell>
          <cell r="J231" t="str">
            <v>ST</v>
          </cell>
          <cell r="K231">
            <v>14</v>
          </cell>
          <cell r="L231">
            <v>45526</v>
          </cell>
          <cell r="M231">
            <v>45526</v>
          </cell>
          <cell r="N231">
            <v>468</v>
          </cell>
          <cell r="O231" t="str">
            <v>NS</v>
          </cell>
          <cell r="P231" t="str">
            <v>NSF18CK3</v>
          </cell>
          <cell r="Q231">
            <v>45953</v>
          </cell>
          <cell r="R231" t="str">
            <v/>
          </cell>
          <cell r="S231" t="str">
            <v/>
          </cell>
          <cell r="T231">
            <v>45927</v>
          </cell>
          <cell r="U231">
            <v>64470</v>
          </cell>
          <cell r="V231">
            <v>67073</v>
          </cell>
          <cell r="W231" t="str">
            <v/>
          </cell>
          <cell r="X231" t="str">
            <v>Lokasi Produksi 520A</v>
          </cell>
          <cell r="Z231">
            <v>14</v>
          </cell>
          <cell r="AA231">
            <v>45953</v>
          </cell>
          <cell r="AB231">
            <v>707.59733611111005</v>
          </cell>
          <cell r="AC231">
            <v>23.586577870370334</v>
          </cell>
          <cell r="AD231">
            <v>5.5865778703703342</v>
          </cell>
          <cell r="AE231">
            <v>12.28</v>
          </cell>
          <cell r="AF231">
            <v>0</v>
          </cell>
          <cell r="AG231">
            <v>-1351.1</v>
          </cell>
          <cell r="AK231">
            <v>40389</v>
          </cell>
          <cell r="AM231" t="str">
            <v>OK</v>
          </cell>
          <cell r="AO231">
            <v>15.611851774691361</v>
          </cell>
          <cell r="AP231">
            <v>1.6118517746913614</v>
          </cell>
          <cell r="AQ231">
            <v>45927</v>
          </cell>
          <cell r="AR231">
            <v>13.366666666666667</v>
          </cell>
          <cell r="AS231">
            <v>2.2451851080246943</v>
          </cell>
          <cell r="AT231">
            <v>45953</v>
          </cell>
          <cell r="AU231">
            <v>2.2451851080246943</v>
          </cell>
          <cell r="AV231">
            <v>401</v>
          </cell>
          <cell r="AW231">
            <v>2.2451851080246943</v>
          </cell>
          <cell r="AY231">
            <v>473.46369178241002</v>
          </cell>
          <cell r="AZ231" t="str">
            <v>F18</v>
          </cell>
          <cell r="BA231">
            <v>5.62</v>
          </cell>
          <cell r="BB231" t="str">
            <v>NSFC</v>
          </cell>
          <cell r="BC231" t="str">
            <v>F18CK</v>
          </cell>
        </row>
        <row r="232">
          <cell r="A232" t="str">
            <v>520B</v>
          </cell>
          <cell r="B232" t="str">
            <v>3</v>
          </cell>
          <cell r="C232" t="str">
            <v>05</v>
          </cell>
          <cell r="D232">
            <v>17</v>
          </cell>
          <cell r="E232" t="str">
            <v>520B</v>
          </cell>
          <cell r="F232">
            <v>11.27</v>
          </cell>
          <cell r="G232">
            <v>9.3000000000000007</v>
          </cell>
          <cell r="H232">
            <v>9.3000000000000007</v>
          </cell>
          <cell r="I232" t="str">
            <v>FC</v>
          </cell>
          <cell r="J232" t="str">
            <v>ST</v>
          </cell>
          <cell r="K232">
            <v>14</v>
          </cell>
          <cell r="L232">
            <v>45558</v>
          </cell>
          <cell r="M232">
            <v>45558</v>
          </cell>
          <cell r="N232">
            <v>436</v>
          </cell>
          <cell r="O232" t="str">
            <v>NS</v>
          </cell>
          <cell r="P232" t="str">
            <v>NSF18CK3</v>
          </cell>
          <cell r="Q232">
            <v>45985</v>
          </cell>
          <cell r="R232" t="str">
            <v/>
          </cell>
          <cell r="S232" t="str">
            <v/>
          </cell>
          <cell r="T232">
            <v>45959</v>
          </cell>
          <cell r="U232">
            <v>64001</v>
          </cell>
          <cell r="V232">
            <v>63829</v>
          </cell>
          <cell r="W232">
            <v>43943</v>
          </cell>
          <cell r="X232" t="str">
            <v>Lokasi Produksi 520B</v>
          </cell>
          <cell r="Z232">
            <v>14</v>
          </cell>
          <cell r="AA232">
            <v>45985</v>
          </cell>
          <cell r="AB232">
            <v>706.59733611111005</v>
          </cell>
          <cell r="AC232">
            <v>23.553244537037003</v>
          </cell>
          <cell r="AD232">
            <v>5.5532445370370027</v>
          </cell>
          <cell r="AE232">
            <v>9.56</v>
          </cell>
          <cell r="AF232">
            <v>0</v>
          </cell>
          <cell r="AG232">
            <v>-1351.1333333333334</v>
          </cell>
          <cell r="AM232" t="str">
            <v>OK</v>
          </cell>
          <cell r="AO232">
            <v>14.545185108024695</v>
          </cell>
          <cell r="AP232">
            <v>0.545185108024695</v>
          </cell>
          <cell r="AQ232">
            <v>45959</v>
          </cell>
          <cell r="AR232">
            <v>13.366666666666667</v>
          </cell>
          <cell r="AS232">
            <v>1.1785184413580279</v>
          </cell>
          <cell r="AT232">
            <v>45985</v>
          </cell>
          <cell r="AU232">
            <v>1.1785184413580279</v>
          </cell>
          <cell r="AV232">
            <v>401</v>
          </cell>
          <cell r="AW232">
            <v>1.1785184413580279</v>
          </cell>
          <cell r="AY232">
            <v>441.46369178241002</v>
          </cell>
          <cell r="AZ232" t="str">
            <v>F18</v>
          </cell>
          <cell r="BA232">
            <v>9.3000000000000007</v>
          </cell>
          <cell r="BB232" t="str">
            <v>NSFC</v>
          </cell>
          <cell r="BC232" t="str">
            <v>F18CK</v>
          </cell>
        </row>
        <row r="233">
          <cell r="A233" t="str">
            <v>520C1</v>
          </cell>
          <cell r="B233" t="str">
            <v>3</v>
          </cell>
          <cell r="C233" t="str">
            <v>05</v>
          </cell>
          <cell r="D233">
            <v>17</v>
          </cell>
          <cell r="E233" t="str">
            <v>520C1</v>
          </cell>
          <cell r="F233">
            <v>10.74</v>
          </cell>
          <cell r="G233">
            <v>8.41</v>
          </cell>
          <cell r="H233">
            <v>8.41</v>
          </cell>
          <cell r="I233" t="str">
            <v>SC</v>
          </cell>
          <cell r="J233" t="str">
            <v>FC</v>
          </cell>
          <cell r="K233">
            <v>8</v>
          </cell>
          <cell r="L233">
            <v>45689</v>
          </cell>
          <cell r="M233">
            <v>45689</v>
          </cell>
          <cell r="N233">
            <v>305</v>
          </cell>
          <cell r="O233" t="str">
            <v>NS</v>
          </cell>
          <cell r="P233" t="str">
            <v/>
          </cell>
          <cell r="Q233">
            <v>45933</v>
          </cell>
          <cell r="R233" t="str">
            <v/>
          </cell>
          <cell r="S233" t="str">
            <v/>
          </cell>
          <cell r="T233">
            <v>45920</v>
          </cell>
          <cell r="U233">
            <v>68193</v>
          </cell>
          <cell r="V233">
            <v>52102</v>
          </cell>
          <cell r="W233">
            <v>44587</v>
          </cell>
          <cell r="X233" t="str">
            <v>Lokasi Produksi 520C1 ( pecahan 520C )</v>
          </cell>
          <cell r="Z233">
            <v>8</v>
          </cell>
          <cell r="AA233">
            <v>45933</v>
          </cell>
          <cell r="AB233">
            <v>272.59733611111005</v>
          </cell>
          <cell r="AC233">
            <v>9.0865778703703359</v>
          </cell>
          <cell r="AD233">
            <v>-20</v>
          </cell>
          <cell r="AE233">
            <v>0</v>
          </cell>
          <cell r="AF233">
            <v>0</v>
          </cell>
          <cell r="AG233">
            <v>-1365.6</v>
          </cell>
          <cell r="AM233" t="str">
            <v>OK</v>
          </cell>
          <cell r="AO233">
            <v>10.178518441358028</v>
          </cell>
          <cell r="AP233">
            <v>2.1785184413580279</v>
          </cell>
          <cell r="AQ233">
            <v>45920</v>
          </cell>
          <cell r="AR233">
            <v>7.7</v>
          </cell>
          <cell r="AS233">
            <v>2.4785184413580277</v>
          </cell>
          <cell r="AT233">
            <v>45933</v>
          </cell>
          <cell r="AU233">
            <v>2.4785184413580277</v>
          </cell>
          <cell r="AV233">
            <v>231</v>
          </cell>
          <cell r="AW233">
            <v>2.4785184413580277</v>
          </cell>
          <cell r="AY233">
            <v>310.46369178241002</v>
          </cell>
          <cell r="AZ233" t="str">
            <v>F18</v>
          </cell>
          <cell r="BA233">
            <v>8.41</v>
          </cell>
          <cell r="BB233" t="str">
            <v>NSSC</v>
          </cell>
          <cell r="BC233" t="str">
            <v>F18</v>
          </cell>
        </row>
        <row r="234">
          <cell r="A234" t="str">
            <v>520C2</v>
          </cell>
          <cell r="B234" t="str">
            <v>3</v>
          </cell>
          <cell r="C234" t="str">
            <v>05</v>
          </cell>
          <cell r="D234">
            <v>17</v>
          </cell>
          <cell r="E234" t="str">
            <v>520C2</v>
          </cell>
          <cell r="F234">
            <v>6.34</v>
          </cell>
          <cell r="G234">
            <v>5</v>
          </cell>
          <cell r="H234">
            <v>5</v>
          </cell>
          <cell r="I234" t="str">
            <v>BK</v>
          </cell>
          <cell r="J234" t="str">
            <v>BB</v>
          </cell>
          <cell r="K234">
            <v>0</v>
          </cell>
          <cell r="L234">
            <v>45992</v>
          </cell>
          <cell r="M234">
            <v>45992</v>
          </cell>
          <cell r="N234">
            <v>2</v>
          </cell>
          <cell r="O234" t="str">
            <v>NS</v>
          </cell>
          <cell r="P234" t="str">
            <v/>
          </cell>
          <cell r="Q234">
            <v>45992</v>
          </cell>
          <cell r="R234" t="str">
            <v/>
          </cell>
          <cell r="S234" t="str">
            <v/>
          </cell>
          <cell r="T234" t="str">
            <v/>
          </cell>
          <cell r="U234">
            <v>67255</v>
          </cell>
          <cell r="V234">
            <v>77384</v>
          </cell>
          <cell r="W234">
            <v>45010</v>
          </cell>
          <cell r="X234" t="str">
            <v>Lokasi Produksi 520C2 ( pecahan 520C )</v>
          </cell>
          <cell r="Z234">
            <v>0</v>
          </cell>
          <cell r="AA234">
            <v>45992</v>
          </cell>
          <cell r="AB234">
            <v>414.59733611111005</v>
          </cell>
          <cell r="AC234">
            <v>13.819911203703668</v>
          </cell>
          <cell r="AD234">
            <v>1.8199112037036684</v>
          </cell>
          <cell r="AE234">
            <v>8.2200000000000006</v>
          </cell>
          <cell r="AF234">
            <v>0</v>
          </cell>
          <cell r="AG234">
            <v>-1360.8666666666666</v>
          </cell>
          <cell r="AM234" t="str">
            <v>OK</v>
          </cell>
          <cell r="AO234">
            <v>7.8518441358028213E-2</v>
          </cell>
          <cell r="AP234">
            <v>7.8518441358028213E-2</v>
          </cell>
          <cell r="AQ234">
            <v>0</v>
          </cell>
          <cell r="AR234">
            <v>7.8518441358028213E-2</v>
          </cell>
          <cell r="AS234">
            <v>0</v>
          </cell>
          <cell r="AT234">
            <v>45992</v>
          </cell>
          <cell r="AU234">
            <v>7.8518441358028213E-2</v>
          </cell>
          <cell r="AV234">
            <v>2.3555532407408464</v>
          </cell>
          <cell r="AW234">
            <v>7.8518441358028213E-2</v>
          </cell>
          <cell r="AY234">
            <v>7.4636917824100237</v>
          </cell>
          <cell r="AZ234" t="str">
            <v>F18</v>
          </cell>
          <cell r="BA234">
            <v>0</v>
          </cell>
          <cell r="BB234" t="str">
            <v>NSBK</v>
          </cell>
          <cell r="BC234" t="str">
            <v>F18</v>
          </cell>
        </row>
        <row r="235">
          <cell r="A235" t="str">
            <v>520D1</v>
          </cell>
          <cell r="B235" t="str">
            <v>3</v>
          </cell>
          <cell r="C235" t="str">
            <v>05</v>
          </cell>
          <cell r="D235">
            <v>17</v>
          </cell>
          <cell r="E235" t="str">
            <v>520D1</v>
          </cell>
          <cell r="F235">
            <v>5.16</v>
          </cell>
          <cell r="G235">
            <v>4.3</v>
          </cell>
          <cell r="H235">
            <v>4.3</v>
          </cell>
          <cell r="I235" t="str">
            <v>SC</v>
          </cell>
          <cell r="J235" t="str">
            <v>FC</v>
          </cell>
          <cell r="K235">
            <v>8</v>
          </cell>
          <cell r="L235">
            <v>45908</v>
          </cell>
          <cell r="M235">
            <v>45908</v>
          </cell>
          <cell r="N235">
            <v>86</v>
          </cell>
          <cell r="O235" t="str">
            <v>NS</v>
          </cell>
          <cell r="P235" t="str">
            <v/>
          </cell>
          <cell r="Q235">
            <v>46152</v>
          </cell>
          <cell r="R235" t="str">
            <v/>
          </cell>
          <cell r="S235" t="str">
            <v/>
          </cell>
          <cell r="T235" t="str">
            <v/>
          </cell>
          <cell r="U235">
            <v>70096</v>
          </cell>
          <cell r="V235">
            <v>66437</v>
          </cell>
          <cell r="W235">
            <v>43079</v>
          </cell>
          <cell r="X235" t="str">
            <v>Lokasi Produksi 520D1 ( pecahan 520D ) "J"</v>
          </cell>
          <cell r="Z235">
            <v>8</v>
          </cell>
          <cell r="AA235">
            <v>46152</v>
          </cell>
          <cell r="AB235">
            <v>479.59733611111005</v>
          </cell>
          <cell r="AC235">
            <v>15.986577870370335</v>
          </cell>
          <cell r="AD235">
            <v>3.9865778703703345</v>
          </cell>
          <cell r="AE235">
            <v>12.96</v>
          </cell>
          <cell r="AF235">
            <v>0</v>
          </cell>
          <cell r="AG235">
            <v>-1358.7</v>
          </cell>
          <cell r="AM235" t="str">
            <v>OK</v>
          </cell>
          <cell r="AO235">
            <v>2.878518441358028</v>
          </cell>
          <cell r="AP235">
            <v>-5.121481558641972</v>
          </cell>
          <cell r="AQ235">
            <v>0</v>
          </cell>
          <cell r="AR235">
            <v>2.878518441358028</v>
          </cell>
          <cell r="AS235">
            <v>0</v>
          </cell>
          <cell r="AT235">
            <v>46152</v>
          </cell>
          <cell r="AU235">
            <v>-5.121481558641972</v>
          </cell>
          <cell r="AV235">
            <v>86.355553240740846</v>
          </cell>
          <cell r="AW235">
            <v>-5.121481558641972</v>
          </cell>
          <cell r="AY235">
            <v>91.463691782410024</v>
          </cell>
          <cell r="AZ235" t="str">
            <v>F18</v>
          </cell>
          <cell r="BA235">
            <v>4.3</v>
          </cell>
          <cell r="BB235" t="str">
            <v>NSSC</v>
          </cell>
          <cell r="BC235" t="str">
            <v>F18</v>
          </cell>
        </row>
        <row r="236">
          <cell r="A236" t="str">
            <v>520D2</v>
          </cell>
          <cell r="B236" t="str">
            <v>3</v>
          </cell>
          <cell r="C236" t="str">
            <v>05</v>
          </cell>
          <cell r="D236">
            <v>17</v>
          </cell>
          <cell r="E236" t="str">
            <v>520D2</v>
          </cell>
          <cell r="F236">
            <v>11.02</v>
          </cell>
          <cell r="G236">
            <v>9.24</v>
          </cell>
          <cell r="H236">
            <v>9.24</v>
          </cell>
          <cell r="I236" t="str">
            <v>FC</v>
          </cell>
          <cell r="J236" t="str">
            <v>ST</v>
          </cell>
          <cell r="K236">
            <v>14</v>
          </cell>
          <cell r="L236">
            <v>45804</v>
          </cell>
          <cell r="M236">
            <v>45804</v>
          </cell>
          <cell r="N236">
            <v>190</v>
          </cell>
          <cell r="O236" t="str">
            <v>NS</v>
          </cell>
          <cell r="P236" t="str">
            <v>NSF18CK3</v>
          </cell>
          <cell r="Q236">
            <v>46231</v>
          </cell>
          <cell r="R236" t="str">
            <v/>
          </cell>
          <cell r="S236" t="str">
            <v/>
          </cell>
          <cell r="T236" t="str">
            <v/>
          </cell>
          <cell r="U236">
            <v>61158</v>
          </cell>
          <cell r="V236">
            <v>52421</v>
          </cell>
          <cell r="W236">
            <v>44198</v>
          </cell>
          <cell r="X236" t="str">
            <v>Lokasi Produksi 520D2 ( pecahan 520D )</v>
          </cell>
          <cell r="Z236">
            <v>14</v>
          </cell>
          <cell r="AA236">
            <v>46231</v>
          </cell>
          <cell r="AB236">
            <v>4771.5973361111101</v>
          </cell>
          <cell r="AC236">
            <v>159.05324453703699</v>
          </cell>
          <cell r="AD236">
            <v>-20</v>
          </cell>
          <cell r="AE236">
            <v>0</v>
          </cell>
          <cell r="AF236">
            <v>0</v>
          </cell>
          <cell r="AG236">
            <v>-1215.6333333333334</v>
          </cell>
          <cell r="AM236" t="str">
            <v>OK</v>
          </cell>
          <cell r="AO236">
            <v>6.3451851080246948</v>
          </cell>
          <cell r="AP236">
            <v>-7.6548148919753052</v>
          </cell>
          <cell r="AQ236">
            <v>0</v>
          </cell>
          <cell r="AR236">
            <v>6.3451851080246948</v>
          </cell>
          <cell r="AS236">
            <v>0</v>
          </cell>
          <cell r="AT236">
            <v>46231</v>
          </cell>
          <cell r="AU236">
            <v>-7.6548148919753052</v>
          </cell>
          <cell r="AV236">
            <v>190.35555324074085</v>
          </cell>
          <cell r="AW236">
            <v>-7.6548148919753052</v>
          </cell>
          <cell r="AY236">
            <v>195.46369178241002</v>
          </cell>
          <cell r="AZ236" t="str">
            <v>F18</v>
          </cell>
          <cell r="BA236">
            <v>9.24</v>
          </cell>
          <cell r="BB236" t="str">
            <v>NSFC</v>
          </cell>
          <cell r="BC236" t="str">
            <v>F18CK</v>
          </cell>
        </row>
        <row r="237">
          <cell r="A237" t="str">
            <v>520D3</v>
          </cell>
          <cell r="B237" t="str">
            <v>3</v>
          </cell>
          <cell r="C237" t="str">
            <v>05</v>
          </cell>
          <cell r="D237">
            <v>17</v>
          </cell>
          <cell r="E237" t="str">
            <v>520D3</v>
          </cell>
          <cell r="F237">
            <v>4.5999999999999996</v>
          </cell>
          <cell r="G237">
            <v>3.81</v>
          </cell>
          <cell r="H237">
            <v>3.81</v>
          </cell>
          <cell r="I237" t="str">
            <v>FC</v>
          </cell>
          <cell r="J237" t="str">
            <v>ST</v>
          </cell>
          <cell r="K237">
            <v>10</v>
          </cell>
          <cell r="L237">
            <v>45656</v>
          </cell>
          <cell r="M237">
            <v>45656</v>
          </cell>
          <cell r="N237">
            <v>338</v>
          </cell>
          <cell r="O237" t="str">
            <v>NS</v>
          </cell>
          <cell r="P237" t="str">
            <v>NSGP3SB3</v>
          </cell>
          <cell r="Q237">
            <v>45961</v>
          </cell>
          <cell r="R237" t="str">
            <v/>
          </cell>
          <cell r="S237" t="str">
            <v/>
          </cell>
          <cell r="T237">
            <v>45983</v>
          </cell>
          <cell r="U237">
            <v>69567</v>
          </cell>
          <cell r="V237">
            <v>70930</v>
          </cell>
          <cell r="W237">
            <v>44219</v>
          </cell>
          <cell r="X237" t="str">
            <v>Lokasi Produksi 520D3 ( pecahan 520D )</v>
          </cell>
          <cell r="Z237">
            <v>10</v>
          </cell>
          <cell r="AA237">
            <v>45961</v>
          </cell>
          <cell r="AB237">
            <v>69.597336111110053</v>
          </cell>
          <cell r="AC237">
            <v>2.3199112037036684</v>
          </cell>
          <cell r="AD237">
            <v>-11.680088796296332</v>
          </cell>
          <cell r="AE237">
            <v>7.29</v>
          </cell>
          <cell r="AF237">
            <v>0</v>
          </cell>
          <cell r="AG237">
            <v>-1372.3666666666666</v>
          </cell>
          <cell r="AM237" t="str">
            <v>OK</v>
          </cell>
          <cell r="AO237">
            <v>11.278518441358028</v>
          </cell>
          <cell r="AP237">
            <v>1.2785184413580275</v>
          </cell>
          <cell r="AQ237">
            <v>45983</v>
          </cell>
          <cell r="AR237">
            <v>10.9</v>
          </cell>
          <cell r="AS237">
            <v>0.37851844135802715</v>
          </cell>
          <cell r="AT237">
            <v>45961</v>
          </cell>
          <cell r="AU237">
            <v>0.37851844135802715</v>
          </cell>
          <cell r="AV237">
            <v>327</v>
          </cell>
          <cell r="AW237">
            <v>0.37851844135802715</v>
          </cell>
          <cell r="AY237">
            <v>343.46369178241002</v>
          </cell>
          <cell r="AZ237" t="str">
            <v>GP3</v>
          </cell>
          <cell r="BA237">
            <v>3.81</v>
          </cell>
          <cell r="BB237" t="str">
            <v>NSFC</v>
          </cell>
          <cell r="BC237" t="str">
            <v>GP3SB</v>
          </cell>
        </row>
        <row r="238">
          <cell r="A238" t="str">
            <v>520E1</v>
          </cell>
          <cell r="B238" t="str">
            <v>3</v>
          </cell>
          <cell r="C238" t="str">
            <v>05</v>
          </cell>
          <cell r="D238">
            <v>17</v>
          </cell>
          <cell r="E238" t="str">
            <v>520E1</v>
          </cell>
          <cell r="F238">
            <v>9.69</v>
          </cell>
          <cell r="G238">
            <v>7.63</v>
          </cell>
          <cell r="H238">
            <v>7.63</v>
          </cell>
          <cell r="I238" t="str">
            <v>BK</v>
          </cell>
          <cell r="J238" t="str">
            <v>BB</v>
          </cell>
          <cell r="K238">
            <v>0</v>
          </cell>
          <cell r="L238">
            <v>45962</v>
          </cell>
          <cell r="M238">
            <v>45962</v>
          </cell>
          <cell r="N238">
            <v>32</v>
          </cell>
          <cell r="O238" t="str">
            <v>NS</v>
          </cell>
          <cell r="P238" t="str">
            <v/>
          </cell>
          <cell r="Q238">
            <v>45962</v>
          </cell>
          <cell r="R238" t="str">
            <v/>
          </cell>
          <cell r="S238" t="str">
            <v/>
          </cell>
          <cell r="T238" t="str">
            <v/>
          </cell>
          <cell r="U238">
            <v>70368</v>
          </cell>
          <cell r="V238">
            <v>72037</v>
          </cell>
          <cell r="W238">
            <v>43989</v>
          </cell>
          <cell r="X238" t="str">
            <v>Lokasi Produksi 520E1 ( pecahan 520E )</v>
          </cell>
          <cell r="Z238">
            <v>0</v>
          </cell>
          <cell r="AA238">
            <v>45962</v>
          </cell>
          <cell r="AB238">
            <v>335.59733611111005</v>
          </cell>
          <cell r="AC238">
            <v>11.186577870370336</v>
          </cell>
          <cell r="AD238">
            <v>-0.81342212962966443</v>
          </cell>
          <cell r="AE238">
            <v>9.8699999999999992</v>
          </cell>
          <cell r="AF238">
            <v>0</v>
          </cell>
          <cell r="AG238">
            <v>-1363.5</v>
          </cell>
          <cell r="AM238" t="str">
            <v>OK</v>
          </cell>
          <cell r="AO238">
            <v>1.0785184413580282</v>
          </cell>
          <cell r="AP238">
            <v>1.0785184413580282</v>
          </cell>
          <cell r="AQ238">
            <v>0</v>
          </cell>
          <cell r="AR238">
            <v>1.0785184413580282</v>
          </cell>
          <cell r="AS238">
            <v>0</v>
          </cell>
          <cell r="AT238">
            <v>45962</v>
          </cell>
          <cell r="AU238">
            <v>1.0785184413580282</v>
          </cell>
          <cell r="AV238">
            <v>32.355553240740846</v>
          </cell>
          <cell r="AW238">
            <v>1.0785184413580282</v>
          </cell>
          <cell r="AY238">
            <v>37.463691782410024</v>
          </cell>
          <cell r="AZ238" t="str">
            <v>F18</v>
          </cell>
          <cell r="BA238">
            <v>0</v>
          </cell>
          <cell r="BB238" t="str">
            <v>NSBK</v>
          </cell>
          <cell r="BC238" t="str">
            <v>F18</v>
          </cell>
        </row>
        <row r="239">
          <cell r="A239" t="str">
            <v>520E2</v>
          </cell>
          <cell r="B239" t="str">
            <v>3</v>
          </cell>
          <cell r="C239" t="str">
            <v>05</v>
          </cell>
          <cell r="D239">
            <v>17</v>
          </cell>
          <cell r="E239" t="str">
            <v>520E2</v>
          </cell>
          <cell r="F239">
            <v>11.18</v>
          </cell>
          <cell r="G239">
            <v>8.74</v>
          </cell>
          <cell r="H239">
            <v>8.74</v>
          </cell>
          <cell r="I239" t="str">
            <v>BK</v>
          </cell>
          <cell r="J239" t="str">
            <v>BB</v>
          </cell>
          <cell r="K239">
            <v>0</v>
          </cell>
          <cell r="L239">
            <v>45962</v>
          </cell>
          <cell r="M239">
            <v>45962</v>
          </cell>
          <cell r="N239">
            <v>32</v>
          </cell>
          <cell r="O239" t="str">
            <v>NS</v>
          </cell>
          <cell r="P239" t="str">
            <v/>
          </cell>
          <cell r="Q239">
            <v>45962</v>
          </cell>
          <cell r="R239" t="str">
            <v/>
          </cell>
          <cell r="S239" t="str">
            <v/>
          </cell>
          <cell r="T239" t="str">
            <v/>
          </cell>
          <cell r="U239">
            <v>70419</v>
          </cell>
          <cell r="V239">
            <v>72995</v>
          </cell>
          <cell r="W239">
            <v>43517</v>
          </cell>
          <cell r="X239" t="str">
            <v>Lokasi Produksi 520E2 ( pecahan 520E )</v>
          </cell>
          <cell r="Z239">
            <v>0</v>
          </cell>
          <cell r="AA239">
            <v>45962</v>
          </cell>
          <cell r="AB239">
            <v>180.59733611111005</v>
          </cell>
          <cell r="AC239">
            <v>6.0199112037036686</v>
          </cell>
          <cell r="AD239">
            <v>-5.9800887962963314</v>
          </cell>
          <cell r="AE239">
            <v>23.7</v>
          </cell>
          <cell r="AF239">
            <v>0</v>
          </cell>
          <cell r="AG239">
            <v>-1368.6666666666667</v>
          </cell>
          <cell r="AM239" t="str">
            <v>OK</v>
          </cell>
          <cell r="AO239">
            <v>1.0785184413580282</v>
          </cell>
          <cell r="AP239">
            <v>1.0785184413580282</v>
          </cell>
          <cell r="AQ239">
            <v>0</v>
          </cell>
          <cell r="AR239">
            <v>1.0785184413580282</v>
          </cell>
          <cell r="AS239">
            <v>0</v>
          </cell>
          <cell r="AT239">
            <v>45962</v>
          </cell>
          <cell r="AU239">
            <v>1.0785184413580282</v>
          </cell>
          <cell r="AV239">
            <v>32.355553240740846</v>
          </cell>
          <cell r="AW239">
            <v>1.0785184413580282</v>
          </cell>
          <cell r="AY239">
            <v>37.463691782410024</v>
          </cell>
          <cell r="AZ239" t="str">
            <v>F18</v>
          </cell>
          <cell r="BA239">
            <v>0</v>
          </cell>
          <cell r="BB239" t="str">
            <v>NSBK</v>
          </cell>
          <cell r="BC239" t="str">
            <v>F18</v>
          </cell>
        </row>
        <row r="240">
          <cell r="A240" t="str">
            <v>520F</v>
          </cell>
          <cell r="B240" t="str">
            <v>3</v>
          </cell>
          <cell r="C240" t="str">
            <v>05</v>
          </cell>
          <cell r="D240">
            <v>17</v>
          </cell>
          <cell r="E240" t="str">
            <v>520F</v>
          </cell>
          <cell r="F240">
            <v>14.37</v>
          </cell>
          <cell r="G240">
            <v>12.09</v>
          </cell>
          <cell r="H240">
            <v>12.09</v>
          </cell>
          <cell r="I240" t="str">
            <v>FC</v>
          </cell>
          <cell r="J240" t="str">
            <v>ST</v>
          </cell>
          <cell r="K240">
            <v>14</v>
          </cell>
          <cell r="L240">
            <v>45783</v>
          </cell>
          <cell r="M240">
            <v>45783</v>
          </cell>
          <cell r="N240">
            <v>211</v>
          </cell>
          <cell r="O240" t="str">
            <v>NS</v>
          </cell>
          <cell r="P240" t="str">
            <v>NSF18CK3</v>
          </cell>
          <cell r="Q240">
            <v>46210</v>
          </cell>
          <cell r="R240" t="str">
            <v/>
          </cell>
          <cell r="S240" t="str">
            <v/>
          </cell>
          <cell r="T240" t="str">
            <v/>
          </cell>
          <cell r="U240">
            <v>64615</v>
          </cell>
          <cell r="V240">
            <v>53282</v>
          </cell>
          <cell r="W240">
            <v>44305</v>
          </cell>
          <cell r="X240" t="str">
            <v>Lokasi Produksi 520F</v>
          </cell>
          <cell r="Z240">
            <v>14</v>
          </cell>
          <cell r="AA240">
            <v>46210</v>
          </cell>
          <cell r="AB240">
            <v>226.59733611111005</v>
          </cell>
          <cell r="AC240">
            <v>7.5532445370370018</v>
          </cell>
          <cell r="AD240">
            <v>-20</v>
          </cell>
          <cell r="AE240">
            <v>0</v>
          </cell>
          <cell r="AF240">
            <v>0</v>
          </cell>
          <cell r="AG240">
            <v>-1367.1333333333334</v>
          </cell>
          <cell r="AM240" t="str">
            <v>OK</v>
          </cell>
          <cell r="AO240">
            <v>7.045185108024695</v>
          </cell>
          <cell r="AP240">
            <v>-6.954814891975305</v>
          </cell>
          <cell r="AQ240">
            <v>0</v>
          </cell>
          <cell r="AR240">
            <v>7.045185108024695</v>
          </cell>
          <cell r="AS240">
            <v>0</v>
          </cell>
          <cell r="AT240">
            <v>46210</v>
          </cell>
          <cell r="AU240">
            <v>-6.954814891975305</v>
          </cell>
          <cell r="AV240">
            <v>211.35555324074085</v>
          </cell>
          <cell r="AW240">
            <v>-6.954814891975305</v>
          </cell>
          <cell r="AY240">
            <v>216.46369178241002</v>
          </cell>
          <cell r="AZ240" t="str">
            <v>F18</v>
          </cell>
          <cell r="BA240">
            <v>12.09</v>
          </cell>
          <cell r="BB240" t="str">
            <v>NSFC</v>
          </cell>
          <cell r="BC240" t="str">
            <v>F18CK</v>
          </cell>
        </row>
        <row r="241">
          <cell r="A241" t="str">
            <v>520G1</v>
          </cell>
          <cell r="B241" t="str">
            <v>3</v>
          </cell>
          <cell r="C241" t="str">
            <v>05</v>
          </cell>
          <cell r="D241">
            <v>17</v>
          </cell>
          <cell r="E241" t="str">
            <v>520G1</v>
          </cell>
          <cell r="F241">
            <v>5.64</v>
          </cell>
          <cell r="G241">
            <v>4.76</v>
          </cell>
          <cell r="H241">
            <v>4.76</v>
          </cell>
          <cell r="I241" t="str">
            <v>FC</v>
          </cell>
          <cell r="J241" t="str">
            <v>ST</v>
          </cell>
          <cell r="K241">
            <v>10</v>
          </cell>
          <cell r="L241">
            <v>45731</v>
          </cell>
          <cell r="M241">
            <v>45731</v>
          </cell>
          <cell r="N241">
            <v>263</v>
          </cell>
          <cell r="O241" t="str">
            <v>NS</v>
          </cell>
          <cell r="P241" t="str">
            <v>NSF18SB3</v>
          </cell>
          <cell r="Q241">
            <v>46036</v>
          </cell>
          <cell r="R241" t="str">
            <v/>
          </cell>
          <cell r="S241" t="str">
            <v/>
          </cell>
          <cell r="T241" t="str">
            <v/>
          </cell>
          <cell r="U241">
            <v>68410</v>
          </cell>
          <cell r="V241">
            <v>71137</v>
          </cell>
          <cell r="W241">
            <v>45408</v>
          </cell>
          <cell r="X241" t="str">
            <v>Lokasi Produksi 520G1 ( pecahan 520G )</v>
          </cell>
          <cell r="Z241">
            <v>10</v>
          </cell>
          <cell r="AA241">
            <v>46036</v>
          </cell>
          <cell r="AB241">
            <v>221.59733611111005</v>
          </cell>
          <cell r="AC241">
            <v>7.3865778703703349</v>
          </cell>
          <cell r="AD241">
            <v>-20</v>
          </cell>
          <cell r="AE241">
            <v>0</v>
          </cell>
          <cell r="AF241">
            <v>0</v>
          </cell>
          <cell r="AG241">
            <v>-1367.3</v>
          </cell>
          <cell r="AM241" t="str">
            <v>OK</v>
          </cell>
          <cell r="AO241">
            <v>8.7785184413580275</v>
          </cell>
          <cell r="AP241">
            <v>-1.2214815586419725</v>
          </cell>
          <cell r="AQ241">
            <v>0</v>
          </cell>
          <cell r="AR241">
            <v>8.7785184413580275</v>
          </cell>
          <cell r="AS241">
            <v>0</v>
          </cell>
          <cell r="AT241">
            <v>46036</v>
          </cell>
          <cell r="AU241">
            <v>-1.2214815586419725</v>
          </cell>
          <cell r="AV241">
            <v>263.35555324074085</v>
          </cell>
          <cell r="AW241">
            <v>-1.2214815586419725</v>
          </cell>
          <cell r="AY241">
            <v>268.46369178241002</v>
          </cell>
          <cell r="AZ241" t="str">
            <v>F18</v>
          </cell>
          <cell r="BA241">
            <v>4.76</v>
          </cell>
          <cell r="BB241" t="str">
            <v>NSFC</v>
          </cell>
          <cell r="BC241" t="str">
            <v>F18SB</v>
          </cell>
        </row>
        <row r="242">
          <cell r="A242" t="str">
            <v>520G2</v>
          </cell>
          <cell r="B242" t="str">
            <v>3</v>
          </cell>
          <cell r="C242" t="str">
            <v>05</v>
          </cell>
          <cell r="D242">
            <v>17</v>
          </cell>
          <cell r="E242" t="str">
            <v>520G2</v>
          </cell>
          <cell r="F242">
            <v>5.0199999999999996</v>
          </cell>
          <cell r="G242">
            <v>4.28</v>
          </cell>
          <cell r="H242">
            <v>4.28</v>
          </cell>
          <cell r="I242" t="str">
            <v>FC</v>
          </cell>
          <cell r="J242" t="str">
            <v>ST</v>
          </cell>
          <cell r="K242">
            <v>10</v>
          </cell>
          <cell r="L242">
            <v>45732</v>
          </cell>
          <cell r="M242">
            <v>45732</v>
          </cell>
          <cell r="N242">
            <v>262</v>
          </cell>
          <cell r="O242" t="str">
            <v>NS</v>
          </cell>
          <cell r="P242" t="str">
            <v>NSF18SB3</v>
          </cell>
          <cell r="Q242">
            <v>46037</v>
          </cell>
          <cell r="R242" t="str">
            <v/>
          </cell>
          <cell r="S242" t="str">
            <v/>
          </cell>
          <cell r="T242" t="str">
            <v/>
          </cell>
          <cell r="U242">
            <v>68933</v>
          </cell>
          <cell r="V242">
            <v>70001</v>
          </cell>
          <cell r="W242">
            <v>45408</v>
          </cell>
          <cell r="X242" t="str">
            <v>Lokasi Produksi 520G2 ( pecahan 520G )</v>
          </cell>
          <cell r="Z242">
            <v>10</v>
          </cell>
          <cell r="AA242">
            <v>46037</v>
          </cell>
          <cell r="AB242">
            <v>4781.5973361111101</v>
          </cell>
          <cell r="AC242">
            <v>159.38657787037033</v>
          </cell>
          <cell r="AD242">
            <v>-20</v>
          </cell>
          <cell r="AE242">
            <v>0</v>
          </cell>
          <cell r="AF242">
            <v>0</v>
          </cell>
          <cell r="AG242">
            <v>-1215.3</v>
          </cell>
          <cell r="AM242" t="str">
            <v>OK</v>
          </cell>
          <cell r="AO242">
            <v>8.7451851080246943</v>
          </cell>
          <cell r="AP242">
            <v>-1.2548148919753057</v>
          </cell>
          <cell r="AQ242">
            <v>0</v>
          </cell>
          <cell r="AR242">
            <v>8.7451851080246943</v>
          </cell>
          <cell r="AS242">
            <v>0</v>
          </cell>
          <cell r="AT242">
            <v>46037</v>
          </cell>
          <cell r="AU242">
            <v>-1.2548148919753057</v>
          </cell>
          <cell r="AV242">
            <v>262.35555324074085</v>
          </cell>
          <cell r="AW242">
            <v>-1.2548148919753057</v>
          </cell>
          <cell r="AY242">
            <v>267.46369178241002</v>
          </cell>
          <cell r="AZ242" t="str">
            <v>F18</v>
          </cell>
          <cell r="BA242">
            <v>4.28</v>
          </cell>
          <cell r="BB242" t="str">
            <v>NSFC</v>
          </cell>
          <cell r="BC242" t="str">
            <v>F18SB</v>
          </cell>
        </row>
        <row r="243">
          <cell r="A243" t="str">
            <v>520GS</v>
          </cell>
          <cell r="B243" t="str">
            <v>3</v>
          </cell>
          <cell r="C243" t="str">
            <v>05</v>
          </cell>
          <cell r="D243">
            <v>17</v>
          </cell>
          <cell r="E243" t="str">
            <v>520GS</v>
          </cell>
          <cell r="F243">
            <v>0.76</v>
          </cell>
          <cell r="G243">
            <v>0.76</v>
          </cell>
          <cell r="H243">
            <v>0.76</v>
          </cell>
          <cell r="I243" t="str">
            <v>FC</v>
          </cell>
          <cell r="J243" t="str">
            <v>ST</v>
          </cell>
          <cell r="K243">
            <v>0</v>
          </cell>
          <cell r="L243">
            <v>45874</v>
          </cell>
          <cell r="M243">
            <v>45874</v>
          </cell>
          <cell r="N243">
            <v>120</v>
          </cell>
          <cell r="O243" t="str">
            <v>SK</v>
          </cell>
          <cell r="P243" t="str">
            <v/>
          </cell>
          <cell r="Q243">
            <v>45874</v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>
            <v>45437</v>
          </cell>
          <cell r="X243" t="str">
            <v>Lokasi Produksi 520GS ( singkong )</v>
          </cell>
          <cell r="Z243">
            <v>0</v>
          </cell>
          <cell r="AA243">
            <v>45874</v>
          </cell>
          <cell r="AB243">
            <v>170.59733611111005</v>
          </cell>
          <cell r="AC243">
            <v>5.6865778703703347</v>
          </cell>
          <cell r="AD243">
            <v>-20</v>
          </cell>
          <cell r="AE243">
            <v>0</v>
          </cell>
          <cell r="AF243">
            <v>0</v>
          </cell>
          <cell r="AG243">
            <v>-1369</v>
          </cell>
          <cell r="AM243" t="str">
            <v>OK</v>
          </cell>
          <cell r="AO243">
            <v>4.0118517746913618</v>
          </cell>
          <cell r="AP243">
            <v>4.0118517746913618</v>
          </cell>
          <cell r="AQ243">
            <v>0</v>
          </cell>
          <cell r="AR243">
            <v>4.0118517746913618</v>
          </cell>
          <cell r="AS243">
            <v>0</v>
          </cell>
          <cell r="AT243">
            <v>45874</v>
          </cell>
          <cell r="AU243">
            <v>4.0118517746913618</v>
          </cell>
          <cell r="AV243">
            <v>120.35555324074085</v>
          </cell>
          <cell r="AW243">
            <v>4.0118517746913618</v>
          </cell>
          <cell r="AY243">
            <v>125.46369178241002</v>
          </cell>
          <cell r="AZ243" t="str">
            <v>F18</v>
          </cell>
          <cell r="BA243">
            <v>0</v>
          </cell>
          <cell r="BB243" t="str">
            <v>SKFC</v>
          </cell>
          <cell r="BC243" t="str">
            <v>F18</v>
          </cell>
        </row>
        <row r="244">
          <cell r="A244" t="str">
            <v>520H</v>
          </cell>
          <cell r="B244" t="str">
            <v>3</v>
          </cell>
          <cell r="C244" t="str">
            <v>05</v>
          </cell>
          <cell r="D244">
            <v>17</v>
          </cell>
          <cell r="E244" t="str">
            <v>520H</v>
          </cell>
          <cell r="F244">
            <v>13.46</v>
          </cell>
          <cell r="G244">
            <v>11.01</v>
          </cell>
          <cell r="H244">
            <v>11.01</v>
          </cell>
          <cell r="I244" t="str">
            <v>SC</v>
          </cell>
          <cell r="J244" t="str">
            <v>BB</v>
          </cell>
          <cell r="K244">
            <v>8</v>
          </cell>
          <cell r="L244">
            <v>45987</v>
          </cell>
          <cell r="M244">
            <v>45987</v>
          </cell>
          <cell r="N244">
            <v>7</v>
          </cell>
          <cell r="O244" t="str">
            <v>NS</v>
          </cell>
          <cell r="P244" t="str">
            <v/>
          </cell>
          <cell r="Q244">
            <v>46231</v>
          </cell>
          <cell r="R244" t="str">
            <v/>
          </cell>
          <cell r="S244" t="str">
            <v/>
          </cell>
          <cell r="T244" t="str">
            <v/>
          </cell>
          <cell r="U244">
            <v>69887</v>
          </cell>
          <cell r="V244">
            <v>70703</v>
          </cell>
          <cell r="W244">
            <v>44893</v>
          </cell>
          <cell r="X244" t="str">
            <v>Lokasi Produksi 520H</v>
          </cell>
          <cell r="Z244">
            <v>8</v>
          </cell>
          <cell r="AA244">
            <v>46231</v>
          </cell>
          <cell r="AB244">
            <v>180.59733611111005</v>
          </cell>
          <cell r="AC244">
            <v>6.0199112037036686</v>
          </cell>
          <cell r="AD244">
            <v>-1.9800887962963314</v>
          </cell>
          <cell r="AE244">
            <v>17.440000000000001</v>
          </cell>
          <cell r="AF244">
            <v>0</v>
          </cell>
          <cell r="AG244">
            <v>-1368.6666666666667</v>
          </cell>
          <cell r="AM244" t="str">
            <v>OK</v>
          </cell>
          <cell r="AO244">
            <v>0.24518510802469487</v>
          </cell>
          <cell r="AP244">
            <v>-7.7548148919753048</v>
          </cell>
          <cell r="AQ244">
            <v>0</v>
          </cell>
          <cell r="AR244">
            <v>0.24518510802469487</v>
          </cell>
          <cell r="AS244">
            <v>0</v>
          </cell>
          <cell r="AT244">
            <v>46231</v>
          </cell>
          <cell r="AU244">
            <v>-7.7548148919753048</v>
          </cell>
          <cell r="AV244">
            <v>7.3555532407408464</v>
          </cell>
          <cell r="AW244">
            <v>-7.7548148919753048</v>
          </cell>
          <cell r="AY244">
            <v>12.463691782410024</v>
          </cell>
          <cell r="AZ244" t="str">
            <v>F18</v>
          </cell>
          <cell r="BA244">
            <v>11.01</v>
          </cell>
          <cell r="BB244" t="str">
            <v>NSSC</v>
          </cell>
          <cell r="BC244" t="str">
            <v>F18</v>
          </cell>
        </row>
        <row r="245">
          <cell r="A245" t="str">
            <v>520HS</v>
          </cell>
          <cell r="B245" t="str">
            <v>3</v>
          </cell>
          <cell r="C245" t="str">
            <v>05</v>
          </cell>
          <cell r="D245">
            <v>17</v>
          </cell>
          <cell r="E245" t="str">
            <v>520HS</v>
          </cell>
          <cell r="F245">
            <v>0.24</v>
          </cell>
          <cell r="G245">
            <v>0.24</v>
          </cell>
          <cell r="H245">
            <v>0.24</v>
          </cell>
          <cell r="I245" t="str">
            <v>FC</v>
          </cell>
          <cell r="J245" t="str">
            <v>ST</v>
          </cell>
          <cell r="K245">
            <v>0</v>
          </cell>
          <cell r="L245">
            <v>45791</v>
          </cell>
          <cell r="M245">
            <v>45791</v>
          </cell>
          <cell r="N245">
            <v>203</v>
          </cell>
          <cell r="O245" t="str">
            <v>SK</v>
          </cell>
          <cell r="P245" t="str">
            <v/>
          </cell>
          <cell r="Q245">
            <v>45791</v>
          </cell>
          <cell r="R245" t="str">
            <v/>
          </cell>
          <cell r="S245" t="str">
            <v/>
          </cell>
          <cell r="T245" t="str">
            <v/>
          </cell>
          <cell r="U245">
            <v>29499</v>
          </cell>
          <cell r="V245">
            <v>29499</v>
          </cell>
          <cell r="W245" t="str">
            <v/>
          </cell>
          <cell r="X245" t="str">
            <v>Lokasi Produksi 520HS ( singkong )</v>
          </cell>
          <cell r="Z245">
            <v>0</v>
          </cell>
          <cell r="AA245">
            <v>45791</v>
          </cell>
          <cell r="AB245">
            <v>180.59733611111005</v>
          </cell>
          <cell r="AC245">
            <v>6.0199112037036686</v>
          </cell>
          <cell r="AD245">
            <v>-1.9800887962963314</v>
          </cell>
          <cell r="AE245">
            <v>8.06</v>
          </cell>
          <cell r="AF245">
            <v>0</v>
          </cell>
          <cell r="AG245">
            <v>-1368.6666666666667</v>
          </cell>
          <cell r="AK245">
            <v>40384</v>
          </cell>
          <cell r="AM245" t="str">
            <v>OK</v>
          </cell>
          <cell r="AO245">
            <v>6.7785184413580284</v>
          </cell>
          <cell r="AP245">
            <v>6.7785184413580284</v>
          </cell>
          <cell r="AQ245">
            <v>0</v>
          </cell>
          <cell r="AR245">
            <v>6.7785184413580284</v>
          </cell>
          <cell r="AS245">
            <v>0</v>
          </cell>
          <cell r="AT245">
            <v>45791</v>
          </cell>
          <cell r="AU245">
            <v>6.7785184413580284</v>
          </cell>
          <cell r="AV245">
            <v>203.35555324074085</v>
          </cell>
          <cell r="AW245">
            <v>6.7785184413580284</v>
          </cell>
          <cell r="AY245">
            <v>208.46369178241002</v>
          </cell>
          <cell r="AZ245" t="str">
            <v>F18</v>
          </cell>
          <cell r="BA245">
            <v>0</v>
          </cell>
          <cell r="BB245" t="str">
            <v>SKFC</v>
          </cell>
          <cell r="BC245" t="str">
            <v>F18</v>
          </cell>
        </row>
        <row r="246">
          <cell r="A246" t="str">
            <v>521A</v>
          </cell>
          <cell r="B246" t="str">
            <v>3</v>
          </cell>
          <cell r="C246" t="str">
            <v>05</v>
          </cell>
          <cell r="D246">
            <v>18</v>
          </cell>
          <cell r="E246" t="str">
            <v>521A</v>
          </cell>
          <cell r="F246">
            <v>14.07</v>
          </cell>
          <cell r="G246">
            <v>11.32</v>
          </cell>
          <cell r="H246">
            <v>11.32</v>
          </cell>
          <cell r="I246" t="str">
            <v>SC</v>
          </cell>
          <cell r="J246" t="str">
            <v>FC</v>
          </cell>
          <cell r="K246">
            <v>8</v>
          </cell>
          <cell r="L246">
            <v>45702</v>
          </cell>
          <cell r="M246">
            <v>45702</v>
          </cell>
          <cell r="N246">
            <v>292</v>
          </cell>
          <cell r="O246" t="str">
            <v>NS</v>
          </cell>
          <cell r="P246" t="str">
            <v/>
          </cell>
          <cell r="Q246">
            <v>45946</v>
          </cell>
          <cell r="R246" t="str">
            <v/>
          </cell>
          <cell r="S246" t="str">
            <v/>
          </cell>
          <cell r="T246">
            <v>45919</v>
          </cell>
          <cell r="U246">
            <v>70413</v>
          </cell>
          <cell r="V246">
            <v>52660</v>
          </cell>
          <cell r="W246">
            <v>43023</v>
          </cell>
          <cell r="X246" t="str">
            <v>Lokasi Produksi 521A</v>
          </cell>
          <cell r="Z246">
            <v>8</v>
          </cell>
          <cell r="AA246">
            <v>45946</v>
          </cell>
          <cell r="AB246">
            <v>84.597336111110053</v>
          </cell>
          <cell r="AC246">
            <v>2.8199112037036684</v>
          </cell>
          <cell r="AD246">
            <v>-5.1800887962963316</v>
          </cell>
          <cell r="AE246">
            <v>27.48</v>
          </cell>
          <cell r="AF246">
            <v>0</v>
          </cell>
          <cell r="AG246">
            <v>-1371.8666666666666</v>
          </cell>
          <cell r="AM246" t="str">
            <v>OK</v>
          </cell>
          <cell r="AO246">
            <v>9.7451851080246943</v>
          </cell>
          <cell r="AP246">
            <v>1.7451851080246943</v>
          </cell>
          <cell r="AQ246">
            <v>45919</v>
          </cell>
          <cell r="AR246">
            <v>7.2333333333333334</v>
          </cell>
          <cell r="AS246">
            <v>2.5118517746913609</v>
          </cell>
          <cell r="AT246">
            <v>45946</v>
          </cell>
          <cell r="AU246">
            <v>2.5118517746913609</v>
          </cell>
          <cell r="AV246">
            <v>217</v>
          </cell>
          <cell r="AW246">
            <v>2.5118517746913609</v>
          </cell>
          <cell r="AY246">
            <v>297.46369178241002</v>
          </cell>
          <cell r="AZ246" t="str">
            <v>F18</v>
          </cell>
          <cell r="BA246">
            <v>11.32</v>
          </cell>
          <cell r="BB246" t="str">
            <v>NSSC</v>
          </cell>
          <cell r="BC246" t="str">
            <v>F18</v>
          </cell>
        </row>
        <row r="247">
          <cell r="A247" t="str">
            <v>521B</v>
          </cell>
          <cell r="B247" t="str">
            <v>3</v>
          </cell>
          <cell r="C247" t="str">
            <v>05</v>
          </cell>
          <cell r="D247">
            <v>18</v>
          </cell>
          <cell r="E247" t="str">
            <v>521B</v>
          </cell>
          <cell r="F247">
            <v>15.85</v>
          </cell>
          <cell r="G247">
            <v>13.07</v>
          </cell>
          <cell r="H247">
            <v>13.07</v>
          </cell>
          <cell r="I247" t="str">
            <v>FC</v>
          </cell>
          <cell r="J247" t="str">
            <v>ST</v>
          </cell>
          <cell r="K247">
            <v>14</v>
          </cell>
          <cell r="L247">
            <v>45947</v>
          </cell>
          <cell r="M247">
            <v>45947</v>
          </cell>
          <cell r="N247">
            <v>47</v>
          </cell>
          <cell r="O247" t="str">
            <v>NS</v>
          </cell>
          <cell r="P247" t="str">
            <v>NSGP3CK3</v>
          </cell>
          <cell r="Q247">
            <v>46374</v>
          </cell>
          <cell r="R247" t="str">
            <v/>
          </cell>
          <cell r="S247" t="str">
            <v/>
          </cell>
          <cell r="T247" t="str">
            <v/>
          </cell>
          <cell r="U247">
            <v>70354</v>
          </cell>
          <cell r="V247">
            <v>51166</v>
          </cell>
          <cell r="W247" t="str">
            <v/>
          </cell>
          <cell r="X247" t="str">
            <v>Lokasi Produksi 521B</v>
          </cell>
          <cell r="Z247">
            <v>14</v>
          </cell>
          <cell r="AA247">
            <v>46374</v>
          </cell>
          <cell r="AB247">
            <v>241.59733611111005</v>
          </cell>
          <cell r="AC247">
            <v>8.0532445370370009</v>
          </cell>
          <cell r="AD247">
            <v>-20</v>
          </cell>
          <cell r="AE247">
            <v>0</v>
          </cell>
          <cell r="AF247">
            <v>0</v>
          </cell>
          <cell r="AG247">
            <v>-1366.6333333333334</v>
          </cell>
          <cell r="AM247" t="str">
            <v>OK</v>
          </cell>
          <cell r="AO247">
            <v>1.5785184413580282</v>
          </cell>
          <cell r="AP247">
            <v>-12.421481558641972</v>
          </cell>
          <cell r="AQ247">
            <v>0</v>
          </cell>
          <cell r="AR247">
            <v>1.5785184413580282</v>
          </cell>
          <cell r="AS247">
            <v>0</v>
          </cell>
          <cell r="AT247">
            <v>46374</v>
          </cell>
          <cell r="AU247">
            <v>-12.421481558641972</v>
          </cell>
          <cell r="AV247">
            <v>47.355553240740846</v>
          </cell>
          <cell r="AW247">
            <v>-12.421481558641972</v>
          </cell>
          <cell r="AY247">
            <v>52.463691782410024</v>
          </cell>
          <cell r="AZ247" t="str">
            <v>GP3</v>
          </cell>
          <cell r="BA247">
            <v>13.07</v>
          </cell>
          <cell r="BB247" t="str">
            <v>NSFC</v>
          </cell>
          <cell r="BC247" t="str">
            <v>GP3CK</v>
          </cell>
        </row>
        <row r="248">
          <cell r="A248" t="str">
            <v>521C</v>
          </cell>
          <cell r="B248" t="str">
            <v>3</v>
          </cell>
          <cell r="C248" t="str">
            <v>05</v>
          </cell>
          <cell r="D248">
            <v>18</v>
          </cell>
          <cell r="E248" t="str">
            <v>521C</v>
          </cell>
          <cell r="F248">
            <v>10.9</v>
          </cell>
          <cell r="G248">
            <v>8.43</v>
          </cell>
          <cell r="H248">
            <v>8.43</v>
          </cell>
          <cell r="I248" t="str">
            <v>BK</v>
          </cell>
          <cell r="J248" t="str">
            <v>SC</v>
          </cell>
          <cell r="K248">
            <v>0</v>
          </cell>
          <cell r="L248">
            <v>45894</v>
          </cell>
          <cell r="M248">
            <v>45894</v>
          </cell>
          <cell r="N248">
            <v>100</v>
          </cell>
          <cell r="O248" t="str">
            <v>NS</v>
          </cell>
          <cell r="P248" t="str">
            <v/>
          </cell>
          <cell r="Q248">
            <v>45894</v>
          </cell>
          <cell r="R248" t="str">
            <v/>
          </cell>
          <cell r="S248" t="str">
            <v/>
          </cell>
          <cell r="T248" t="str">
            <v/>
          </cell>
          <cell r="U248">
            <v>69773</v>
          </cell>
          <cell r="V248">
            <v>51169</v>
          </cell>
          <cell r="W248">
            <v>43481</v>
          </cell>
          <cell r="X248" t="str">
            <v>Lokasi Produksi 521C</v>
          </cell>
          <cell r="Z248">
            <v>0</v>
          </cell>
          <cell r="AA248">
            <v>45894</v>
          </cell>
          <cell r="AB248">
            <v>4714.5973361111101</v>
          </cell>
          <cell r="AC248">
            <v>157.15324453703701</v>
          </cell>
          <cell r="AD248">
            <v>-20</v>
          </cell>
          <cell r="AE248">
            <v>0</v>
          </cell>
          <cell r="AF248">
            <v>0</v>
          </cell>
          <cell r="AG248">
            <v>-1217.5333333333333</v>
          </cell>
          <cell r="AM248" t="str">
            <v>OK</v>
          </cell>
          <cell r="AO248">
            <v>3.3451851080246948</v>
          </cell>
          <cell r="AP248">
            <v>3.3451851080246948</v>
          </cell>
          <cell r="AQ248">
            <v>0</v>
          </cell>
          <cell r="AR248">
            <v>3.3451851080246948</v>
          </cell>
          <cell r="AS248">
            <v>0</v>
          </cell>
          <cell r="AT248">
            <v>45894</v>
          </cell>
          <cell r="AU248">
            <v>3.3451851080246948</v>
          </cell>
          <cell r="AV248">
            <v>100.35555324074085</v>
          </cell>
          <cell r="AW248">
            <v>3.3451851080246948</v>
          </cell>
          <cell r="AY248">
            <v>105.46369178241002</v>
          </cell>
          <cell r="AZ248" t="str">
            <v>F18</v>
          </cell>
          <cell r="BA248">
            <v>0</v>
          </cell>
          <cell r="BB248" t="str">
            <v>NSBK</v>
          </cell>
          <cell r="BC248" t="str">
            <v>F18</v>
          </cell>
        </row>
        <row r="249">
          <cell r="A249" t="str">
            <v>521D1</v>
          </cell>
          <cell r="B249" t="str">
            <v>3</v>
          </cell>
          <cell r="C249" t="str">
            <v>05</v>
          </cell>
          <cell r="D249">
            <v>18</v>
          </cell>
          <cell r="E249" t="str">
            <v>521D1</v>
          </cell>
          <cell r="F249">
            <v>8.82</v>
          </cell>
          <cell r="G249">
            <v>7.09</v>
          </cell>
          <cell r="H249">
            <v>7.09</v>
          </cell>
          <cell r="I249" t="str">
            <v>SC</v>
          </cell>
          <cell r="J249" t="str">
            <v>FC</v>
          </cell>
          <cell r="K249">
            <v>8</v>
          </cell>
          <cell r="L249">
            <v>45785</v>
          </cell>
          <cell r="M249">
            <v>45785</v>
          </cell>
          <cell r="N249">
            <v>209</v>
          </cell>
          <cell r="O249" t="str">
            <v>NS</v>
          </cell>
          <cell r="P249" t="str">
            <v/>
          </cell>
          <cell r="Q249">
            <v>46029</v>
          </cell>
          <cell r="R249" t="str">
            <v/>
          </cell>
          <cell r="S249" t="str">
            <v/>
          </cell>
          <cell r="T249" t="str">
            <v/>
          </cell>
          <cell r="U249">
            <v>69988</v>
          </cell>
          <cell r="V249">
            <v>70072</v>
          </cell>
          <cell r="W249">
            <v>45182</v>
          </cell>
          <cell r="X249" t="str">
            <v>Lokasi Produksi 521D1 ( pecahan 521D )</v>
          </cell>
          <cell r="Z249">
            <v>8</v>
          </cell>
          <cell r="AA249">
            <v>46029</v>
          </cell>
          <cell r="AB249">
            <v>113.59733611111005</v>
          </cell>
          <cell r="AC249">
            <v>3.7865778703703352</v>
          </cell>
          <cell r="AD249">
            <v>-10.213422129629665</v>
          </cell>
          <cell r="AE249">
            <v>15.23</v>
          </cell>
          <cell r="AF249">
            <v>0</v>
          </cell>
          <cell r="AG249">
            <v>-1370.9</v>
          </cell>
          <cell r="AM249" t="str">
            <v>OK</v>
          </cell>
          <cell r="AO249">
            <v>6.9785184413580286</v>
          </cell>
          <cell r="AP249">
            <v>-1.0214815586419714</v>
          </cell>
          <cell r="AQ249">
            <v>0</v>
          </cell>
          <cell r="AR249">
            <v>6.9785184413580286</v>
          </cell>
          <cell r="AS249">
            <v>0</v>
          </cell>
          <cell r="AT249">
            <v>46029</v>
          </cell>
          <cell r="AU249">
            <v>-1.0214815586419714</v>
          </cell>
          <cell r="AV249">
            <v>209.35555324074085</v>
          </cell>
          <cell r="AW249">
            <v>-1.0214815586419714</v>
          </cell>
          <cell r="AY249">
            <v>214.46369178241002</v>
          </cell>
          <cell r="AZ249" t="str">
            <v>F18</v>
          </cell>
          <cell r="BA249">
            <v>7.09</v>
          </cell>
          <cell r="BB249" t="str">
            <v>NSSC</v>
          </cell>
          <cell r="BC249" t="str">
            <v>F18</v>
          </cell>
        </row>
        <row r="250">
          <cell r="A250" t="str">
            <v>521D2</v>
          </cell>
          <cell r="B250" t="str">
            <v>3</v>
          </cell>
          <cell r="C250" t="str">
            <v>05</v>
          </cell>
          <cell r="D250">
            <v>18</v>
          </cell>
          <cell r="E250" t="str">
            <v>521D2</v>
          </cell>
          <cell r="F250">
            <v>7.96</v>
          </cell>
          <cell r="G250">
            <v>6.38</v>
          </cell>
          <cell r="H250">
            <v>6.38</v>
          </cell>
          <cell r="I250" t="str">
            <v>SC</v>
          </cell>
          <cell r="J250" t="str">
            <v>FC</v>
          </cell>
          <cell r="K250">
            <v>8</v>
          </cell>
          <cell r="L250">
            <v>45785</v>
          </cell>
          <cell r="M250">
            <v>45785</v>
          </cell>
          <cell r="N250">
            <v>209</v>
          </cell>
          <cell r="O250" t="str">
            <v>NS</v>
          </cell>
          <cell r="P250" t="str">
            <v/>
          </cell>
          <cell r="Q250">
            <v>46029</v>
          </cell>
          <cell r="R250" t="str">
            <v/>
          </cell>
          <cell r="S250" t="str">
            <v/>
          </cell>
          <cell r="T250" t="str">
            <v/>
          </cell>
          <cell r="U250">
            <v>69179</v>
          </cell>
          <cell r="V250">
            <v>70263</v>
          </cell>
          <cell r="W250">
            <v>45182</v>
          </cell>
          <cell r="X250" t="str">
            <v>Lokasi Produksi 521D2 ( pecahan 521D )</v>
          </cell>
          <cell r="Z250">
            <v>8</v>
          </cell>
          <cell r="AA250">
            <v>46029</v>
          </cell>
          <cell r="AB250">
            <v>76.597336111110053</v>
          </cell>
          <cell r="AC250">
            <v>2.5532445370370018</v>
          </cell>
          <cell r="AD250">
            <v>-11.446755462962997</v>
          </cell>
          <cell r="AE250">
            <v>14.4</v>
          </cell>
          <cell r="AF250">
            <v>0</v>
          </cell>
          <cell r="AG250">
            <v>-1372.1333333333334</v>
          </cell>
          <cell r="AM250" t="str">
            <v>OK</v>
          </cell>
          <cell r="AO250">
            <v>6.9785184413580286</v>
          </cell>
          <cell r="AP250">
            <v>-1.0214815586419714</v>
          </cell>
          <cell r="AQ250">
            <v>0</v>
          </cell>
          <cell r="AR250">
            <v>6.9785184413580286</v>
          </cell>
          <cell r="AS250">
            <v>0</v>
          </cell>
          <cell r="AT250">
            <v>46029</v>
          </cell>
          <cell r="AU250">
            <v>-1.0214815586419714</v>
          </cell>
          <cell r="AV250">
            <v>209.35555324074085</v>
          </cell>
          <cell r="AW250">
            <v>-1.0214815586419714</v>
          </cell>
          <cell r="AY250">
            <v>214.46369178241002</v>
          </cell>
          <cell r="AZ250" t="str">
            <v>F18</v>
          </cell>
          <cell r="BA250">
            <v>6.38</v>
          </cell>
          <cell r="BB250" t="str">
            <v>NSSC</v>
          </cell>
          <cell r="BC250" t="str">
            <v>F18</v>
          </cell>
        </row>
        <row r="251">
          <cell r="A251" t="str">
            <v>521DS</v>
          </cell>
          <cell r="B251" t="str">
            <v>3</v>
          </cell>
          <cell r="C251" t="str">
            <v>05</v>
          </cell>
          <cell r="D251">
            <v>18</v>
          </cell>
          <cell r="E251" t="str">
            <v>521DS</v>
          </cell>
          <cell r="F251">
            <v>0.35</v>
          </cell>
          <cell r="G251">
            <v>0.35</v>
          </cell>
          <cell r="H251">
            <v>0.35</v>
          </cell>
          <cell r="I251" t="str">
            <v>FC</v>
          </cell>
          <cell r="J251" t="str">
            <v>ST</v>
          </cell>
          <cell r="K251">
            <v>0</v>
          </cell>
          <cell r="L251">
            <v>45693</v>
          </cell>
          <cell r="M251">
            <v>45693</v>
          </cell>
          <cell r="N251">
            <v>301</v>
          </cell>
          <cell r="O251" t="str">
            <v>SK</v>
          </cell>
          <cell r="P251" t="str">
            <v/>
          </cell>
          <cell r="Q251">
            <v>45693</v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>Lokasi Produksi 521DS ( singkong )</v>
          </cell>
          <cell r="Z251">
            <v>0</v>
          </cell>
          <cell r="AA251">
            <v>45693</v>
          </cell>
          <cell r="AB251">
            <v>4761.5973361111101</v>
          </cell>
          <cell r="AC251">
            <v>158.71991120370367</v>
          </cell>
          <cell r="AD251">
            <v>-20</v>
          </cell>
          <cell r="AE251">
            <v>0</v>
          </cell>
          <cell r="AF251">
            <v>0</v>
          </cell>
          <cell r="AG251">
            <v>-1215.9666666666667</v>
          </cell>
          <cell r="AM251" t="str">
            <v>OK</v>
          </cell>
          <cell r="AO251">
            <v>10.045185108024695</v>
          </cell>
          <cell r="AP251">
            <v>10.045185108024695</v>
          </cell>
          <cell r="AQ251">
            <v>0</v>
          </cell>
          <cell r="AR251">
            <v>10.045185108024695</v>
          </cell>
          <cell r="AS251">
            <v>0</v>
          </cell>
          <cell r="AT251">
            <v>45693</v>
          </cell>
          <cell r="AU251">
            <v>10.045185108024695</v>
          </cell>
          <cell r="AV251">
            <v>301.35555324074085</v>
          </cell>
          <cell r="AW251">
            <v>10.045185108024695</v>
          </cell>
          <cell r="AY251">
            <v>306.46369178241002</v>
          </cell>
          <cell r="AZ251" t="str">
            <v>F18</v>
          </cell>
          <cell r="BA251">
            <v>0</v>
          </cell>
          <cell r="BB251" t="str">
            <v>SKFC</v>
          </cell>
          <cell r="BC251" t="str">
            <v>F18</v>
          </cell>
        </row>
        <row r="252">
          <cell r="A252" t="str">
            <v>521E</v>
          </cell>
          <cell r="B252" t="str">
            <v>3</v>
          </cell>
          <cell r="C252" t="str">
            <v>05</v>
          </cell>
          <cell r="D252">
            <v>18</v>
          </cell>
          <cell r="E252" t="str">
            <v>521E</v>
          </cell>
          <cell r="F252">
            <v>14.77</v>
          </cell>
          <cell r="G252">
            <v>12.38</v>
          </cell>
          <cell r="H252">
            <v>12.38</v>
          </cell>
          <cell r="I252" t="str">
            <v>FC</v>
          </cell>
          <cell r="J252" t="str">
            <v>ST</v>
          </cell>
          <cell r="K252">
            <v>14</v>
          </cell>
          <cell r="L252">
            <v>45896</v>
          </cell>
          <cell r="M252">
            <v>45896</v>
          </cell>
          <cell r="N252">
            <v>98</v>
          </cell>
          <cell r="O252" t="str">
            <v>NS</v>
          </cell>
          <cell r="P252" t="str">
            <v>NSGP3CK3</v>
          </cell>
          <cell r="Q252">
            <v>46323</v>
          </cell>
          <cell r="R252" t="str">
            <v/>
          </cell>
          <cell r="S252" t="str">
            <v/>
          </cell>
          <cell r="T252" t="str">
            <v/>
          </cell>
          <cell r="U252">
            <v>69242</v>
          </cell>
          <cell r="V252">
            <v>75873</v>
          </cell>
          <cell r="W252" t="str">
            <v/>
          </cell>
          <cell r="X252" t="str">
            <v>Lokasi Produksi 521E</v>
          </cell>
          <cell r="Z252">
            <v>14</v>
          </cell>
          <cell r="AA252">
            <v>46323</v>
          </cell>
          <cell r="AB252">
            <v>665.59733611111005</v>
          </cell>
          <cell r="AC252">
            <v>22.186577870370336</v>
          </cell>
          <cell r="AD252">
            <v>-20</v>
          </cell>
          <cell r="AE252">
            <v>0</v>
          </cell>
          <cell r="AF252">
            <v>0</v>
          </cell>
          <cell r="AG252">
            <v>-1352.5</v>
          </cell>
          <cell r="AM252" t="str">
            <v>OK</v>
          </cell>
          <cell r="AO252">
            <v>3.2785184413580284</v>
          </cell>
          <cell r="AP252">
            <v>-10.721481558641972</v>
          </cell>
          <cell r="AQ252">
            <v>0</v>
          </cell>
          <cell r="AR252">
            <v>3.2785184413580284</v>
          </cell>
          <cell r="AS252">
            <v>0</v>
          </cell>
          <cell r="AT252">
            <v>46323</v>
          </cell>
          <cell r="AU252">
            <v>-10.721481558641972</v>
          </cell>
          <cell r="AV252">
            <v>98.355553240740846</v>
          </cell>
          <cell r="AW252">
            <v>-10.721481558641972</v>
          </cell>
          <cell r="AY252">
            <v>103.46369178241002</v>
          </cell>
          <cell r="AZ252" t="str">
            <v>GP3</v>
          </cell>
          <cell r="BA252">
            <v>12.38</v>
          </cell>
          <cell r="BB252" t="str">
            <v>NSFC</v>
          </cell>
          <cell r="BC252" t="str">
            <v>GP3CK</v>
          </cell>
        </row>
        <row r="253">
          <cell r="A253" t="str">
            <v>521ES</v>
          </cell>
          <cell r="B253" t="str">
            <v>3</v>
          </cell>
          <cell r="C253" t="str">
            <v>05</v>
          </cell>
          <cell r="D253">
            <v>18</v>
          </cell>
          <cell r="E253" t="str">
            <v>521ES</v>
          </cell>
          <cell r="F253">
            <v>0.94</v>
          </cell>
          <cell r="G253">
            <v>0.94</v>
          </cell>
          <cell r="H253">
            <v>0.94</v>
          </cell>
          <cell r="I253" t="str">
            <v>FC</v>
          </cell>
          <cell r="J253" t="str">
            <v>ST</v>
          </cell>
          <cell r="K253">
            <v>0</v>
          </cell>
          <cell r="L253">
            <v>45694</v>
          </cell>
          <cell r="M253">
            <v>45694</v>
          </cell>
          <cell r="N253">
            <v>300</v>
          </cell>
          <cell r="O253" t="str">
            <v>SK</v>
          </cell>
          <cell r="P253" t="str">
            <v/>
          </cell>
          <cell r="Q253">
            <v>45694</v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>Lokasi Produksi 521ES ( singkong )</v>
          </cell>
          <cell r="Z253">
            <v>0</v>
          </cell>
          <cell r="AA253">
            <v>45694</v>
          </cell>
          <cell r="AB253">
            <v>4436.5973361111101</v>
          </cell>
          <cell r="AC253">
            <v>147.88657787037033</v>
          </cell>
          <cell r="AD253">
            <v>-20</v>
          </cell>
          <cell r="AE253">
            <v>0</v>
          </cell>
          <cell r="AF253">
            <v>0</v>
          </cell>
          <cell r="AG253">
            <v>-1226.8</v>
          </cell>
          <cell r="AM253" t="str">
            <v>OK</v>
          </cell>
          <cell r="AO253">
            <v>10.011851774691362</v>
          </cell>
          <cell r="AP253">
            <v>10.011851774691362</v>
          </cell>
          <cell r="AQ253">
            <v>0</v>
          </cell>
          <cell r="AR253">
            <v>10.011851774691362</v>
          </cell>
          <cell r="AS253">
            <v>0</v>
          </cell>
          <cell r="AT253">
            <v>45694</v>
          </cell>
          <cell r="AU253">
            <v>10.011851774691362</v>
          </cell>
          <cell r="AV253">
            <v>300.35555324074085</v>
          </cell>
          <cell r="AW253">
            <v>10.011851774691362</v>
          </cell>
          <cell r="AY253">
            <v>305.46369178241002</v>
          </cell>
          <cell r="AZ253" t="str">
            <v>F18</v>
          </cell>
          <cell r="BA253">
            <v>0</v>
          </cell>
          <cell r="BB253" t="str">
            <v>SKFC</v>
          </cell>
          <cell r="BC253" t="str">
            <v>F18</v>
          </cell>
        </row>
        <row r="254">
          <cell r="A254" t="str">
            <v>521G1A</v>
          </cell>
          <cell r="B254" t="str">
            <v>3</v>
          </cell>
          <cell r="C254" t="str">
            <v>05</v>
          </cell>
          <cell r="D254">
            <v>18</v>
          </cell>
          <cell r="E254" t="str">
            <v>521G1A</v>
          </cell>
          <cell r="F254">
            <v>5.89</v>
          </cell>
          <cell r="G254">
            <v>4.99</v>
          </cell>
          <cell r="H254">
            <v>4.99</v>
          </cell>
          <cell r="I254" t="str">
            <v>FC</v>
          </cell>
          <cell r="J254" t="str">
            <v>ST</v>
          </cell>
          <cell r="K254">
            <v>14</v>
          </cell>
          <cell r="L254">
            <v>45810</v>
          </cell>
          <cell r="M254">
            <v>45810</v>
          </cell>
          <cell r="N254">
            <v>184</v>
          </cell>
          <cell r="O254" t="str">
            <v>NS</v>
          </cell>
          <cell r="P254" t="str">
            <v>NSF18CK3</v>
          </cell>
          <cell r="Q254">
            <v>46237</v>
          </cell>
          <cell r="R254" t="str">
            <v/>
          </cell>
          <cell r="S254" t="str">
            <v/>
          </cell>
          <cell r="T254" t="str">
            <v/>
          </cell>
          <cell r="U254">
            <v>65693</v>
          </cell>
          <cell r="V254" t="str">
            <v/>
          </cell>
          <cell r="W254">
            <v>45757</v>
          </cell>
          <cell r="X254" t="str">
            <v>Lokasi Produksi 521G1A ( pecahan 521G1 )</v>
          </cell>
          <cell r="Z254">
            <v>14</v>
          </cell>
          <cell r="AA254">
            <v>46237</v>
          </cell>
          <cell r="AB254">
            <v>241.59733611111005</v>
          </cell>
          <cell r="AC254">
            <v>8.0532445370370009</v>
          </cell>
          <cell r="AD254">
            <v>-5.9467554629629991</v>
          </cell>
          <cell r="AE254">
            <v>23.39</v>
          </cell>
          <cell r="AF254">
            <v>0</v>
          </cell>
          <cell r="AG254">
            <v>-1366.6333333333334</v>
          </cell>
          <cell r="AM254" t="str">
            <v>OK</v>
          </cell>
          <cell r="AO254">
            <v>6.1451851080246946</v>
          </cell>
          <cell r="AP254">
            <v>-7.8548148919753054</v>
          </cell>
          <cell r="AQ254">
            <v>0</v>
          </cell>
          <cell r="AR254">
            <v>6.1451851080246946</v>
          </cell>
          <cell r="AS254">
            <v>0</v>
          </cell>
          <cell r="AT254">
            <v>46237</v>
          </cell>
          <cell r="AU254">
            <v>-7.8548148919753054</v>
          </cell>
          <cell r="AV254">
            <v>184.35555324074085</v>
          </cell>
          <cell r="AW254">
            <v>-7.8548148919753054</v>
          </cell>
          <cell r="AY254">
            <v>189.46369178241002</v>
          </cell>
          <cell r="AZ254" t="str">
            <v>F18</v>
          </cell>
          <cell r="BA254">
            <v>4.99</v>
          </cell>
          <cell r="BB254" t="str">
            <v>NSFC</v>
          </cell>
          <cell r="BC254" t="str">
            <v>F18CK</v>
          </cell>
        </row>
        <row r="255">
          <cell r="A255" t="str">
            <v>521G1B</v>
          </cell>
          <cell r="B255" t="str">
            <v>3</v>
          </cell>
          <cell r="C255" t="str">
            <v>05</v>
          </cell>
          <cell r="D255">
            <v>18</v>
          </cell>
          <cell r="E255" t="str">
            <v>521G1B</v>
          </cell>
          <cell r="F255">
            <v>9.1199999999999992</v>
          </cell>
          <cell r="G255">
            <v>7.56</v>
          </cell>
          <cell r="H255">
            <v>7.56</v>
          </cell>
          <cell r="I255" t="str">
            <v>FC</v>
          </cell>
          <cell r="J255" t="str">
            <v>ST</v>
          </cell>
          <cell r="K255">
            <v>14</v>
          </cell>
          <cell r="L255">
            <v>45818</v>
          </cell>
          <cell r="M255">
            <v>45818</v>
          </cell>
          <cell r="N255">
            <v>176</v>
          </cell>
          <cell r="O255" t="str">
            <v>NS</v>
          </cell>
          <cell r="P255" t="str">
            <v>NSF18CK3</v>
          </cell>
          <cell r="Q255">
            <v>46245</v>
          </cell>
          <cell r="R255" t="str">
            <v/>
          </cell>
          <cell r="S255" t="str">
            <v/>
          </cell>
          <cell r="T255" t="str">
            <v/>
          </cell>
          <cell r="U255">
            <v>66566</v>
          </cell>
          <cell r="V255" t="str">
            <v/>
          </cell>
          <cell r="W255">
            <v>45776</v>
          </cell>
          <cell r="X255" t="str">
            <v>Lokasi Produksi 521G1B ( pecahan 521G1 )</v>
          </cell>
          <cell r="Z255">
            <v>14</v>
          </cell>
          <cell r="AA255">
            <v>46245</v>
          </cell>
          <cell r="AB255">
            <v>204.59733611111005</v>
          </cell>
          <cell r="AC255">
            <v>6.8199112037036684</v>
          </cell>
          <cell r="AD255">
            <v>-20</v>
          </cell>
          <cell r="AE255">
            <v>0</v>
          </cell>
          <cell r="AF255">
            <v>0</v>
          </cell>
          <cell r="AG255">
            <v>-1367.8666666666666</v>
          </cell>
          <cell r="AM255" t="str">
            <v>OK</v>
          </cell>
          <cell r="AO255">
            <v>5.878518441358028</v>
          </cell>
          <cell r="AP255">
            <v>-8.1214815586419711</v>
          </cell>
          <cell r="AQ255">
            <v>0</v>
          </cell>
          <cell r="AR255">
            <v>5.878518441358028</v>
          </cell>
          <cell r="AS255">
            <v>0</v>
          </cell>
          <cell r="AT255">
            <v>46245</v>
          </cell>
          <cell r="AU255">
            <v>-8.1214815586419711</v>
          </cell>
          <cell r="AV255">
            <v>176.35555324074085</v>
          </cell>
          <cell r="AW255">
            <v>-8.1214815586419711</v>
          </cell>
          <cell r="AY255">
            <v>181.46369178241002</v>
          </cell>
          <cell r="AZ255" t="str">
            <v>F18</v>
          </cell>
          <cell r="BA255">
            <v>7.56</v>
          </cell>
          <cell r="BB255" t="str">
            <v>NSFC</v>
          </cell>
          <cell r="BC255" t="str">
            <v>F18CK</v>
          </cell>
        </row>
        <row r="256">
          <cell r="A256" t="str">
            <v>522A</v>
          </cell>
          <cell r="B256" t="str">
            <v>3</v>
          </cell>
          <cell r="C256" t="str">
            <v>05</v>
          </cell>
          <cell r="D256">
            <v>18</v>
          </cell>
          <cell r="E256" t="str">
            <v>522A</v>
          </cell>
          <cell r="F256">
            <v>14.49</v>
          </cell>
          <cell r="G256">
            <v>12.05</v>
          </cell>
          <cell r="H256">
            <v>12.05</v>
          </cell>
          <cell r="I256" t="str">
            <v>FC</v>
          </cell>
          <cell r="J256" t="str">
            <v>ST</v>
          </cell>
          <cell r="K256">
            <v>14</v>
          </cell>
          <cell r="L256">
            <v>45504</v>
          </cell>
          <cell r="M256">
            <v>45504</v>
          </cell>
          <cell r="N256">
            <v>490</v>
          </cell>
          <cell r="O256" t="str">
            <v>NS</v>
          </cell>
          <cell r="P256" t="str">
            <v>NSGP3CK3</v>
          </cell>
          <cell r="Q256">
            <v>45931</v>
          </cell>
          <cell r="R256" t="str">
            <v/>
          </cell>
          <cell r="S256" t="str">
            <v/>
          </cell>
          <cell r="T256">
            <v>45901</v>
          </cell>
          <cell r="U256">
            <v>66657</v>
          </cell>
          <cell r="V256">
            <v>67423</v>
          </cell>
          <cell r="W256">
            <v>44314</v>
          </cell>
          <cell r="X256" t="str">
            <v>Lokasi Produksi 522A</v>
          </cell>
          <cell r="Z256">
            <v>14</v>
          </cell>
          <cell r="AA256">
            <v>45931</v>
          </cell>
          <cell r="AB256">
            <v>475.59733611111005</v>
          </cell>
          <cell r="AC256">
            <v>15.853244537037002</v>
          </cell>
          <cell r="AD256">
            <v>1.8532445370370016</v>
          </cell>
          <cell r="AE256">
            <v>4.25</v>
          </cell>
          <cell r="AF256">
            <v>0</v>
          </cell>
          <cell r="AG256">
            <v>-1358.8333333333333</v>
          </cell>
          <cell r="AM256" t="str">
            <v>OK</v>
          </cell>
          <cell r="AO256">
            <v>16.345185108024694</v>
          </cell>
          <cell r="AP256">
            <v>2.3451851080246939</v>
          </cell>
          <cell r="AQ256">
            <v>45901</v>
          </cell>
          <cell r="AR256">
            <v>13.233333333333333</v>
          </cell>
          <cell r="AS256">
            <v>3.1118517746913614</v>
          </cell>
          <cell r="AT256">
            <v>45931</v>
          </cell>
          <cell r="AU256">
            <v>3.1118517746913614</v>
          </cell>
          <cell r="AV256">
            <v>397</v>
          </cell>
          <cell r="AW256">
            <v>3.1118517746913614</v>
          </cell>
          <cell r="AY256">
            <v>495.46369178241002</v>
          </cell>
          <cell r="AZ256" t="str">
            <v>GP3</v>
          </cell>
          <cell r="BA256">
            <v>12.05</v>
          </cell>
          <cell r="BB256" t="str">
            <v>NSFC</v>
          </cell>
          <cell r="BC256" t="str">
            <v>GP3CK</v>
          </cell>
        </row>
        <row r="257">
          <cell r="A257" t="str">
            <v>522B1</v>
          </cell>
          <cell r="B257" t="str">
            <v>3</v>
          </cell>
          <cell r="C257" t="str">
            <v>05</v>
          </cell>
          <cell r="D257">
            <v>18</v>
          </cell>
          <cell r="E257" t="str">
            <v>522B1</v>
          </cell>
          <cell r="F257">
            <v>9.15</v>
          </cell>
          <cell r="G257">
            <v>7.68</v>
          </cell>
          <cell r="H257">
            <v>7.68</v>
          </cell>
          <cell r="I257" t="str">
            <v>FC</v>
          </cell>
          <cell r="J257" t="str">
            <v>ST</v>
          </cell>
          <cell r="K257">
            <v>14</v>
          </cell>
          <cell r="L257">
            <v>45991</v>
          </cell>
          <cell r="M257">
            <v>45991</v>
          </cell>
          <cell r="N257">
            <v>3</v>
          </cell>
          <cell r="O257" t="str">
            <v>NS</v>
          </cell>
          <cell r="P257" t="str">
            <v>NSF18CK3</v>
          </cell>
          <cell r="Q257">
            <v>46418</v>
          </cell>
          <cell r="R257" t="str">
            <v/>
          </cell>
          <cell r="S257" t="str">
            <v/>
          </cell>
          <cell r="T257" t="str">
            <v/>
          </cell>
          <cell r="U257">
            <v>68477</v>
          </cell>
          <cell r="V257">
            <v>51167</v>
          </cell>
          <cell r="W257">
            <v>44733</v>
          </cell>
          <cell r="X257" t="str">
            <v>Lokasi Produksi 522B1 ( pecahan 522B )</v>
          </cell>
          <cell r="Z257">
            <v>14</v>
          </cell>
          <cell r="AA257">
            <v>46418</v>
          </cell>
          <cell r="AB257">
            <v>503.59733611111005</v>
          </cell>
          <cell r="AC257">
            <v>16.786577870370333</v>
          </cell>
          <cell r="AD257">
            <v>2.7865778703703334</v>
          </cell>
          <cell r="AE257">
            <v>12.47</v>
          </cell>
          <cell r="AF257">
            <v>0</v>
          </cell>
          <cell r="AG257">
            <v>-1357.9</v>
          </cell>
          <cell r="AK257">
            <v>40339</v>
          </cell>
          <cell r="AM257" t="str">
            <v>OK</v>
          </cell>
          <cell r="AO257">
            <v>0.11185177469136155</v>
          </cell>
          <cell r="AP257">
            <v>-13.888148225308639</v>
          </cell>
          <cell r="AQ257">
            <v>0</v>
          </cell>
          <cell r="AR257">
            <v>0.11185177469136155</v>
          </cell>
          <cell r="AS257">
            <v>0</v>
          </cell>
          <cell r="AT257">
            <v>46418</v>
          </cell>
          <cell r="AU257">
            <v>-13.888148225308639</v>
          </cell>
          <cell r="AV257">
            <v>3.3555532407408464</v>
          </cell>
          <cell r="AW257">
            <v>-13.888148225308639</v>
          </cell>
          <cell r="AY257">
            <v>8.4636917824100237</v>
          </cell>
          <cell r="AZ257" t="str">
            <v>F18</v>
          </cell>
          <cell r="BA257">
            <v>7.68</v>
          </cell>
          <cell r="BB257" t="str">
            <v>NSFC</v>
          </cell>
          <cell r="BC257" t="str">
            <v>F18CK</v>
          </cell>
        </row>
        <row r="258">
          <cell r="A258" t="str">
            <v>522B2</v>
          </cell>
          <cell r="B258" t="str">
            <v>3</v>
          </cell>
          <cell r="C258" t="str">
            <v>05</v>
          </cell>
          <cell r="D258">
            <v>18</v>
          </cell>
          <cell r="E258" t="str">
            <v>522B2</v>
          </cell>
          <cell r="F258">
            <v>11.44</v>
          </cell>
          <cell r="G258">
            <v>9.61</v>
          </cell>
          <cell r="H258">
            <v>9.61</v>
          </cell>
          <cell r="I258" t="str">
            <v>ST</v>
          </cell>
          <cell r="J258" t="str">
            <v>BK</v>
          </cell>
          <cell r="K258">
            <v>0</v>
          </cell>
          <cell r="L258">
            <v>45946</v>
          </cell>
          <cell r="M258">
            <v>45946</v>
          </cell>
          <cell r="N258">
            <v>48</v>
          </cell>
          <cell r="O258" t="str">
            <v>NS</v>
          </cell>
          <cell r="P258" t="str">
            <v/>
          </cell>
          <cell r="Q258">
            <v>45946</v>
          </cell>
          <cell r="R258" t="str">
            <v/>
          </cell>
          <cell r="S258" t="str">
            <v/>
          </cell>
          <cell r="T258" t="str">
            <v/>
          </cell>
          <cell r="U258">
            <v>69967</v>
          </cell>
          <cell r="V258">
            <v>51115</v>
          </cell>
          <cell r="W258">
            <v>44733</v>
          </cell>
          <cell r="X258" t="str">
            <v>Lokasi Produksi 522B2 ( pecahan 522B )</v>
          </cell>
          <cell r="Z258">
            <v>0</v>
          </cell>
          <cell r="AA258">
            <v>45946</v>
          </cell>
          <cell r="AB258">
            <v>302.59733611111005</v>
          </cell>
          <cell r="AC258">
            <v>10.086577870370336</v>
          </cell>
          <cell r="AD258">
            <v>-5.9134221296296641</v>
          </cell>
          <cell r="AE258">
            <v>23.74</v>
          </cell>
          <cell r="AF258">
            <v>0</v>
          </cell>
          <cell r="AG258">
            <v>-1364.6</v>
          </cell>
          <cell r="AM258" t="str">
            <v>OK</v>
          </cell>
          <cell r="AO258">
            <v>1.6118517746913616</v>
          </cell>
          <cell r="AP258">
            <v>1.6118517746913616</v>
          </cell>
          <cell r="AQ258">
            <v>0</v>
          </cell>
          <cell r="AR258">
            <v>1.6118517746913616</v>
          </cell>
          <cell r="AS258">
            <v>0</v>
          </cell>
          <cell r="AT258">
            <v>45946</v>
          </cell>
          <cell r="AU258">
            <v>1.6118517746913616</v>
          </cell>
          <cell r="AV258">
            <v>48.355553240740846</v>
          </cell>
          <cell r="AW258">
            <v>1.6118517746913616</v>
          </cell>
          <cell r="AY258">
            <v>53.463691782410024</v>
          </cell>
          <cell r="AZ258" t="str">
            <v>F18</v>
          </cell>
          <cell r="BA258">
            <v>0</v>
          </cell>
          <cell r="BB258" t="str">
            <v>NSST</v>
          </cell>
          <cell r="BC258" t="str">
            <v>F18</v>
          </cell>
        </row>
        <row r="259">
          <cell r="A259" t="str">
            <v>522BS</v>
          </cell>
          <cell r="B259" t="str">
            <v>3</v>
          </cell>
          <cell r="C259" t="str">
            <v>05</v>
          </cell>
          <cell r="D259">
            <v>18</v>
          </cell>
          <cell r="E259" t="str">
            <v>522BS</v>
          </cell>
          <cell r="F259">
            <v>1.41</v>
          </cell>
          <cell r="G259">
            <v>1.41</v>
          </cell>
          <cell r="H259">
            <v>1.41</v>
          </cell>
          <cell r="I259" t="str">
            <v>FC</v>
          </cell>
          <cell r="J259" t="str">
            <v>ST</v>
          </cell>
          <cell r="K259">
            <v>0</v>
          </cell>
          <cell r="L259">
            <v>45619</v>
          </cell>
          <cell r="M259">
            <v>45619</v>
          </cell>
          <cell r="N259">
            <v>375</v>
          </cell>
          <cell r="O259" t="str">
            <v>SK</v>
          </cell>
          <cell r="P259" t="str">
            <v/>
          </cell>
          <cell r="Q259">
            <v>45619</v>
          </cell>
          <cell r="R259" t="str">
            <v/>
          </cell>
          <cell r="S259" t="str">
            <v/>
          </cell>
          <cell r="T259" t="str">
            <v/>
          </cell>
          <cell r="U259">
            <v>25766</v>
          </cell>
          <cell r="V259">
            <v>25766</v>
          </cell>
          <cell r="W259" t="str">
            <v/>
          </cell>
          <cell r="X259" t="str">
            <v>Lokasi Produksi 522BS ( singkong )</v>
          </cell>
          <cell r="Z259">
            <v>0</v>
          </cell>
          <cell r="AA259">
            <v>45619</v>
          </cell>
          <cell r="AB259">
            <v>469.59733611111005</v>
          </cell>
          <cell r="AC259">
            <v>15.653244537037002</v>
          </cell>
          <cell r="AD259">
            <v>1.6532445370370024</v>
          </cell>
          <cell r="AE259">
            <v>12.85</v>
          </cell>
          <cell r="AF259">
            <v>0</v>
          </cell>
          <cell r="AG259">
            <v>-1359.0333333333333</v>
          </cell>
          <cell r="AM259" t="str">
            <v>OK</v>
          </cell>
          <cell r="AO259">
            <v>12.511851774691362</v>
          </cell>
          <cell r="AP259">
            <v>12.511851774691362</v>
          </cell>
          <cell r="AQ259">
            <v>0</v>
          </cell>
          <cell r="AR259">
            <v>12.511851774691362</v>
          </cell>
          <cell r="AS259">
            <v>0</v>
          </cell>
          <cell r="AT259">
            <v>45619</v>
          </cell>
          <cell r="AU259">
            <v>12.511851774691362</v>
          </cell>
          <cell r="AV259">
            <v>375.35555324074085</v>
          </cell>
          <cell r="AW259">
            <v>12.511851774691362</v>
          </cell>
          <cell r="AY259">
            <v>380.46369178241002</v>
          </cell>
          <cell r="AZ259" t="str">
            <v>F18</v>
          </cell>
          <cell r="BA259">
            <v>0</v>
          </cell>
          <cell r="BB259" t="str">
            <v>SKFC</v>
          </cell>
          <cell r="BC259" t="str">
            <v>F18</v>
          </cell>
        </row>
        <row r="260">
          <cell r="A260" t="str">
            <v>522C1</v>
          </cell>
          <cell r="B260" t="str">
            <v>3</v>
          </cell>
          <cell r="C260" t="str">
            <v>05</v>
          </cell>
          <cell r="D260">
            <v>18</v>
          </cell>
          <cell r="E260" t="str">
            <v>522C1</v>
          </cell>
          <cell r="F260">
            <v>13.56</v>
          </cell>
          <cell r="G260">
            <v>11.27</v>
          </cell>
          <cell r="H260">
            <v>11.27</v>
          </cell>
          <cell r="I260" t="str">
            <v>SC</v>
          </cell>
          <cell r="J260" t="str">
            <v>FC</v>
          </cell>
          <cell r="K260">
            <v>8</v>
          </cell>
          <cell r="L260">
            <v>45985</v>
          </cell>
          <cell r="M260">
            <v>45985</v>
          </cell>
          <cell r="N260">
            <v>9</v>
          </cell>
          <cell r="O260" t="str">
            <v>NS</v>
          </cell>
          <cell r="P260" t="str">
            <v/>
          </cell>
          <cell r="Q260">
            <v>46229</v>
          </cell>
          <cell r="R260" t="str">
            <v/>
          </cell>
          <cell r="S260" t="str">
            <v/>
          </cell>
          <cell r="T260" t="str">
            <v/>
          </cell>
          <cell r="U260">
            <v>66773</v>
          </cell>
          <cell r="V260">
            <v>68646</v>
          </cell>
          <cell r="W260">
            <v>45832</v>
          </cell>
          <cell r="X260" t="str">
            <v>Lokasi Produksi 522C1 ( pecahan 522C )</v>
          </cell>
          <cell r="Z260">
            <v>8</v>
          </cell>
          <cell r="AA260">
            <v>46229</v>
          </cell>
          <cell r="AB260">
            <v>4787.5973361111101</v>
          </cell>
          <cell r="AC260">
            <v>159.58657787037035</v>
          </cell>
          <cell r="AD260">
            <v>-20</v>
          </cell>
          <cell r="AE260">
            <v>0</v>
          </cell>
          <cell r="AF260">
            <v>0</v>
          </cell>
          <cell r="AG260">
            <v>-1215.0999999999999</v>
          </cell>
          <cell r="AM260" t="str">
            <v>OK</v>
          </cell>
          <cell r="AO260">
            <v>0.31185177469136155</v>
          </cell>
          <cell r="AP260">
            <v>-7.6881482253086384</v>
          </cell>
          <cell r="AQ260">
            <v>0</v>
          </cell>
          <cell r="AR260">
            <v>0.31185177469136155</v>
          </cell>
          <cell r="AS260">
            <v>0</v>
          </cell>
          <cell r="AT260">
            <v>46229</v>
          </cell>
          <cell r="AU260">
            <v>-7.6881482253086384</v>
          </cell>
          <cell r="AV260">
            <v>9.3555532407408464</v>
          </cell>
          <cell r="AW260">
            <v>-7.6881482253086384</v>
          </cell>
          <cell r="AY260">
            <v>14.463691782410024</v>
          </cell>
          <cell r="AZ260" t="str">
            <v>F18</v>
          </cell>
          <cell r="BA260">
            <v>11.27</v>
          </cell>
          <cell r="BB260" t="str">
            <v>NSSC</v>
          </cell>
          <cell r="BC260" t="str">
            <v>F18</v>
          </cell>
        </row>
        <row r="261">
          <cell r="A261" t="str">
            <v>522C2</v>
          </cell>
          <cell r="B261" t="str">
            <v>3</v>
          </cell>
          <cell r="C261" t="str">
            <v>05</v>
          </cell>
          <cell r="D261">
            <v>18</v>
          </cell>
          <cell r="E261" t="str">
            <v>522C2</v>
          </cell>
          <cell r="F261">
            <v>9.81</v>
          </cell>
          <cell r="G261">
            <v>8.09</v>
          </cell>
          <cell r="H261">
            <v>8.09</v>
          </cell>
          <cell r="I261" t="str">
            <v>FC</v>
          </cell>
          <cell r="J261" t="str">
            <v>ST</v>
          </cell>
          <cell r="K261">
            <v>14</v>
          </cell>
          <cell r="L261">
            <v>45525</v>
          </cell>
          <cell r="M261">
            <v>45525</v>
          </cell>
          <cell r="N261">
            <v>469</v>
          </cell>
          <cell r="O261" t="str">
            <v>NS</v>
          </cell>
          <cell r="P261" t="str">
            <v>NSF18CK3</v>
          </cell>
          <cell r="Q261">
            <v>45952</v>
          </cell>
          <cell r="R261" t="str">
            <v/>
          </cell>
          <cell r="S261" t="str">
            <v/>
          </cell>
          <cell r="T261">
            <v>45932</v>
          </cell>
          <cell r="U261">
            <v>66068</v>
          </cell>
          <cell r="V261">
            <v>67081</v>
          </cell>
          <cell r="W261">
            <v>45469</v>
          </cell>
          <cell r="X261" t="str">
            <v>Lokasi Produksi 522C2 ( pecahan 522C )</v>
          </cell>
          <cell r="Z261">
            <v>14</v>
          </cell>
          <cell r="AA261">
            <v>45952</v>
          </cell>
          <cell r="AB261">
            <v>57.597336111110053</v>
          </cell>
          <cell r="AC261">
            <v>1.9199112037036685</v>
          </cell>
          <cell r="AD261">
            <v>-6.0800887962963319</v>
          </cell>
          <cell r="AE261">
            <v>6.31</v>
          </cell>
          <cell r="AF261">
            <v>0</v>
          </cell>
          <cell r="AG261">
            <v>-1372.7666666666667</v>
          </cell>
          <cell r="AM261" t="str">
            <v>OK</v>
          </cell>
          <cell r="AO261">
            <v>15.645185108024695</v>
          </cell>
          <cell r="AP261">
            <v>1.6451851080246946</v>
          </cell>
          <cell r="AQ261">
            <v>45932</v>
          </cell>
          <cell r="AR261">
            <v>13.566666666666666</v>
          </cell>
          <cell r="AS261">
            <v>2.0785184413580282</v>
          </cell>
          <cell r="AT261">
            <v>45952</v>
          </cell>
          <cell r="AU261">
            <v>2.0785184413580282</v>
          </cell>
          <cell r="AV261">
            <v>407</v>
          </cell>
          <cell r="AW261">
            <v>2.0785184413580282</v>
          </cell>
          <cell r="AY261">
            <v>474.46369178241002</v>
          </cell>
          <cell r="AZ261" t="str">
            <v>F18</v>
          </cell>
          <cell r="BA261">
            <v>8.09</v>
          </cell>
          <cell r="BB261" t="str">
            <v>NSFC</v>
          </cell>
          <cell r="BC261" t="str">
            <v>F18CK</v>
          </cell>
        </row>
        <row r="262">
          <cell r="A262" t="str">
            <v>523A1</v>
          </cell>
          <cell r="B262" t="str">
            <v>3</v>
          </cell>
          <cell r="C262" t="str">
            <v>05</v>
          </cell>
          <cell r="D262">
            <v>18</v>
          </cell>
          <cell r="E262" t="str">
            <v>523A1</v>
          </cell>
          <cell r="F262">
            <v>7.87</v>
          </cell>
          <cell r="G262">
            <v>6.55</v>
          </cell>
          <cell r="H262">
            <v>6.55</v>
          </cell>
          <cell r="I262" t="str">
            <v>FC</v>
          </cell>
          <cell r="J262" t="str">
            <v>ST</v>
          </cell>
          <cell r="K262">
            <v>14</v>
          </cell>
          <cell r="L262">
            <v>45962</v>
          </cell>
          <cell r="M262">
            <v>45962</v>
          </cell>
          <cell r="N262">
            <v>32</v>
          </cell>
          <cell r="O262" t="str">
            <v>NS</v>
          </cell>
          <cell r="P262" t="str">
            <v>NSGP3CK3</v>
          </cell>
          <cell r="Q262">
            <v>46389</v>
          </cell>
          <cell r="R262" t="str">
            <v/>
          </cell>
          <cell r="S262" t="str">
            <v/>
          </cell>
          <cell r="T262" t="str">
            <v/>
          </cell>
          <cell r="U262">
            <v>70235</v>
          </cell>
          <cell r="V262">
            <v>51741</v>
          </cell>
          <cell r="W262">
            <v>44590</v>
          </cell>
          <cell r="X262" t="str">
            <v>Lok Produksi 523A1 ( pecahan 523A )</v>
          </cell>
          <cell r="Z262">
            <v>14</v>
          </cell>
          <cell r="AA262">
            <v>46389</v>
          </cell>
          <cell r="AB262">
            <v>57.597336111110053</v>
          </cell>
          <cell r="AC262">
            <v>1.9199112037036685</v>
          </cell>
          <cell r="AD262">
            <v>-6.0800887962963319</v>
          </cell>
          <cell r="AE262">
            <v>7.48</v>
          </cell>
          <cell r="AF262">
            <v>0</v>
          </cell>
          <cell r="AG262">
            <v>-1372.7666666666667</v>
          </cell>
          <cell r="AM262" t="str">
            <v>OK</v>
          </cell>
          <cell r="AO262">
            <v>1.0785184413580282</v>
          </cell>
          <cell r="AP262">
            <v>-12.921481558641972</v>
          </cell>
          <cell r="AQ262">
            <v>0</v>
          </cell>
          <cell r="AR262">
            <v>1.0785184413580282</v>
          </cell>
          <cell r="AS262">
            <v>0</v>
          </cell>
          <cell r="AT262">
            <v>46389</v>
          </cell>
          <cell r="AU262">
            <v>-12.921481558641972</v>
          </cell>
          <cell r="AV262">
            <v>32.355553240740846</v>
          </cell>
          <cell r="AW262">
            <v>-12.921481558641972</v>
          </cell>
          <cell r="AY262">
            <v>37.463691782410024</v>
          </cell>
          <cell r="AZ262" t="str">
            <v>GP3</v>
          </cell>
          <cell r="BA262">
            <v>6.55</v>
          </cell>
          <cell r="BB262" t="str">
            <v>NSFC</v>
          </cell>
          <cell r="BC262" t="str">
            <v>GP3CK</v>
          </cell>
        </row>
        <row r="263">
          <cell r="A263" t="str">
            <v>523A2</v>
          </cell>
          <cell r="B263" t="str">
            <v>3</v>
          </cell>
          <cell r="C263" t="str">
            <v>05</v>
          </cell>
          <cell r="D263">
            <v>18</v>
          </cell>
          <cell r="E263" t="str">
            <v>523A2</v>
          </cell>
          <cell r="F263">
            <v>9.2799999999999994</v>
          </cell>
          <cell r="G263">
            <v>7.7</v>
          </cell>
          <cell r="H263">
            <v>7.7</v>
          </cell>
          <cell r="I263" t="str">
            <v>FC</v>
          </cell>
          <cell r="J263" t="str">
            <v>ST</v>
          </cell>
          <cell r="K263">
            <v>14</v>
          </cell>
          <cell r="L263">
            <v>45962</v>
          </cell>
          <cell r="M263">
            <v>45962</v>
          </cell>
          <cell r="N263">
            <v>32</v>
          </cell>
          <cell r="O263" t="str">
            <v>NS</v>
          </cell>
          <cell r="P263" t="str">
            <v>NSGP3CK3</v>
          </cell>
          <cell r="Q263">
            <v>46389</v>
          </cell>
          <cell r="R263" t="str">
            <v/>
          </cell>
          <cell r="S263" t="str">
            <v/>
          </cell>
          <cell r="T263" t="str">
            <v/>
          </cell>
          <cell r="U263">
            <v>70715</v>
          </cell>
          <cell r="V263">
            <v>50833</v>
          </cell>
          <cell r="W263">
            <v>44590</v>
          </cell>
          <cell r="X263" t="str">
            <v>Lok Produksi 523A2 ( pecahan 523A )</v>
          </cell>
          <cell r="Z263">
            <v>14</v>
          </cell>
          <cell r="AA263">
            <v>46389</v>
          </cell>
          <cell r="AB263">
            <v>57.597336111110053</v>
          </cell>
          <cell r="AC263">
            <v>1.9199112037036685</v>
          </cell>
          <cell r="AD263">
            <v>-6.0800887962963319</v>
          </cell>
          <cell r="AE263">
            <v>7.38</v>
          </cell>
          <cell r="AF263">
            <v>0</v>
          </cell>
          <cell r="AG263">
            <v>-1372.7666666666667</v>
          </cell>
          <cell r="AM263" t="str">
            <v>OK</v>
          </cell>
          <cell r="AO263">
            <v>1.0785184413580282</v>
          </cell>
          <cell r="AP263">
            <v>-12.921481558641972</v>
          </cell>
          <cell r="AQ263">
            <v>0</v>
          </cell>
          <cell r="AR263">
            <v>1.0785184413580282</v>
          </cell>
          <cell r="AS263">
            <v>0</v>
          </cell>
          <cell r="AT263">
            <v>46389</v>
          </cell>
          <cell r="AU263">
            <v>-12.921481558641972</v>
          </cell>
          <cell r="AV263">
            <v>32.355553240740846</v>
          </cell>
          <cell r="AW263">
            <v>-12.921481558641972</v>
          </cell>
          <cell r="AY263">
            <v>37.463691782410024</v>
          </cell>
          <cell r="AZ263" t="str">
            <v>GP3</v>
          </cell>
          <cell r="BA263">
            <v>7.7</v>
          </cell>
          <cell r="BB263" t="str">
            <v>NSFC</v>
          </cell>
          <cell r="BC263" t="str">
            <v>GP3CK</v>
          </cell>
        </row>
        <row r="264">
          <cell r="A264" t="str">
            <v>523A3</v>
          </cell>
          <cell r="B264" t="str">
            <v>3</v>
          </cell>
          <cell r="C264" t="str">
            <v>05</v>
          </cell>
          <cell r="D264">
            <v>18</v>
          </cell>
          <cell r="E264" t="str">
            <v>523A3</v>
          </cell>
          <cell r="F264">
            <v>4.54</v>
          </cell>
          <cell r="G264">
            <v>3.82</v>
          </cell>
          <cell r="H264">
            <v>3.82</v>
          </cell>
          <cell r="I264" t="str">
            <v>FC</v>
          </cell>
          <cell r="J264" t="str">
            <v>ST</v>
          </cell>
          <cell r="K264">
            <v>14</v>
          </cell>
          <cell r="L264">
            <v>45962</v>
          </cell>
          <cell r="M264">
            <v>45962</v>
          </cell>
          <cell r="N264">
            <v>32</v>
          </cell>
          <cell r="O264" t="str">
            <v>NS</v>
          </cell>
          <cell r="P264" t="str">
            <v>NSGP3CK3</v>
          </cell>
          <cell r="Q264">
            <v>46389</v>
          </cell>
          <cell r="R264" t="str">
            <v/>
          </cell>
          <cell r="S264" t="str">
            <v/>
          </cell>
          <cell r="T264" t="str">
            <v/>
          </cell>
          <cell r="U264">
            <v>71962</v>
          </cell>
          <cell r="V264">
            <v>51135</v>
          </cell>
          <cell r="W264" t="str">
            <v/>
          </cell>
          <cell r="X264" t="str">
            <v>Lok Produksi 523A3 ( pecahan 523A )</v>
          </cell>
          <cell r="Z264">
            <v>14</v>
          </cell>
          <cell r="AA264">
            <v>46389</v>
          </cell>
          <cell r="AB264">
            <v>211.59733611111005</v>
          </cell>
          <cell r="AC264">
            <v>7.0532445370370018</v>
          </cell>
          <cell r="AD264">
            <v>-20</v>
          </cell>
          <cell r="AE264">
            <v>0</v>
          </cell>
          <cell r="AF264">
            <v>0</v>
          </cell>
          <cell r="AG264">
            <v>-1367.6333333333334</v>
          </cell>
          <cell r="AM264" t="str">
            <v>OK</v>
          </cell>
          <cell r="AO264">
            <v>1.0785184413580282</v>
          </cell>
          <cell r="AP264">
            <v>-12.921481558641972</v>
          </cell>
          <cell r="AQ264">
            <v>0</v>
          </cell>
          <cell r="AR264">
            <v>1.0785184413580282</v>
          </cell>
          <cell r="AS264">
            <v>0</v>
          </cell>
          <cell r="AT264">
            <v>46389</v>
          </cell>
          <cell r="AU264">
            <v>-12.921481558641972</v>
          </cell>
          <cell r="AV264">
            <v>32.355553240740846</v>
          </cell>
          <cell r="AW264">
            <v>-12.921481558641972</v>
          </cell>
          <cell r="AY264">
            <v>37.463691782410024</v>
          </cell>
          <cell r="AZ264" t="str">
            <v>GP3</v>
          </cell>
          <cell r="BA264">
            <v>3.82</v>
          </cell>
          <cell r="BB264" t="str">
            <v>NSFC</v>
          </cell>
          <cell r="BC264" t="str">
            <v>GP3CK</v>
          </cell>
        </row>
        <row r="265">
          <cell r="A265" t="str">
            <v>523B</v>
          </cell>
          <cell r="B265" t="str">
            <v>3</v>
          </cell>
          <cell r="C265" t="str">
            <v>05</v>
          </cell>
          <cell r="D265">
            <v>18</v>
          </cell>
          <cell r="E265" t="str">
            <v>523B</v>
          </cell>
          <cell r="F265">
            <v>5</v>
          </cell>
          <cell r="G265">
            <v>4.2</v>
          </cell>
          <cell r="H265">
            <v>4.2</v>
          </cell>
          <cell r="I265" t="str">
            <v>FC</v>
          </cell>
          <cell r="J265" t="str">
            <v>ST</v>
          </cell>
          <cell r="K265">
            <v>14</v>
          </cell>
          <cell r="L265">
            <v>45828</v>
          </cell>
          <cell r="M265">
            <v>45828</v>
          </cell>
          <cell r="N265">
            <v>166</v>
          </cell>
          <cell r="O265" t="str">
            <v>NS</v>
          </cell>
          <cell r="P265" t="str">
            <v>NSF18CK3</v>
          </cell>
          <cell r="Q265">
            <v>46255</v>
          </cell>
          <cell r="R265" t="str">
            <v/>
          </cell>
          <cell r="S265" t="str">
            <v/>
          </cell>
          <cell r="T265" t="str">
            <v/>
          </cell>
          <cell r="U265">
            <v>66197</v>
          </cell>
          <cell r="V265">
            <v>51737</v>
          </cell>
          <cell r="W265">
            <v>44342</v>
          </cell>
          <cell r="X265" t="str">
            <v>Lokasi Produksi 523B</v>
          </cell>
          <cell r="Z265">
            <v>14</v>
          </cell>
          <cell r="AA265">
            <v>46255</v>
          </cell>
          <cell r="AB265">
            <v>993.59733611111005</v>
          </cell>
          <cell r="AC265">
            <v>33.119911203703666</v>
          </cell>
          <cell r="AD265">
            <v>-20</v>
          </cell>
          <cell r="AE265">
            <v>0</v>
          </cell>
          <cell r="AF265">
            <v>0</v>
          </cell>
          <cell r="AG265">
            <v>-1341.5666666666666</v>
          </cell>
          <cell r="AM265" t="str">
            <v>OK</v>
          </cell>
          <cell r="AO265">
            <v>5.545185108024695</v>
          </cell>
          <cell r="AP265">
            <v>-8.454814891975305</v>
          </cell>
          <cell r="AQ265">
            <v>0</v>
          </cell>
          <cell r="AR265">
            <v>5.545185108024695</v>
          </cell>
          <cell r="AS265">
            <v>0</v>
          </cell>
          <cell r="AT265">
            <v>46255</v>
          </cell>
          <cell r="AU265">
            <v>-8.454814891975305</v>
          </cell>
          <cell r="AV265">
            <v>166.35555324074085</v>
          </cell>
          <cell r="AW265">
            <v>-8.454814891975305</v>
          </cell>
          <cell r="AY265">
            <v>171.46369178241002</v>
          </cell>
          <cell r="AZ265" t="str">
            <v>F18</v>
          </cell>
          <cell r="BA265">
            <v>4.2</v>
          </cell>
          <cell r="BB265" t="str">
            <v>NSFC</v>
          </cell>
          <cell r="BC265" t="str">
            <v>F18CK</v>
          </cell>
        </row>
        <row r="266">
          <cell r="A266" t="str">
            <v>523C</v>
          </cell>
          <cell r="B266" t="str">
            <v>3</v>
          </cell>
          <cell r="C266" t="str">
            <v>05</v>
          </cell>
          <cell r="D266">
            <v>18</v>
          </cell>
          <cell r="E266" t="str">
            <v>523C</v>
          </cell>
          <cell r="F266">
            <v>6.98</v>
          </cell>
          <cell r="G266">
            <v>5.65</v>
          </cell>
          <cell r="H266">
            <v>5.65</v>
          </cell>
          <cell r="I266" t="str">
            <v>SC</v>
          </cell>
          <cell r="J266" t="str">
            <v>BB</v>
          </cell>
          <cell r="K266">
            <v>8</v>
          </cell>
          <cell r="L266">
            <v>45987</v>
          </cell>
          <cell r="M266">
            <v>45987</v>
          </cell>
          <cell r="N266">
            <v>7</v>
          </cell>
          <cell r="O266" t="str">
            <v>NS</v>
          </cell>
          <cell r="P266" t="str">
            <v/>
          </cell>
          <cell r="Q266">
            <v>46231</v>
          </cell>
          <cell r="R266" t="str">
            <v/>
          </cell>
          <cell r="S266" t="str">
            <v/>
          </cell>
          <cell r="T266" t="str">
            <v/>
          </cell>
          <cell r="U266">
            <v>68725</v>
          </cell>
          <cell r="V266">
            <v>69274</v>
          </cell>
          <cell r="W266">
            <v>45852</v>
          </cell>
          <cell r="X266" t="str">
            <v>Lokasi Produksi 523C</v>
          </cell>
          <cell r="Z266">
            <v>8</v>
          </cell>
          <cell r="AA266">
            <v>46231</v>
          </cell>
          <cell r="AB266">
            <v>174.59733611111005</v>
          </cell>
          <cell r="AC266">
            <v>5.8199112037036684</v>
          </cell>
          <cell r="AD266">
            <v>-20</v>
          </cell>
          <cell r="AE266">
            <v>0</v>
          </cell>
          <cell r="AF266">
            <v>0</v>
          </cell>
          <cell r="AG266">
            <v>-1368.8666666666666</v>
          </cell>
          <cell r="AM266" t="str">
            <v>OK</v>
          </cell>
          <cell r="AO266">
            <v>0.24518510802469487</v>
          </cell>
          <cell r="AP266">
            <v>-7.7548148919753048</v>
          </cell>
          <cell r="AQ266">
            <v>0</v>
          </cell>
          <cell r="AR266">
            <v>0.24518510802469487</v>
          </cell>
          <cell r="AS266">
            <v>0</v>
          </cell>
          <cell r="AT266">
            <v>46231</v>
          </cell>
          <cell r="AU266">
            <v>-7.7548148919753048</v>
          </cell>
          <cell r="AV266">
            <v>7.3555532407408464</v>
          </cell>
          <cell r="AW266">
            <v>-7.7548148919753048</v>
          </cell>
          <cell r="AY266">
            <v>12.463691782410024</v>
          </cell>
          <cell r="AZ266" t="str">
            <v>F18</v>
          </cell>
          <cell r="BA266">
            <v>5.65</v>
          </cell>
          <cell r="BB266" t="str">
            <v>NSSC</v>
          </cell>
          <cell r="BC266" t="str">
            <v>F18</v>
          </cell>
        </row>
        <row r="267">
          <cell r="A267" t="str">
            <v>523D1</v>
          </cell>
          <cell r="B267" t="str">
            <v>3</v>
          </cell>
          <cell r="C267" t="str">
            <v>05</v>
          </cell>
          <cell r="D267">
            <v>18</v>
          </cell>
          <cell r="E267" t="str">
            <v>523D1</v>
          </cell>
          <cell r="F267">
            <v>6.49</v>
          </cell>
          <cell r="G267">
            <v>5.44</v>
          </cell>
          <cell r="H267">
            <v>5.44</v>
          </cell>
          <cell r="I267" t="str">
            <v>ST</v>
          </cell>
          <cell r="J267" t="str">
            <v>BK</v>
          </cell>
          <cell r="K267">
            <v>0</v>
          </cell>
          <cell r="L267">
            <v>45962</v>
          </cell>
          <cell r="M267">
            <v>45962</v>
          </cell>
          <cell r="N267">
            <v>32</v>
          </cell>
          <cell r="O267" t="str">
            <v>NS</v>
          </cell>
          <cell r="P267" t="str">
            <v/>
          </cell>
          <cell r="Q267">
            <v>45962</v>
          </cell>
          <cell r="R267" t="str">
            <v/>
          </cell>
          <cell r="S267" t="str">
            <v/>
          </cell>
          <cell r="T267" t="str">
            <v/>
          </cell>
          <cell r="U267">
            <v>69714</v>
          </cell>
          <cell r="V267">
            <v>50818</v>
          </cell>
          <cell r="W267">
            <v>44591</v>
          </cell>
          <cell r="X267" t="str">
            <v>Lok Produksi 523D1 ( pecahan 523D )</v>
          </cell>
          <cell r="Z267">
            <v>0</v>
          </cell>
          <cell r="AA267">
            <v>45962</v>
          </cell>
          <cell r="AB267">
            <v>993.59733611111005</v>
          </cell>
          <cell r="AC267">
            <v>33.119911203703666</v>
          </cell>
          <cell r="AD267">
            <v>-20</v>
          </cell>
          <cell r="AE267">
            <v>0</v>
          </cell>
          <cell r="AF267">
            <v>0</v>
          </cell>
          <cell r="AG267">
            <v>-1341.5666666666666</v>
          </cell>
          <cell r="AK267">
            <v>40355</v>
          </cell>
          <cell r="AM267" t="str">
            <v>OK</v>
          </cell>
          <cell r="AO267">
            <v>1.0785184413580282</v>
          </cell>
          <cell r="AP267">
            <v>1.0785184413580282</v>
          </cell>
          <cell r="AQ267">
            <v>0</v>
          </cell>
          <cell r="AR267">
            <v>1.0785184413580282</v>
          </cell>
          <cell r="AS267">
            <v>0</v>
          </cell>
          <cell r="AT267">
            <v>45962</v>
          </cell>
          <cell r="AU267">
            <v>1.0785184413580282</v>
          </cell>
          <cell r="AV267">
            <v>32.355553240740846</v>
          </cell>
          <cell r="AW267">
            <v>1.0785184413580282</v>
          </cell>
          <cell r="AY267">
            <v>37.463691782410024</v>
          </cell>
          <cell r="AZ267" t="str">
            <v>F18</v>
          </cell>
          <cell r="BA267">
            <v>0</v>
          </cell>
          <cell r="BB267" t="str">
            <v>NSST</v>
          </cell>
          <cell r="BC267" t="str">
            <v>F18</v>
          </cell>
        </row>
        <row r="268">
          <cell r="A268" t="str">
            <v>523D2</v>
          </cell>
          <cell r="B268" t="str">
            <v>3</v>
          </cell>
          <cell r="C268" t="str">
            <v>05</v>
          </cell>
          <cell r="D268">
            <v>18</v>
          </cell>
          <cell r="E268" t="str">
            <v>523D2</v>
          </cell>
          <cell r="F268">
            <v>9.99</v>
          </cell>
          <cell r="G268">
            <v>8.41</v>
          </cell>
          <cell r="H268">
            <v>8.41</v>
          </cell>
          <cell r="I268" t="str">
            <v>ST</v>
          </cell>
          <cell r="J268" t="str">
            <v>BK</v>
          </cell>
          <cell r="K268">
            <v>0</v>
          </cell>
          <cell r="L268">
            <v>45962</v>
          </cell>
          <cell r="M268">
            <v>45962</v>
          </cell>
          <cell r="N268">
            <v>32</v>
          </cell>
          <cell r="O268" t="str">
            <v>NS</v>
          </cell>
          <cell r="P268" t="str">
            <v/>
          </cell>
          <cell r="Q268">
            <v>45962</v>
          </cell>
          <cell r="R268" t="str">
            <v/>
          </cell>
          <cell r="S268" t="str">
            <v/>
          </cell>
          <cell r="T268" t="str">
            <v/>
          </cell>
          <cell r="U268">
            <v>69853</v>
          </cell>
          <cell r="V268">
            <v>51226</v>
          </cell>
          <cell r="W268">
            <v>44591</v>
          </cell>
          <cell r="X268" t="str">
            <v>Lok Produksi 523D2 ( pecahan 523D )</v>
          </cell>
          <cell r="Z268">
            <v>0</v>
          </cell>
          <cell r="AA268">
            <v>45962</v>
          </cell>
          <cell r="AB268">
            <v>993.59733611111005</v>
          </cell>
          <cell r="AC268">
            <v>33.119911203703666</v>
          </cell>
          <cell r="AD268">
            <v>-20</v>
          </cell>
          <cell r="AE268">
            <v>0</v>
          </cell>
          <cell r="AF268">
            <v>0</v>
          </cell>
          <cell r="AG268">
            <v>-1341.5666666666666</v>
          </cell>
          <cell r="AM268" t="str">
            <v>OK</v>
          </cell>
          <cell r="AO268">
            <v>1.0785184413580282</v>
          </cell>
          <cell r="AP268">
            <v>1.0785184413580282</v>
          </cell>
          <cell r="AQ268">
            <v>0</v>
          </cell>
          <cell r="AR268">
            <v>1.0785184413580282</v>
          </cell>
          <cell r="AS268">
            <v>0</v>
          </cell>
          <cell r="AT268">
            <v>45962</v>
          </cell>
          <cell r="AU268">
            <v>1.0785184413580282</v>
          </cell>
          <cell r="AV268">
            <v>32.355553240740846</v>
          </cell>
          <cell r="AW268">
            <v>1.0785184413580282</v>
          </cell>
          <cell r="AY268">
            <v>37.463691782410024</v>
          </cell>
          <cell r="AZ268" t="str">
            <v>F18</v>
          </cell>
          <cell r="BA268">
            <v>0</v>
          </cell>
          <cell r="BB268" t="str">
            <v>NSST</v>
          </cell>
          <cell r="BC268" t="str">
            <v>F18</v>
          </cell>
        </row>
        <row r="269">
          <cell r="A269" t="str">
            <v>523E4</v>
          </cell>
          <cell r="B269" t="str">
            <v>3</v>
          </cell>
          <cell r="C269" t="str">
            <v>05</v>
          </cell>
          <cell r="D269">
            <v>18</v>
          </cell>
          <cell r="E269" t="str">
            <v>523E4</v>
          </cell>
          <cell r="F269">
            <v>11.62</v>
          </cell>
          <cell r="G269">
            <v>9.41</v>
          </cell>
          <cell r="H269">
            <v>9.41</v>
          </cell>
          <cell r="I269" t="str">
            <v>FC</v>
          </cell>
          <cell r="J269" t="str">
            <v>ST</v>
          </cell>
          <cell r="K269">
            <v>14</v>
          </cell>
          <cell r="L269">
            <v>45568</v>
          </cell>
          <cell r="M269">
            <v>45568</v>
          </cell>
          <cell r="N269">
            <v>426</v>
          </cell>
          <cell r="O269" t="str">
            <v>NS</v>
          </cell>
          <cell r="P269" t="str">
            <v>NSF18CK3</v>
          </cell>
          <cell r="Q269">
            <v>45995</v>
          </cell>
          <cell r="R269" t="str">
            <v/>
          </cell>
          <cell r="S269" t="str">
            <v/>
          </cell>
          <cell r="T269" t="str">
            <v/>
          </cell>
          <cell r="U269">
            <v>62539</v>
          </cell>
          <cell r="V269">
            <v>65764</v>
          </cell>
          <cell r="W269" t="str">
            <v/>
          </cell>
          <cell r="X269" t="str">
            <v>Lokasi Produksi 523E4</v>
          </cell>
          <cell r="Z269">
            <v>14</v>
          </cell>
          <cell r="AA269">
            <v>45995</v>
          </cell>
          <cell r="AB269">
            <v>917.59733611111005</v>
          </cell>
          <cell r="AC269">
            <v>30.586577870370334</v>
          </cell>
          <cell r="AD269">
            <v>-20</v>
          </cell>
          <cell r="AE269">
            <v>0</v>
          </cell>
          <cell r="AF269">
            <v>0</v>
          </cell>
          <cell r="AG269">
            <v>-1344.1</v>
          </cell>
          <cell r="AM269" t="str">
            <v>OK</v>
          </cell>
          <cell r="AO269">
            <v>14.211851774691361</v>
          </cell>
          <cell r="AP269">
            <v>0.21185177469136107</v>
          </cell>
          <cell r="AQ269">
            <v>0</v>
          </cell>
          <cell r="AR269">
            <v>14.211851774691361</v>
          </cell>
          <cell r="AS269">
            <v>0</v>
          </cell>
          <cell r="AT269">
            <v>45995</v>
          </cell>
          <cell r="AU269">
            <v>0.21185177469136107</v>
          </cell>
          <cell r="AV269">
            <v>426.35555324074085</v>
          </cell>
          <cell r="AW269">
            <v>0.21185177469136107</v>
          </cell>
          <cell r="AY269">
            <v>431.46369178241002</v>
          </cell>
          <cell r="AZ269" t="str">
            <v>F18</v>
          </cell>
          <cell r="BA269">
            <v>9.41</v>
          </cell>
          <cell r="BB269" t="str">
            <v>NSFC</v>
          </cell>
          <cell r="BC269" t="str">
            <v>F18CK</v>
          </cell>
        </row>
        <row r="270">
          <cell r="A270" t="str">
            <v>523F1</v>
          </cell>
          <cell r="B270" t="str">
            <v>3</v>
          </cell>
          <cell r="C270" t="str">
            <v>05</v>
          </cell>
          <cell r="D270">
            <v>18</v>
          </cell>
          <cell r="E270" t="str">
            <v>523F1</v>
          </cell>
          <cell r="F270">
            <v>12.66</v>
          </cell>
          <cell r="G270">
            <v>10.029999999999999</v>
          </cell>
          <cell r="H270">
            <v>10.029999999999999</v>
          </cell>
          <cell r="I270" t="str">
            <v>SC</v>
          </cell>
          <cell r="J270" t="str">
            <v>FC</v>
          </cell>
          <cell r="K270">
            <v>8</v>
          </cell>
          <cell r="L270">
            <v>45625</v>
          </cell>
          <cell r="M270">
            <v>45625</v>
          </cell>
          <cell r="N270">
            <v>369</v>
          </cell>
          <cell r="O270" t="str">
            <v>NS</v>
          </cell>
          <cell r="P270" t="str">
            <v/>
          </cell>
          <cell r="Q270">
            <v>45869</v>
          </cell>
          <cell r="R270" t="str">
            <v/>
          </cell>
          <cell r="S270" t="str">
            <v/>
          </cell>
          <cell r="T270">
            <v>45860</v>
          </cell>
          <cell r="U270">
            <v>70955</v>
          </cell>
          <cell r="V270">
            <v>51626</v>
          </cell>
          <cell r="W270">
            <v>44770</v>
          </cell>
          <cell r="X270" t="str">
            <v>Lokasi Produksi 523F1 ( pecahan 523F )</v>
          </cell>
          <cell r="Z270">
            <v>8</v>
          </cell>
          <cell r="AA270">
            <v>45869</v>
          </cell>
          <cell r="AB270">
            <v>904.59733611111005</v>
          </cell>
          <cell r="AC270">
            <v>30.153244537037001</v>
          </cell>
          <cell r="AD270">
            <v>-20</v>
          </cell>
          <cell r="AE270">
            <v>0</v>
          </cell>
          <cell r="AF270">
            <v>0</v>
          </cell>
          <cell r="AG270">
            <v>-1344.5333333333333</v>
          </cell>
          <cell r="AM270" t="str">
            <v>OK</v>
          </cell>
          <cell r="AO270">
            <v>12.311851774691361</v>
          </cell>
          <cell r="AP270">
            <v>4.3118517746913607</v>
          </cell>
          <cell r="AQ270">
            <v>45860</v>
          </cell>
          <cell r="AR270">
            <v>7.833333333333333</v>
          </cell>
          <cell r="AS270">
            <v>4.4785184413580277</v>
          </cell>
          <cell r="AT270">
            <v>45869</v>
          </cell>
          <cell r="AU270">
            <v>4.4785184413580277</v>
          </cell>
          <cell r="AV270">
            <v>235</v>
          </cell>
          <cell r="AW270">
            <v>4.4785184413580277</v>
          </cell>
          <cell r="AY270">
            <v>374.46369178241002</v>
          </cell>
          <cell r="AZ270" t="str">
            <v>F18</v>
          </cell>
          <cell r="BA270">
            <v>10.029999999999999</v>
          </cell>
          <cell r="BB270" t="str">
            <v>NSSC</v>
          </cell>
          <cell r="BC270" t="str">
            <v>F18</v>
          </cell>
        </row>
        <row r="271">
          <cell r="A271" t="str">
            <v>523F2</v>
          </cell>
          <cell r="B271" t="str">
            <v>3</v>
          </cell>
          <cell r="C271" t="str">
            <v>05</v>
          </cell>
          <cell r="D271">
            <v>18</v>
          </cell>
          <cell r="E271" t="str">
            <v>523F2</v>
          </cell>
          <cell r="F271">
            <v>12.91</v>
          </cell>
          <cell r="G271">
            <v>10.29</v>
          </cell>
          <cell r="H271">
            <v>10.29</v>
          </cell>
          <cell r="I271" t="str">
            <v>SC</v>
          </cell>
          <cell r="J271" t="str">
            <v>FC</v>
          </cell>
          <cell r="K271">
            <v>8</v>
          </cell>
          <cell r="L271">
            <v>45724</v>
          </cell>
          <cell r="M271">
            <v>45724</v>
          </cell>
          <cell r="N271">
            <v>270</v>
          </cell>
          <cell r="O271" t="str">
            <v>NS</v>
          </cell>
          <cell r="P271" t="str">
            <v/>
          </cell>
          <cell r="Q271">
            <v>45968</v>
          </cell>
          <cell r="R271" t="str">
            <v/>
          </cell>
          <cell r="S271" t="str">
            <v/>
          </cell>
          <cell r="T271">
            <v>45958</v>
          </cell>
          <cell r="U271">
            <v>70929</v>
          </cell>
          <cell r="V271">
            <v>71108</v>
          </cell>
          <cell r="W271">
            <v>44897</v>
          </cell>
          <cell r="X271" t="str">
            <v>Lokasi Produksi 523F2 ( pecahan 523F )</v>
          </cell>
          <cell r="Z271">
            <v>8</v>
          </cell>
          <cell r="AA271">
            <v>45968</v>
          </cell>
          <cell r="AB271">
            <v>900.59733611111005</v>
          </cell>
          <cell r="AC271">
            <v>30.019911203703668</v>
          </cell>
          <cell r="AD271">
            <v>-20</v>
          </cell>
          <cell r="AE271">
            <v>0</v>
          </cell>
          <cell r="AF271">
            <v>0</v>
          </cell>
          <cell r="AG271">
            <v>-1344.6666666666667</v>
          </cell>
          <cell r="AM271" t="str">
            <v>OK</v>
          </cell>
          <cell r="AO271">
            <v>9.0118517746913618</v>
          </cell>
          <cell r="AP271">
            <v>1.0118517746913618</v>
          </cell>
          <cell r="AQ271">
            <v>45958</v>
          </cell>
          <cell r="AR271">
            <v>7.8</v>
          </cell>
          <cell r="AS271">
            <v>1.211851774691362</v>
          </cell>
          <cell r="AT271">
            <v>45968</v>
          </cell>
          <cell r="AU271">
            <v>1.211851774691362</v>
          </cell>
          <cell r="AV271">
            <v>234</v>
          </cell>
          <cell r="AW271">
            <v>1.211851774691362</v>
          </cell>
          <cell r="AY271">
            <v>275.46369178241002</v>
          </cell>
          <cell r="AZ271" t="str">
            <v>F18</v>
          </cell>
          <cell r="BA271">
            <v>10.29</v>
          </cell>
          <cell r="BB271" t="str">
            <v>NSSC</v>
          </cell>
          <cell r="BC271" t="str">
            <v>F18</v>
          </cell>
        </row>
        <row r="272">
          <cell r="A272" t="str">
            <v>523G1</v>
          </cell>
          <cell r="B272" t="str">
            <v>3</v>
          </cell>
          <cell r="C272" t="str">
            <v>05</v>
          </cell>
          <cell r="D272">
            <v>18</v>
          </cell>
          <cell r="E272" t="str">
            <v>523G1</v>
          </cell>
          <cell r="F272">
            <v>7.9</v>
          </cell>
          <cell r="G272">
            <v>6.69</v>
          </cell>
          <cell r="H272">
            <v>6.69</v>
          </cell>
          <cell r="I272" t="str">
            <v>FC</v>
          </cell>
          <cell r="J272" t="str">
            <v>ST</v>
          </cell>
          <cell r="K272">
            <v>14</v>
          </cell>
          <cell r="L272">
            <v>45958</v>
          </cell>
          <cell r="M272">
            <v>45958</v>
          </cell>
          <cell r="N272">
            <v>36</v>
          </cell>
          <cell r="O272" t="str">
            <v>NS</v>
          </cell>
          <cell r="P272" t="str">
            <v>NSGP3CK3</v>
          </cell>
          <cell r="Q272">
            <v>46385</v>
          </cell>
          <cell r="R272" t="str">
            <v/>
          </cell>
          <cell r="S272" t="str">
            <v/>
          </cell>
          <cell r="T272" t="str">
            <v/>
          </cell>
          <cell r="U272">
            <v>72215</v>
          </cell>
          <cell r="V272">
            <v>50294</v>
          </cell>
          <cell r="W272" t="str">
            <v/>
          </cell>
          <cell r="X272" t="str">
            <v>Lokasi Produksi 523G1 ( pecahan 523G )</v>
          </cell>
          <cell r="Z272">
            <v>14</v>
          </cell>
          <cell r="AA272">
            <v>46385</v>
          </cell>
          <cell r="AB272">
            <v>892.59733611111005</v>
          </cell>
          <cell r="AC272">
            <v>29.753244537037002</v>
          </cell>
          <cell r="AD272">
            <v>-20</v>
          </cell>
          <cell r="AE272">
            <v>0</v>
          </cell>
          <cell r="AF272">
            <v>0</v>
          </cell>
          <cell r="AG272">
            <v>-1344.9333333333334</v>
          </cell>
          <cell r="AM272" t="str">
            <v>OK</v>
          </cell>
          <cell r="AO272">
            <v>1.2118517746913615</v>
          </cell>
          <cell r="AP272">
            <v>-12.788148225308639</v>
          </cell>
          <cell r="AQ272">
            <v>0</v>
          </cell>
          <cell r="AR272">
            <v>1.2118517746913615</v>
          </cell>
          <cell r="AS272">
            <v>0</v>
          </cell>
          <cell r="AT272">
            <v>46385</v>
          </cell>
          <cell r="AU272">
            <v>-12.788148225308639</v>
          </cell>
          <cell r="AV272">
            <v>36.355553240740846</v>
          </cell>
          <cell r="AW272">
            <v>-12.788148225308639</v>
          </cell>
          <cell r="AY272">
            <v>41.463691782410024</v>
          </cell>
          <cell r="AZ272" t="str">
            <v>GP3</v>
          </cell>
          <cell r="BA272">
            <v>6.69</v>
          </cell>
          <cell r="BB272" t="str">
            <v>NSFC</v>
          </cell>
          <cell r="BC272" t="str">
            <v>GP3CK</v>
          </cell>
        </row>
        <row r="273">
          <cell r="A273" t="str">
            <v>523G2</v>
          </cell>
          <cell r="B273" t="str">
            <v>3</v>
          </cell>
          <cell r="C273" t="str">
            <v>05</v>
          </cell>
          <cell r="D273">
            <v>18</v>
          </cell>
          <cell r="E273" t="str">
            <v>523G2</v>
          </cell>
          <cell r="F273">
            <v>7.76</v>
          </cell>
          <cell r="G273">
            <v>6.58</v>
          </cell>
          <cell r="H273">
            <v>6.58</v>
          </cell>
          <cell r="I273" t="str">
            <v>FC</v>
          </cell>
          <cell r="J273" t="str">
            <v>ST</v>
          </cell>
          <cell r="K273">
            <v>14</v>
          </cell>
          <cell r="L273">
            <v>45958</v>
          </cell>
          <cell r="M273">
            <v>45958</v>
          </cell>
          <cell r="N273">
            <v>36</v>
          </cell>
          <cell r="O273" t="str">
            <v>NS</v>
          </cell>
          <cell r="P273" t="str">
            <v>NSGP3CK3</v>
          </cell>
          <cell r="Q273">
            <v>46385</v>
          </cell>
          <cell r="R273" t="str">
            <v/>
          </cell>
          <cell r="S273" t="str">
            <v/>
          </cell>
          <cell r="T273" t="str">
            <v/>
          </cell>
          <cell r="U273">
            <v>70072</v>
          </cell>
          <cell r="V273">
            <v>50721</v>
          </cell>
          <cell r="W273">
            <v>44531</v>
          </cell>
          <cell r="X273" t="str">
            <v>Lokasi Produksi 523G2 ( pecahan 523G )</v>
          </cell>
          <cell r="Z273">
            <v>14</v>
          </cell>
          <cell r="AA273">
            <v>46385</v>
          </cell>
          <cell r="AB273">
            <v>875.59733611111005</v>
          </cell>
          <cell r="AC273">
            <v>29.186577870370336</v>
          </cell>
          <cell r="AD273">
            <v>-20</v>
          </cell>
          <cell r="AE273">
            <v>0</v>
          </cell>
          <cell r="AF273">
            <v>0</v>
          </cell>
          <cell r="AG273">
            <v>-1345.5</v>
          </cell>
          <cell r="AM273" t="str">
            <v>OK</v>
          </cell>
          <cell r="AO273">
            <v>1.2118517746913615</v>
          </cell>
          <cell r="AP273">
            <v>-12.788148225308639</v>
          </cell>
          <cell r="AQ273">
            <v>0</v>
          </cell>
          <cell r="AR273">
            <v>1.2118517746913615</v>
          </cell>
          <cell r="AS273">
            <v>0</v>
          </cell>
          <cell r="AT273">
            <v>46385</v>
          </cell>
          <cell r="AU273">
            <v>-12.788148225308639</v>
          </cell>
          <cell r="AV273">
            <v>36.355553240740846</v>
          </cell>
          <cell r="AW273">
            <v>-12.788148225308639</v>
          </cell>
          <cell r="AY273">
            <v>41.463691782410024</v>
          </cell>
          <cell r="AZ273" t="str">
            <v>GP3</v>
          </cell>
          <cell r="BA273">
            <v>6.58</v>
          </cell>
          <cell r="BB273" t="str">
            <v>NSFC</v>
          </cell>
          <cell r="BC273" t="str">
            <v>GP3CK</v>
          </cell>
        </row>
        <row r="274">
          <cell r="A274" t="str">
            <v>524A1</v>
          </cell>
          <cell r="B274" t="str">
            <v>3</v>
          </cell>
          <cell r="C274" t="str">
            <v>05</v>
          </cell>
          <cell r="D274">
            <v>17</v>
          </cell>
          <cell r="E274" t="str">
            <v>524A1</v>
          </cell>
          <cell r="F274">
            <v>12.48</v>
          </cell>
          <cell r="G274">
            <v>8.94</v>
          </cell>
          <cell r="H274">
            <v>8.94</v>
          </cell>
          <cell r="I274" t="str">
            <v>Y2</v>
          </cell>
          <cell r="J274" t="str">
            <v>FC</v>
          </cell>
          <cell r="K274">
            <v>0</v>
          </cell>
          <cell r="L274">
            <v>45705</v>
          </cell>
          <cell r="M274">
            <v>45705</v>
          </cell>
          <cell r="N274">
            <v>289</v>
          </cell>
          <cell r="O274" t="str">
            <v>PS</v>
          </cell>
          <cell r="P274" t="str">
            <v/>
          </cell>
          <cell r="Q274">
            <v>45705</v>
          </cell>
          <cell r="R274" t="str">
            <v/>
          </cell>
          <cell r="S274" t="str">
            <v/>
          </cell>
          <cell r="T274" t="str">
            <v/>
          </cell>
          <cell r="U274">
            <v>23688</v>
          </cell>
          <cell r="V274">
            <v>72077</v>
          </cell>
          <cell r="W274">
            <v>45705</v>
          </cell>
          <cell r="X274" t="str">
            <v>Lokasi Produksi 524A1 ( pecahan 524A )</v>
          </cell>
          <cell r="Z274">
            <v>0</v>
          </cell>
          <cell r="AA274">
            <v>45705</v>
          </cell>
          <cell r="AB274">
            <v>4786.5973361111101</v>
          </cell>
          <cell r="AC274">
            <v>159.55324453703699</v>
          </cell>
          <cell r="AD274">
            <v>-20</v>
          </cell>
          <cell r="AE274">
            <v>0</v>
          </cell>
          <cell r="AF274">
            <v>0</v>
          </cell>
          <cell r="AG274">
            <v>-1215.1333333333334</v>
          </cell>
          <cell r="AM274" t="str">
            <v>OK</v>
          </cell>
          <cell r="AO274">
            <v>9.6451851080246946</v>
          </cell>
          <cell r="AP274">
            <v>9.6451851080246946</v>
          </cell>
          <cell r="AQ274">
            <v>0</v>
          </cell>
          <cell r="AR274">
            <v>9.6451851080246946</v>
          </cell>
          <cell r="AS274">
            <v>0</v>
          </cell>
          <cell r="AT274">
            <v>45705</v>
          </cell>
          <cell r="AU274">
            <v>9.6451851080246946</v>
          </cell>
          <cell r="AV274">
            <v>289.35555324074085</v>
          </cell>
          <cell r="AW274">
            <v>9.6451851080246946</v>
          </cell>
          <cell r="AY274">
            <v>294.46369178241002</v>
          </cell>
          <cell r="AZ274" t="str">
            <v>F18</v>
          </cell>
          <cell r="BA274">
            <v>0</v>
          </cell>
          <cell r="BB274" t="str">
            <v>PSY2</v>
          </cell>
          <cell r="BC274" t="str">
            <v>F18</v>
          </cell>
        </row>
        <row r="275">
          <cell r="A275" t="str">
            <v>524A2A</v>
          </cell>
          <cell r="B275" t="str">
            <v>3</v>
          </cell>
          <cell r="C275" t="str">
            <v>05</v>
          </cell>
          <cell r="D275">
            <v>17</v>
          </cell>
          <cell r="E275" t="str">
            <v>524A2A</v>
          </cell>
          <cell r="F275">
            <v>7.48</v>
          </cell>
          <cell r="G275">
            <v>4.63</v>
          </cell>
          <cell r="H275">
            <v>4.63</v>
          </cell>
          <cell r="I275" t="str">
            <v>Y2</v>
          </cell>
          <cell r="J275" t="str">
            <v>FC</v>
          </cell>
          <cell r="K275">
            <v>0</v>
          </cell>
          <cell r="L275">
            <v>45604</v>
          </cell>
          <cell r="M275">
            <v>45604</v>
          </cell>
          <cell r="N275">
            <v>390</v>
          </cell>
          <cell r="O275" t="str">
            <v>PS</v>
          </cell>
          <cell r="P275" t="str">
            <v/>
          </cell>
          <cell r="Q275">
            <v>45604</v>
          </cell>
          <cell r="R275" t="str">
            <v/>
          </cell>
          <cell r="S275" t="str">
            <v/>
          </cell>
          <cell r="T275" t="str">
            <v/>
          </cell>
          <cell r="U275">
            <v>12484</v>
          </cell>
          <cell r="V275" t="str">
            <v/>
          </cell>
          <cell r="W275">
            <v>45604</v>
          </cell>
          <cell r="X275" t="str">
            <v>Lokasi Produksi 524A2A ( pecahan 524A2 )</v>
          </cell>
          <cell r="Z275">
            <v>0</v>
          </cell>
          <cell r="AA275">
            <v>45604</v>
          </cell>
          <cell r="AB275">
            <v>360.59733611111005</v>
          </cell>
          <cell r="AC275">
            <v>12.019911203703668</v>
          </cell>
          <cell r="AD275">
            <v>-1.9800887962963323</v>
          </cell>
          <cell r="AE275">
            <v>13.34</v>
          </cell>
          <cell r="AF275">
            <v>0</v>
          </cell>
          <cell r="AG275">
            <v>-1362.6666666666667</v>
          </cell>
          <cell r="AM275" t="str">
            <v>OK</v>
          </cell>
          <cell r="AO275">
            <v>13.011851774691362</v>
          </cell>
          <cell r="AP275">
            <v>13.011851774691362</v>
          </cell>
          <cell r="AQ275">
            <v>0</v>
          </cell>
          <cell r="AR275">
            <v>13.011851774691362</v>
          </cell>
          <cell r="AS275">
            <v>0</v>
          </cell>
          <cell r="AT275">
            <v>45604</v>
          </cell>
          <cell r="AU275">
            <v>13.011851774691362</v>
          </cell>
          <cell r="AV275">
            <v>390.35555324074085</v>
          </cell>
          <cell r="AW275">
            <v>13.011851774691362</v>
          </cell>
          <cell r="AY275">
            <v>395.46369178241002</v>
          </cell>
          <cell r="AZ275" t="str">
            <v>F18</v>
          </cell>
          <cell r="BA275">
            <v>0</v>
          </cell>
          <cell r="BB275" t="str">
            <v>PSY2</v>
          </cell>
          <cell r="BC275" t="str">
            <v>F18</v>
          </cell>
        </row>
        <row r="276">
          <cell r="A276" t="str">
            <v>524A2B</v>
          </cell>
          <cell r="B276" t="str">
            <v>3</v>
          </cell>
          <cell r="C276" t="str">
            <v>05</v>
          </cell>
          <cell r="D276">
            <v>17</v>
          </cell>
          <cell r="E276" t="str">
            <v>524A2B</v>
          </cell>
          <cell r="F276">
            <v>0.55000000000000004</v>
          </cell>
          <cell r="G276">
            <v>0.53</v>
          </cell>
          <cell r="H276">
            <v>0.53</v>
          </cell>
          <cell r="I276" t="str">
            <v>FC</v>
          </cell>
          <cell r="J276" t="str">
            <v>ST</v>
          </cell>
          <cell r="K276">
            <v>0</v>
          </cell>
          <cell r="L276">
            <v>45628</v>
          </cell>
          <cell r="M276">
            <v>45628</v>
          </cell>
          <cell r="N276">
            <v>366</v>
          </cell>
          <cell r="O276" t="str">
            <v>SK</v>
          </cell>
          <cell r="P276" t="str">
            <v/>
          </cell>
          <cell r="Q276">
            <v>45628</v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>
            <v>45993</v>
          </cell>
          <cell r="X276" t="str">
            <v>Lokasi Produksi 524A2B ( pecahan 524A2 )</v>
          </cell>
          <cell r="Z276">
            <v>0</v>
          </cell>
          <cell r="AA276">
            <v>45628</v>
          </cell>
          <cell r="AB276">
            <v>500.59733611111005</v>
          </cell>
          <cell r="AC276">
            <v>16.686577870370336</v>
          </cell>
          <cell r="AD276">
            <v>4.6865778703703356</v>
          </cell>
          <cell r="AE276">
            <v>12.4</v>
          </cell>
          <cell r="AF276">
            <v>0</v>
          </cell>
          <cell r="AG276">
            <v>-1358</v>
          </cell>
          <cell r="AM276" t="str">
            <v>OK</v>
          </cell>
          <cell r="AO276">
            <v>12.211851774691361</v>
          </cell>
          <cell r="AP276">
            <v>12.211851774691361</v>
          </cell>
          <cell r="AQ276">
            <v>0</v>
          </cell>
          <cell r="AR276">
            <v>12.211851774691361</v>
          </cell>
          <cell r="AS276">
            <v>0</v>
          </cell>
          <cell r="AT276">
            <v>45628</v>
          </cell>
          <cell r="AU276">
            <v>12.211851774691361</v>
          </cell>
          <cell r="AV276">
            <v>366.35555324074085</v>
          </cell>
          <cell r="AW276">
            <v>12.211851774691361</v>
          </cell>
          <cell r="AY276">
            <v>371.46369178241002</v>
          </cell>
          <cell r="AZ276" t="str">
            <v>F18</v>
          </cell>
          <cell r="BA276">
            <v>0</v>
          </cell>
          <cell r="BB276" t="str">
            <v>SKFC</v>
          </cell>
          <cell r="BC276" t="str">
            <v>F18</v>
          </cell>
        </row>
        <row r="277">
          <cell r="A277" t="str">
            <v>524A2S</v>
          </cell>
          <cell r="B277" t="str">
            <v>3</v>
          </cell>
          <cell r="C277" t="str">
            <v>05</v>
          </cell>
          <cell r="D277">
            <v>17</v>
          </cell>
          <cell r="E277" t="str">
            <v>524A2S</v>
          </cell>
          <cell r="F277">
            <v>0.17</v>
          </cell>
          <cell r="G277">
            <v>0.17</v>
          </cell>
          <cell r="H277">
            <v>0.17</v>
          </cell>
          <cell r="I277" t="str">
            <v>FC</v>
          </cell>
          <cell r="J277" t="str">
            <v>ST</v>
          </cell>
          <cell r="K277">
            <v>0</v>
          </cell>
          <cell r="L277">
            <v>45918</v>
          </cell>
          <cell r="M277">
            <v>45918</v>
          </cell>
          <cell r="N277">
            <v>76</v>
          </cell>
          <cell r="O277" t="str">
            <v>SK</v>
          </cell>
          <cell r="P277" t="str">
            <v/>
          </cell>
          <cell r="Q277">
            <v>45918</v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>
            <v>45015</v>
          </cell>
          <cell r="X277" t="str">
            <v>Lokasi Produksi 524A2S ( singkong )</v>
          </cell>
          <cell r="Z277">
            <v>0</v>
          </cell>
          <cell r="AA277">
            <v>45918</v>
          </cell>
          <cell r="AB277">
            <v>360.59733611111005</v>
          </cell>
          <cell r="AC277">
            <v>12.019911203703668</v>
          </cell>
          <cell r="AD277">
            <v>-1.9800887962963323</v>
          </cell>
          <cell r="AE277">
            <v>13.65</v>
          </cell>
          <cell r="AF277">
            <v>0</v>
          </cell>
          <cell r="AG277">
            <v>-1362.6666666666667</v>
          </cell>
          <cell r="AM277" t="str">
            <v>OK</v>
          </cell>
          <cell r="AO277">
            <v>2.545185108024695</v>
          </cell>
          <cell r="AP277">
            <v>2.545185108024695</v>
          </cell>
          <cell r="AQ277">
            <v>0</v>
          </cell>
          <cell r="AR277">
            <v>2.545185108024695</v>
          </cell>
          <cell r="AS277">
            <v>0</v>
          </cell>
          <cell r="AT277">
            <v>45918</v>
          </cell>
          <cell r="AU277">
            <v>2.545185108024695</v>
          </cell>
          <cell r="AV277">
            <v>76.355553240740846</v>
          </cell>
          <cell r="AW277">
            <v>2.545185108024695</v>
          </cell>
          <cell r="AY277">
            <v>81.463691782410024</v>
          </cell>
          <cell r="AZ277" t="str">
            <v>F18</v>
          </cell>
          <cell r="BA277">
            <v>0</v>
          </cell>
          <cell r="BB277" t="str">
            <v>SKFC</v>
          </cell>
          <cell r="BC277" t="str">
            <v>F18</v>
          </cell>
        </row>
        <row r="278">
          <cell r="A278" t="str">
            <v>524C</v>
          </cell>
          <cell r="B278" t="str">
            <v>3</v>
          </cell>
          <cell r="C278" t="str">
            <v>05</v>
          </cell>
          <cell r="D278">
            <v>17</v>
          </cell>
          <cell r="E278" t="str">
            <v>524C</v>
          </cell>
          <cell r="F278">
            <v>9.9</v>
          </cell>
          <cell r="G278">
            <v>6.67</v>
          </cell>
          <cell r="H278">
            <v>6.67</v>
          </cell>
          <cell r="I278" t="str">
            <v>Y2</v>
          </cell>
          <cell r="J278" t="str">
            <v>FC</v>
          </cell>
          <cell r="K278">
            <v>0</v>
          </cell>
          <cell r="L278">
            <v>45635</v>
          </cell>
          <cell r="M278">
            <v>45635</v>
          </cell>
          <cell r="N278">
            <v>359</v>
          </cell>
          <cell r="O278" t="str">
            <v>PS</v>
          </cell>
          <cell r="P278" t="str">
            <v/>
          </cell>
          <cell r="Q278">
            <v>45635</v>
          </cell>
          <cell r="R278" t="str">
            <v/>
          </cell>
          <cell r="S278" t="str">
            <v/>
          </cell>
          <cell r="T278" t="str">
            <v/>
          </cell>
          <cell r="U278">
            <v>17891</v>
          </cell>
          <cell r="V278">
            <v>54179</v>
          </cell>
          <cell r="W278">
            <v>45635</v>
          </cell>
          <cell r="X278" t="str">
            <v>Lokasi Produksi 524C</v>
          </cell>
          <cell r="Z278">
            <v>0</v>
          </cell>
          <cell r="AA278">
            <v>45635</v>
          </cell>
          <cell r="AB278">
            <v>432.59733611111005</v>
          </cell>
          <cell r="AC278">
            <v>14.419911203703668</v>
          </cell>
          <cell r="AD278">
            <v>0.41991120370366808</v>
          </cell>
          <cell r="AE278">
            <v>4.6100000000000003</v>
          </cell>
          <cell r="AF278">
            <v>0</v>
          </cell>
          <cell r="AG278">
            <v>-1360.2666666666667</v>
          </cell>
          <cell r="AM278" t="str">
            <v>OK</v>
          </cell>
          <cell r="AO278">
            <v>11.978518441358029</v>
          </cell>
          <cell r="AP278">
            <v>11.978518441358029</v>
          </cell>
          <cell r="AQ278">
            <v>0</v>
          </cell>
          <cell r="AR278">
            <v>11.978518441358029</v>
          </cell>
          <cell r="AS278">
            <v>0</v>
          </cell>
          <cell r="AT278">
            <v>45635</v>
          </cell>
          <cell r="AU278">
            <v>11.978518441358029</v>
          </cell>
          <cell r="AV278">
            <v>359.35555324074085</v>
          </cell>
          <cell r="AW278">
            <v>11.978518441358029</v>
          </cell>
          <cell r="AY278">
            <v>364.46369178241002</v>
          </cell>
          <cell r="AZ278" t="str">
            <v>F18</v>
          </cell>
          <cell r="BA278">
            <v>0</v>
          </cell>
          <cell r="BB278" t="str">
            <v>PSY2</v>
          </cell>
          <cell r="BC278" t="str">
            <v>F18</v>
          </cell>
        </row>
        <row r="279">
          <cell r="A279" t="str">
            <v>525A</v>
          </cell>
          <cell r="B279" t="str">
            <v>3</v>
          </cell>
          <cell r="C279" t="str">
            <v>05</v>
          </cell>
          <cell r="D279">
            <v>17</v>
          </cell>
          <cell r="E279" t="str">
            <v>525A</v>
          </cell>
          <cell r="F279">
            <v>18.47</v>
          </cell>
          <cell r="G279">
            <v>15.38</v>
          </cell>
          <cell r="H279">
            <v>15.38</v>
          </cell>
          <cell r="I279" t="str">
            <v>FC</v>
          </cell>
          <cell r="J279" t="str">
            <v>ST</v>
          </cell>
          <cell r="K279">
            <v>14</v>
          </cell>
          <cell r="L279">
            <v>45572</v>
          </cell>
          <cell r="M279">
            <v>45572</v>
          </cell>
          <cell r="N279">
            <v>422</v>
          </cell>
          <cell r="O279" t="str">
            <v>NS</v>
          </cell>
          <cell r="P279" t="str">
            <v>NSF18CK3</v>
          </cell>
          <cell r="Q279">
            <v>45999</v>
          </cell>
          <cell r="R279" t="str">
            <v/>
          </cell>
          <cell r="S279" t="str">
            <v/>
          </cell>
          <cell r="T279" t="str">
            <v/>
          </cell>
          <cell r="U279">
            <v>62187</v>
          </cell>
          <cell r="V279">
            <v>66635</v>
          </cell>
          <cell r="W279" t="str">
            <v/>
          </cell>
          <cell r="X279" t="str">
            <v>Lokasi Produksi CE3</v>
          </cell>
          <cell r="Z279">
            <v>14</v>
          </cell>
          <cell r="AA279">
            <v>45999</v>
          </cell>
          <cell r="AB279">
            <v>281.59733611111005</v>
          </cell>
          <cell r="AC279">
            <v>9.3865778703703349</v>
          </cell>
          <cell r="AD279">
            <v>-20</v>
          </cell>
          <cell r="AE279">
            <v>0</v>
          </cell>
          <cell r="AF279">
            <v>0</v>
          </cell>
          <cell r="AG279">
            <v>-1365.3</v>
          </cell>
          <cell r="AM279" t="str">
            <v>OK</v>
          </cell>
          <cell r="AO279">
            <v>14.078518441358028</v>
          </cell>
          <cell r="AP279">
            <v>7.8518441358028213E-2</v>
          </cell>
          <cell r="AQ279">
            <v>0</v>
          </cell>
          <cell r="AR279">
            <v>14.078518441358028</v>
          </cell>
          <cell r="AS279">
            <v>0</v>
          </cell>
          <cell r="AT279">
            <v>45999</v>
          </cell>
          <cell r="AU279">
            <v>7.8518441358028213E-2</v>
          </cell>
          <cell r="AV279">
            <v>422.35555324074085</v>
          </cell>
          <cell r="AW279">
            <v>7.8518441358028213E-2</v>
          </cell>
          <cell r="AY279">
            <v>427.46369178241002</v>
          </cell>
          <cell r="AZ279" t="str">
            <v>F18</v>
          </cell>
          <cell r="BA279">
            <v>15.38</v>
          </cell>
          <cell r="BB279" t="str">
            <v>NSFC</v>
          </cell>
          <cell r="BC279" t="str">
            <v>F18CK</v>
          </cell>
        </row>
        <row r="280">
          <cell r="A280" t="str">
            <v>525B1</v>
          </cell>
          <cell r="B280" t="str">
            <v>3</v>
          </cell>
          <cell r="C280" t="str">
            <v>05</v>
          </cell>
          <cell r="D280">
            <v>17</v>
          </cell>
          <cell r="E280" t="str">
            <v>525B1</v>
          </cell>
          <cell r="F280">
            <v>13.09</v>
          </cell>
          <cell r="G280">
            <v>10.95</v>
          </cell>
          <cell r="H280">
            <v>10.95</v>
          </cell>
          <cell r="I280" t="str">
            <v>FC</v>
          </cell>
          <cell r="J280" t="str">
            <v>ST</v>
          </cell>
          <cell r="K280">
            <v>14</v>
          </cell>
          <cell r="L280">
            <v>45768</v>
          </cell>
          <cell r="M280">
            <v>45768</v>
          </cell>
          <cell r="N280">
            <v>226</v>
          </cell>
          <cell r="O280" t="str">
            <v>NS</v>
          </cell>
          <cell r="P280" t="str">
            <v>NSF18CK3</v>
          </cell>
          <cell r="Q280">
            <v>46195</v>
          </cell>
          <cell r="R280" t="str">
            <v/>
          </cell>
          <cell r="S280" t="str">
            <v/>
          </cell>
          <cell r="T280" t="str">
            <v/>
          </cell>
          <cell r="U280">
            <v>62718</v>
          </cell>
          <cell r="V280" t="str">
            <v/>
          </cell>
          <cell r="W280">
            <v>45636</v>
          </cell>
          <cell r="X280" t="str">
            <v>Lokasi Produksi 525B1 ( pecahan 525B )</v>
          </cell>
          <cell r="Z280">
            <v>14</v>
          </cell>
          <cell r="AA280">
            <v>46195</v>
          </cell>
          <cell r="AB280">
            <v>504.59733611111005</v>
          </cell>
          <cell r="AC280">
            <v>16.819911203703668</v>
          </cell>
          <cell r="AD280">
            <v>2.8199112037036684</v>
          </cell>
          <cell r="AE280">
            <v>14.39</v>
          </cell>
          <cell r="AF280">
            <v>0</v>
          </cell>
          <cell r="AG280">
            <v>-1357.8666666666666</v>
          </cell>
          <cell r="AM280" t="str">
            <v>OK</v>
          </cell>
          <cell r="AO280">
            <v>7.545185108024695</v>
          </cell>
          <cell r="AP280">
            <v>-6.454814891975305</v>
          </cell>
          <cell r="AQ280">
            <v>0</v>
          </cell>
          <cell r="AR280">
            <v>7.545185108024695</v>
          </cell>
          <cell r="AS280">
            <v>0</v>
          </cell>
          <cell r="AT280">
            <v>46195</v>
          </cell>
          <cell r="AU280">
            <v>-6.454814891975305</v>
          </cell>
          <cell r="AV280">
            <v>226.35555324074085</v>
          </cell>
          <cell r="AW280">
            <v>-6.454814891975305</v>
          </cell>
          <cell r="AY280">
            <v>231.46369178241002</v>
          </cell>
          <cell r="AZ280" t="str">
            <v>F18</v>
          </cell>
          <cell r="BA280">
            <v>10.95</v>
          </cell>
          <cell r="BB280" t="str">
            <v>NSFC</v>
          </cell>
          <cell r="BC280" t="str">
            <v>F18CK</v>
          </cell>
        </row>
        <row r="281">
          <cell r="A281" t="str">
            <v>525B2</v>
          </cell>
          <cell r="B281" t="str">
            <v>3</v>
          </cell>
          <cell r="C281" t="str">
            <v>05</v>
          </cell>
          <cell r="D281">
            <v>17</v>
          </cell>
          <cell r="E281" t="str">
            <v>525B2</v>
          </cell>
          <cell r="F281">
            <v>5.77</v>
          </cell>
          <cell r="G281">
            <v>4.87</v>
          </cell>
          <cell r="H281">
            <v>4.87</v>
          </cell>
          <cell r="I281" t="str">
            <v>FC</v>
          </cell>
          <cell r="J281" t="str">
            <v>ST</v>
          </cell>
          <cell r="K281">
            <v>12</v>
          </cell>
          <cell r="L281">
            <v>45742</v>
          </cell>
          <cell r="M281">
            <v>45742</v>
          </cell>
          <cell r="N281">
            <v>252</v>
          </cell>
          <cell r="O281" t="str">
            <v>NS</v>
          </cell>
          <cell r="P281" t="str">
            <v>NSF18SS3</v>
          </cell>
          <cell r="Q281">
            <v>46108</v>
          </cell>
          <cell r="R281" t="str">
            <v/>
          </cell>
          <cell r="S281" t="str">
            <v/>
          </cell>
          <cell r="T281" t="str">
            <v/>
          </cell>
          <cell r="U281">
            <v>71460</v>
          </cell>
          <cell r="V281">
            <v>71465</v>
          </cell>
          <cell r="W281">
            <v>45326</v>
          </cell>
          <cell r="X281" t="str">
            <v>Lokasi Produksi 525B2 ( pecahan 525B )</v>
          </cell>
          <cell r="Z281">
            <v>12</v>
          </cell>
          <cell r="AA281">
            <v>46108</v>
          </cell>
          <cell r="AB281">
            <v>4785.5973361111101</v>
          </cell>
          <cell r="AC281">
            <v>159.51991120370366</v>
          </cell>
          <cell r="AD281">
            <v>-20</v>
          </cell>
          <cell r="AE281">
            <v>0</v>
          </cell>
          <cell r="AF281">
            <v>0</v>
          </cell>
          <cell r="AG281">
            <v>-1215.1666666666667</v>
          </cell>
          <cell r="AK281">
            <v>40308</v>
          </cell>
          <cell r="AM281" t="str">
            <v>OK</v>
          </cell>
          <cell r="AO281">
            <v>8.4118517746913621</v>
          </cell>
          <cell r="AP281">
            <v>-3.5881482253086379</v>
          </cell>
          <cell r="AQ281">
            <v>0</v>
          </cell>
          <cell r="AR281">
            <v>8.4118517746913621</v>
          </cell>
          <cell r="AS281">
            <v>0</v>
          </cell>
          <cell r="AT281">
            <v>46108</v>
          </cell>
          <cell r="AU281">
            <v>-3.5881482253086379</v>
          </cell>
          <cell r="AV281">
            <v>252.35555324074087</v>
          </cell>
          <cell r="AW281">
            <v>-3.5881482253086379</v>
          </cell>
          <cell r="AY281">
            <v>257.46369178241002</v>
          </cell>
          <cell r="AZ281" t="str">
            <v>F18</v>
          </cell>
          <cell r="BA281">
            <v>4.87</v>
          </cell>
          <cell r="BB281" t="str">
            <v>NSFC</v>
          </cell>
          <cell r="BC281" t="str">
            <v>F18SS</v>
          </cell>
        </row>
        <row r="282">
          <cell r="A282" t="str">
            <v>525C</v>
          </cell>
          <cell r="B282" t="str">
            <v>3</v>
          </cell>
          <cell r="C282" t="str">
            <v>05</v>
          </cell>
          <cell r="D282">
            <v>17</v>
          </cell>
          <cell r="E282" t="str">
            <v>525C</v>
          </cell>
          <cell r="F282">
            <v>12.44</v>
          </cell>
          <cell r="G282">
            <v>9.9700000000000006</v>
          </cell>
          <cell r="H282">
            <v>9.9700000000000006</v>
          </cell>
          <cell r="I282" t="str">
            <v>BK</v>
          </cell>
          <cell r="J282" t="str">
            <v>BB</v>
          </cell>
          <cell r="K282">
            <v>0</v>
          </cell>
          <cell r="L282">
            <v>45992</v>
          </cell>
          <cell r="M282">
            <v>45992</v>
          </cell>
          <cell r="N282">
            <v>2</v>
          </cell>
          <cell r="O282" t="str">
            <v>NS</v>
          </cell>
          <cell r="P282" t="str">
            <v/>
          </cell>
          <cell r="Q282">
            <v>45992</v>
          </cell>
          <cell r="R282" t="str">
            <v/>
          </cell>
          <cell r="S282" t="str">
            <v/>
          </cell>
          <cell r="T282" t="str">
            <v/>
          </cell>
          <cell r="U282">
            <v>70645</v>
          </cell>
          <cell r="V282">
            <v>72462</v>
          </cell>
          <cell r="W282">
            <v>43720</v>
          </cell>
          <cell r="X282" t="str">
            <v>Lokasi Produksi 525C</v>
          </cell>
          <cell r="Z282">
            <v>0</v>
          </cell>
          <cell r="AA282">
            <v>45992</v>
          </cell>
          <cell r="AB282">
            <v>531.59733611111005</v>
          </cell>
          <cell r="AC282">
            <v>17.719911203703667</v>
          </cell>
          <cell r="AD282">
            <v>3.719911203703667</v>
          </cell>
          <cell r="AE282">
            <v>19.63</v>
          </cell>
          <cell r="AF282">
            <v>0</v>
          </cell>
          <cell r="AG282">
            <v>-1356.9666666666667</v>
          </cell>
          <cell r="AM282" t="str">
            <v>OK</v>
          </cell>
          <cell r="AO282">
            <v>7.8518441358028213E-2</v>
          </cell>
          <cell r="AP282">
            <v>7.8518441358028213E-2</v>
          </cell>
          <cell r="AQ282">
            <v>0</v>
          </cell>
          <cell r="AR282">
            <v>7.8518441358028213E-2</v>
          </cell>
          <cell r="AS282">
            <v>0</v>
          </cell>
          <cell r="AT282">
            <v>45992</v>
          </cell>
          <cell r="AU282">
            <v>7.8518441358028213E-2</v>
          </cell>
          <cell r="AV282">
            <v>2.3555532407408464</v>
          </cell>
          <cell r="AW282">
            <v>7.8518441358028213E-2</v>
          </cell>
          <cell r="AY282">
            <v>7.4636917824100237</v>
          </cell>
          <cell r="AZ282" t="str">
            <v>F18</v>
          </cell>
          <cell r="BA282">
            <v>0</v>
          </cell>
          <cell r="BB282" t="str">
            <v>NSBK</v>
          </cell>
          <cell r="BC282" t="str">
            <v>F18</v>
          </cell>
        </row>
        <row r="283">
          <cell r="A283" t="str">
            <v>525D</v>
          </cell>
          <cell r="B283" t="str">
            <v>3</v>
          </cell>
          <cell r="C283" t="str">
            <v>05</v>
          </cell>
          <cell r="D283">
            <v>17</v>
          </cell>
          <cell r="E283" t="str">
            <v>525D</v>
          </cell>
          <cell r="F283">
            <v>8.0299999999999994</v>
          </cell>
          <cell r="G283">
            <v>6.22</v>
          </cell>
          <cell r="H283">
            <v>6.22</v>
          </cell>
          <cell r="I283" t="str">
            <v>SC</v>
          </cell>
          <cell r="J283" t="str">
            <v>FC</v>
          </cell>
          <cell r="K283">
            <v>8</v>
          </cell>
          <cell r="L283">
            <v>45601</v>
          </cell>
          <cell r="M283">
            <v>45601</v>
          </cell>
          <cell r="N283">
            <v>393</v>
          </cell>
          <cell r="O283" t="str">
            <v>NS</v>
          </cell>
          <cell r="P283" t="str">
            <v/>
          </cell>
          <cell r="Q283">
            <v>45845</v>
          </cell>
          <cell r="R283" t="str">
            <v/>
          </cell>
          <cell r="S283" t="str">
            <v/>
          </cell>
          <cell r="T283">
            <v>45846</v>
          </cell>
          <cell r="U283">
            <v>72572</v>
          </cell>
          <cell r="V283">
            <v>52213</v>
          </cell>
          <cell r="W283">
            <v>44769</v>
          </cell>
          <cell r="X283" t="str">
            <v>Lokasi Produksi 525D</v>
          </cell>
          <cell r="Z283">
            <v>8</v>
          </cell>
          <cell r="AA283">
            <v>45845</v>
          </cell>
          <cell r="AB283">
            <v>514.59733611111005</v>
          </cell>
          <cell r="AC283">
            <v>17.153244537037001</v>
          </cell>
          <cell r="AD283">
            <v>3.1532445370370006</v>
          </cell>
          <cell r="AE283">
            <v>9.98</v>
          </cell>
          <cell r="AF283">
            <v>0</v>
          </cell>
          <cell r="AG283">
            <v>-1357.5333333333333</v>
          </cell>
          <cell r="AK283">
            <v>40339</v>
          </cell>
          <cell r="AM283" t="str">
            <v>OK</v>
          </cell>
          <cell r="AO283">
            <v>13.111851774691361</v>
          </cell>
          <cell r="AP283">
            <v>5.1118517746913614</v>
          </cell>
          <cell r="AQ283">
            <v>45846</v>
          </cell>
          <cell r="AR283">
            <v>8.1666666666666661</v>
          </cell>
          <cell r="AS283">
            <v>4.9451851080246954</v>
          </cell>
          <cell r="AT283">
            <v>45845</v>
          </cell>
          <cell r="AU283">
            <v>4.9451851080246954</v>
          </cell>
          <cell r="AV283">
            <v>244.99999999999997</v>
          </cell>
          <cell r="AW283">
            <v>4.9451851080246954</v>
          </cell>
          <cell r="AY283">
            <v>398.46369178241002</v>
          </cell>
          <cell r="AZ283" t="str">
            <v>F18</v>
          </cell>
          <cell r="BA283">
            <v>6.22</v>
          </cell>
          <cell r="BB283" t="str">
            <v>NSSC</v>
          </cell>
          <cell r="BC283" t="str">
            <v>F18</v>
          </cell>
        </row>
        <row r="284">
          <cell r="A284" t="str">
            <v>525E</v>
          </cell>
          <cell r="B284" t="str">
            <v>3</v>
          </cell>
          <cell r="C284" t="str">
            <v>05</v>
          </cell>
          <cell r="D284">
            <v>17</v>
          </cell>
          <cell r="E284" t="str">
            <v>525E</v>
          </cell>
          <cell r="F284">
            <v>9.57</v>
          </cell>
          <cell r="G284">
            <v>7.57</v>
          </cell>
          <cell r="H284">
            <v>7.57</v>
          </cell>
          <cell r="I284" t="str">
            <v>SC</v>
          </cell>
          <cell r="J284" t="str">
            <v>FC</v>
          </cell>
          <cell r="K284">
            <v>8</v>
          </cell>
          <cell r="L284">
            <v>45650</v>
          </cell>
          <cell r="M284">
            <v>45650</v>
          </cell>
          <cell r="N284">
            <v>344</v>
          </cell>
          <cell r="O284" t="str">
            <v>NS</v>
          </cell>
          <cell r="P284" t="str">
            <v/>
          </cell>
          <cell r="Q284">
            <v>45894</v>
          </cell>
          <cell r="R284" t="str">
            <v/>
          </cell>
          <cell r="S284" t="str">
            <v/>
          </cell>
          <cell r="T284">
            <v>45845</v>
          </cell>
          <cell r="U284">
            <v>69647</v>
          </cell>
          <cell r="V284">
            <v>52042</v>
          </cell>
          <cell r="W284">
            <v>43833</v>
          </cell>
          <cell r="X284" t="str">
            <v>Lokasi Produksi 525E</v>
          </cell>
          <cell r="Z284">
            <v>8</v>
          </cell>
          <cell r="AA284">
            <v>45894</v>
          </cell>
          <cell r="AB284">
            <v>109.59733611111005</v>
          </cell>
          <cell r="AC284">
            <v>3.6532445370370019</v>
          </cell>
          <cell r="AD284">
            <v>-4.3467554629629976</v>
          </cell>
          <cell r="AE284">
            <v>10.130000000000001</v>
          </cell>
          <cell r="AF284">
            <v>0</v>
          </cell>
          <cell r="AG284">
            <v>-1371.0333333333333</v>
          </cell>
          <cell r="AM284" t="str">
            <v>OK</v>
          </cell>
          <cell r="AO284">
            <v>11.478518441358029</v>
          </cell>
          <cell r="AP284">
            <v>3.4785184413580286</v>
          </cell>
          <cell r="AQ284">
            <v>45845</v>
          </cell>
          <cell r="AR284">
            <v>6.5</v>
          </cell>
          <cell r="AS284">
            <v>4.9785184413580286</v>
          </cell>
          <cell r="AT284">
            <v>45894</v>
          </cell>
          <cell r="AU284">
            <v>4.9785184413580286</v>
          </cell>
          <cell r="AV284">
            <v>195</v>
          </cell>
          <cell r="AW284">
            <v>4.9785184413580286</v>
          </cell>
          <cell r="AY284">
            <v>349.46369178241002</v>
          </cell>
          <cell r="AZ284" t="str">
            <v>F18</v>
          </cell>
          <cell r="BA284">
            <v>7.57</v>
          </cell>
          <cell r="BB284" t="str">
            <v>NSSC</v>
          </cell>
          <cell r="BC284" t="str">
            <v>F18</v>
          </cell>
        </row>
        <row r="285">
          <cell r="A285" t="str">
            <v>525ES1</v>
          </cell>
          <cell r="B285" t="str">
            <v>3</v>
          </cell>
          <cell r="C285" t="str">
            <v>05</v>
          </cell>
          <cell r="D285">
            <v>17</v>
          </cell>
          <cell r="E285" t="str">
            <v>525ES1</v>
          </cell>
          <cell r="F285">
            <v>1.26</v>
          </cell>
          <cell r="G285">
            <v>1.26</v>
          </cell>
          <cell r="H285">
            <v>1.26</v>
          </cell>
          <cell r="I285" t="str">
            <v>FC</v>
          </cell>
          <cell r="J285" t="str">
            <v>ST</v>
          </cell>
          <cell r="K285">
            <v>0</v>
          </cell>
          <cell r="L285">
            <v>45831</v>
          </cell>
          <cell r="M285">
            <v>45831</v>
          </cell>
          <cell r="N285">
            <v>163</v>
          </cell>
          <cell r="O285" t="str">
            <v>SK</v>
          </cell>
          <cell r="P285" t="str">
            <v/>
          </cell>
          <cell r="Q285">
            <v>45831</v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>Lokasi Produksi 525ES1 ( singkong )</v>
          </cell>
          <cell r="Z285">
            <v>0</v>
          </cell>
          <cell r="AA285">
            <v>45831</v>
          </cell>
          <cell r="AB285">
            <v>59.597336111110053</v>
          </cell>
          <cell r="AC285">
            <v>1.9865778703703352</v>
          </cell>
          <cell r="AD285">
            <v>-6.0134221296296646</v>
          </cell>
          <cell r="AE285">
            <v>13.48</v>
          </cell>
          <cell r="AF285">
            <v>0</v>
          </cell>
          <cell r="AG285">
            <v>-1372.7</v>
          </cell>
          <cell r="AM285" t="str">
            <v>OK</v>
          </cell>
          <cell r="AO285">
            <v>5.4451851080246945</v>
          </cell>
          <cell r="AP285">
            <v>5.4451851080246945</v>
          </cell>
          <cell r="AQ285">
            <v>0</v>
          </cell>
          <cell r="AR285">
            <v>5.4451851080246945</v>
          </cell>
          <cell r="AS285">
            <v>0</v>
          </cell>
          <cell r="AT285">
            <v>45831</v>
          </cell>
          <cell r="AU285">
            <v>5.4451851080246945</v>
          </cell>
          <cell r="AV285">
            <v>163.35555324074085</v>
          </cell>
          <cell r="AW285">
            <v>5.4451851080246945</v>
          </cell>
          <cell r="AY285">
            <v>168.46369178241002</v>
          </cell>
          <cell r="AZ285" t="str">
            <v>F18</v>
          </cell>
          <cell r="BA285">
            <v>0</v>
          </cell>
          <cell r="BB285" t="str">
            <v>SKFC</v>
          </cell>
          <cell r="BC285" t="str">
            <v>F18</v>
          </cell>
        </row>
        <row r="286">
          <cell r="A286" t="str">
            <v>525F1</v>
          </cell>
          <cell r="B286" t="str">
            <v>3</v>
          </cell>
          <cell r="C286" t="str">
            <v>05</v>
          </cell>
          <cell r="D286">
            <v>17</v>
          </cell>
          <cell r="E286" t="str">
            <v>525F1</v>
          </cell>
          <cell r="F286">
            <v>13.12</v>
          </cell>
          <cell r="G286">
            <v>10.43</v>
          </cell>
          <cell r="H286">
            <v>10.43</v>
          </cell>
          <cell r="I286" t="str">
            <v>BK</v>
          </cell>
          <cell r="J286" t="str">
            <v>BB</v>
          </cell>
          <cell r="K286">
            <v>0</v>
          </cell>
          <cell r="L286">
            <v>45963</v>
          </cell>
          <cell r="M286">
            <v>45963</v>
          </cell>
          <cell r="N286">
            <v>31</v>
          </cell>
          <cell r="O286" t="str">
            <v>NS</v>
          </cell>
          <cell r="P286" t="str">
            <v/>
          </cell>
          <cell r="Q286">
            <v>45963</v>
          </cell>
          <cell r="R286" t="str">
            <v/>
          </cell>
          <cell r="S286" t="str">
            <v/>
          </cell>
          <cell r="T286" t="str">
            <v/>
          </cell>
          <cell r="U286">
            <v>68876</v>
          </cell>
          <cell r="V286">
            <v>72572</v>
          </cell>
          <cell r="W286">
            <v>44031</v>
          </cell>
          <cell r="X286" t="str">
            <v>Lokasi Produksi 525F1 ( pecahan 525F )</v>
          </cell>
          <cell r="Z286">
            <v>0</v>
          </cell>
          <cell r="AA286">
            <v>45963</v>
          </cell>
          <cell r="AB286">
            <v>272.59733611111005</v>
          </cell>
          <cell r="AC286">
            <v>9.0865778703703359</v>
          </cell>
          <cell r="AD286">
            <v>1.0865778703703359</v>
          </cell>
          <cell r="AE286">
            <v>21.52</v>
          </cell>
          <cell r="AF286">
            <v>0</v>
          </cell>
          <cell r="AG286">
            <v>-1365.6</v>
          </cell>
          <cell r="AM286" t="str">
            <v>OK</v>
          </cell>
          <cell r="AO286">
            <v>1.0451851080246948</v>
          </cell>
          <cell r="AP286">
            <v>1.0451851080246948</v>
          </cell>
          <cell r="AQ286">
            <v>0</v>
          </cell>
          <cell r="AR286">
            <v>1.0451851080246948</v>
          </cell>
          <cell r="AS286">
            <v>0</v>
          </cell>
          <cell r="AT286">
            <v>45963</v>
          </cell>
          <cell r="AU286">
            <v>1.0451851080246948</v>
          </cell>
          <cell r="AV286">
            <v>31.355553240740843</v>
          </cell>
          <cell r="AW286">
            <v>1.0451851080246948</v>
          </cell>
          <cell r="AY286">
            <v>36.463691782410024</v>
          </cell>
          <cell r="AZ286" t="str">
            <v>F18</v>
          </cell>
          <cell r="BA286">
            <v>0</v>
          </cell>
          <cell r="BB286" t="str">
            <v>NSBK</v>
          </cell>
          <cell r="BC286" t="str">
            <v>F18</v>
          </cell>
        </row>
        <row r="287">
          <cell r="A287" t="str">
            <v>525F2</v>
          </cell>
          <cell r="B287" t="str">
            <v>3</v>
          </cell>
          <cell r="C287" t="str">
            <v>05</v>
          </cell>
          <cell r="D287">
            <v>17</v>
          </cell>
          <cell r="E287" t="str">
            <v>525F2</v>
          </cell>
          <cell r="F287">
            <v>10.09</v>
          </cell>
          <cell r="G287">
            <v>8.61</v>
          </cell>
          <cell r="H287">
            <v>8.61</v>
          </cell>
          <cell r="I287" t="str">
            <v>FC</v>
          </cell>
          <cell r="J287" t="str">
            <v>ST</v>
          </cell>
          <cell r="K287">
            <v>12</v>
          </cell>
          <cell r="L287">
            <v>45869</v>
          </cell>
          <cell r="M287">
            <v>45869</v>
          </cell>
          <cell r="N287">
            <v>125</v>
          </cell>
          <cell r="O287" t="str">
            <v>NS</v>
          </cell>
          <cell r="P287" t="str">
            <v>NSGP3SS3</v>
          </cell>
          <cell r="Q287">
            <v>46235</v>
          </cell>
          <cell r="R287" t="str">
            <v/>
          </cell>
          <cell r="S287" t="str">
            <v/>
          </cell>
          <cell r="T287" t="str">
            <v/>
          </cell>
          <cell r="U287">
            <v>70633</v>
          </cell>
          <cell r="V287">
            <v>74016</v>
          </cell>
          <cell r="W287">
            <v>43079</v>
          </cell>
          <cell r="X287" t="str">
            <v>Lokasi Produksi 525F2 ( pecahan 525F )</v>
          </cell>
          <cell r="Z287">
            <v>12</v>
          </cell>
          <cell r="AA287">
            <v>46235</v>
          </cell>
          <cell r="AB287">
            <v>789.59733611111005</v>
          </cell>
          <cell r="AC287">
            <v>26.319911203703668</v>
          </cell>
          <cell r="AD287">
            <v>-20</v>
          </cell>
          <cell r="AE287">
            <v>0</v>
          </cell>
          <cell r="AF287">
            <v>0</v>
          </cell>
          <cell r="AG287">
            <v>-1348.3666666666666</v>
          </cell>
          <cell r="AM287" t="str">
            <v>OK</v>
          </cell>
          <cell r="AO287">
            <v>4.1785184413580279</v>
          </cell>
          <cell r="AP287">
            <v>-7.8214815586419721</v>
          </cell>
          <cell r="AQ287">
            <v>0</v>
          </cell>
          <cell r="AR287">
            <v>4.1785184413580279</v>
          </cell>
          <cell r="AS287">
            <v>0</v>
          </cell>
          <cell r="AT287">
            <v>46235</v>
          </cell>
          <cell r="AU287">
            <v>-7.8214815586419721</v>
          </cell>
          <cell r="AV287">
            <v>125.35555324074083</v>
          </cell>
          <cell r="AW287">
            <v>-7.8214815586419721</v>
          </cell>
          <cell r="AY287">
            <v>130.46369178241002</v>
          </cell>
          <cell r="AZ287" t="str">
            <v>GP3</v>
          </cell>
          <cell r="BA287">
            <v>8.61</v>
          </cell>
          <cell r="BB287" t="str">
            <v>NSFC</v>
          </cell>
          <cell r="BC287" t="str">
            <v>GP3SS</v>
          </cell>
        </row>
        <row r="288">
          <cell r="A288" t="str">
            <v>526A1</v>
          </cell>
          <cell r="B288" t="str">
            <v>3</v>
          </cell>
          <cell r="C288" t="str">
            <v>05</v>
          </cell>
          <cell r="D288">
            <v>18</v>
          </cell>
          <cell r="E288" t="str">
            <v>526A1</v>
          </cell>
          <cell r="F288">
            <v>9.9</v>
          </cell>
          <cell r="G288">
            <v>7.92</v>
          </cell>
          <cell r="H288">
            <v>7.92</v>
          </cell>
          <cell r="I288" t="str">
            <v>SC</v>
          </cell>
          <cell r="J288" t="str">
            <v>FC</v>
          </cell>
          <cell r="K288">
            <v>8</v>
          </cell>
          <cell r="L288">
            <v>45910</v>
          </cell>
          <cell r="M288">
            <v>45910</v>
          </cell>
          <cell r="N288">
            <v>84</v>
          </cell>
          <cell r="O288" t="str">
            <v>NS</v>
          </cell>
          <cell r="P288" t="str">
            <v/>
          </cell>
          <cell r="Q288">
            <v>46154</v>
          </cell>
          <cell r="R288" t="str">
            <v/>
          </cell>
          <cell r="S288" t="str">
            <v/>
          </cell>
          <cell r="T288" t="str">
            <v/>
          </cell>
          <cell r="U288">
            <v>70027</v>
          </cell>
          <cell r="V288">
            <v>68052</v>
          </cell>
          <cell r="W288" t="str">
            <v/>
          </cell>
          <cell r="X288" t="str">
            <v>Lokasi Produksi 526A1 ( pecahan 526A )</v>
          </cell>
          <cell r="Z288">
            <v>8</v>
          </cell>
          <cell r="AA288">
            <v>46154</v>
          </cell>
          <cell r="AB288">
            <v>379.59733611111005</v>
          </cell>
          <cell r="AC288">
            <v>12.653244537037002</v>
          </cell>
          <cell r="AD288">
            <v>-1.3467554629629976</v>
          </cell>
          <cell r="AE288">
            <v>12.36</v>
          </cell>
          <cell r="AF288">
            <v>0</v>
          </cell>
          <cell r="AG288">
            <v>-1362.0333333333333</v>
          </cell>
          <cell r="AM288" t="str">
            <v>OK</v>
          </cell>
          <cell r="AO288">
            <v>2.8118517746913616</v>
          </cell>
          <cell r="AP288">
            <v>-5.1881482253086384</v>
          </cell>
          <cell r="AQ288">
            <v>0</v>
          </cell>
          <cell r="AR288">
            <v>2.8118517746913616</v>
          </cell>
          <cell r="AS288">
            <v>0</v>
          </cell>
          <cell r="AT288">
            <v>46154</v>
          </cell>
          <cell r="AU288">
            <v>-5.1881482253086384</v>
          </cell>
          <cell r="AV288">
            <v>84.355553240740846</v>
          </cell>
          <cell r="AW288">
            <v>-5.1881482253086384</v>
          </cell>
          <cell r="AY288">
            <v>89.463691782410024</v>
          </cell>
          <cell r="AZ288" t="str">
            <v>F18</v>
          </cell>
          <cell r="BA288">
            <v>7.92</v>
          </cell>
          <cell r="BB288" t="str">
            <v>NSSC</v>
          </cell>
          <cell r="BC288" t="str">
            <v>F18</v>
          </cell>
        </row>
        <row r="289">
          <cell r="A289" t="str">
            <v>526A2</v>
          </cell>
          <cell r="B289" t="str">
            <v>3</v>
          </cell>
          <cell r="C289" t="str">
            <v>05</v>
          </cell>
          <cell r="D289">
            <v>18</v>
          </cell>
          <cell r="E289" t="str">
            <v>526A2</v>
          </cell>
          <cell r="F289">
            <v>11.5</v>
          </cell>
          <cell r="G289">
            <v>9.75</v>
          </cell>
          <cell r="H289">
            <v>9.75</v>
          </cell>
          <cell r="I289" t="str">
            <v>FC</v>
          </cell>
          <cell r="J289" t="str">
            <v>ST</v>
          </cell>
          <cell r="K289">
            <v>14</v>
          </cell>
          <cell r="L289">
            <v>45503</v>
          </cell>
          <cell r="M289">
            <v>45503</v>
          </cell>
          <cell r="N289">
            <v>491</v>
          </cell>
          <cell r="O289" t="str">
            <v>NS</v>
          </cell>
          <cell r="P289" t="str">
            <v>NSF18SK3</v>
          </cell>
          <cell r="Q289">
            <v>45930</v>
          </cell>
          <cell r="R289" t="str">
            <v/>
          </cell>
          <cell r="S289" t="str">
            <v/>
          </cell>
          <cell r="T289">
            <v>45889</v>
          </cell>
          <cell r="U289">
            <v>70596</v>
          </cell>
          <cell r="V289">
            <v>68893</v>
          </cell>
          <cell r="W289" t="str">
            <v/>
          </cell>
          <cell r="X289" t="str">
            <v>Lokasi Produksi 526A2 ( pecahan 526A )</v>
          </cell>
          <cell r="Z289">
            <v>14</v>
          </cell>
          <cell r="AA289">
            <v>45930</v>
          </cell>
          <cell r="AB289">
            <v>4764.5973361111101</v>
          </cell>
          <cell r="AC289">
            <v>158.81991120370367</v>
          </cell>
          <cell r="AD289">
            <v>-20</v>
          </cell>
          <cell r="AE289">
            <v>0</v>
          </cell>
          <cell r="AF289">
            <v>0</v>
          </cell>
          <cell r="AG289">
            <v>-1215.8666666666666</v>
          </cell>
          <cell r="AM289" t="str">
            <v>OK</v>
          </cell>
          <cell r="AO289">
            <v>16.378518441358029</v>
          </cell>
          <cell r="AP289">
            <v>2.3785184413580289</v>
          </cell>
          <cell r="AQ289">
            <v>45889</v>
          </cell>
          <cell r="AR289">
            <v>12.866666666666667</v>
          </cell>
          <cell r="AS289">
            <v>3.5118517746913618</v>
          </cell>
          <cell r="AT289">
            <v>45930</v>
          </cell>
          <cell r="AU289">
            <v>3.5118517746913618</v>
          </cell>
          <cell r="AV289">
            <v>386</v>
          </cell>
          <cell r="AW289">
            <v>3.5118517746913618</v>
          </cell>
          <cell r="AY289">
            <v>496.46369178241002</v>
          </cell>
          <cell r="AZ289" t="str">
            <v>F18</v>
          </cell>
          <cell r="BA289">
            <v>9.75</v>
          </cell>
          <cell r="BB289" t="str">
            <v>NSFC</v>
          </cell>
          <cell r="BC289" t="str">
            <v>F18SK</v>
          </cell>
        </row>
        <row r="290">
          <cell r="A290" t="str">
            <v>526A3</v>
          </cell>
          <cell r="B290" t="str">
            <v>3</v>
          </cell>
          <cell r="C290" t="str">
            <v>05</v>
          </cell>
          <cell r="D290">
            <v>18</v>
          </cell>
          <cell r="E290" t="str">
            <v>526A3</v>
          </cell>
          <cell r="F290">
            <v>6.26</v>
          </cell>
          <cell r="G290">
            <v>5.17</v>
          </cell>
          <cell r="H290">
            <v>5.17</v>
          </cell>
          <cell r="I290" t="str">
            <v>FC</v>
          </cell>
          <cell r="J290" t="str">
            <v>ST</v>
          </cell>
          <cell r="K290">
            <v>14</v>
          </cell>
          <cell r="L290">
            <v>45531</v>
          </cell>
          <cell r="M290">
            <v>45531</v>
          </cell>
          <cell r="N290">
            <v>463</v>
          </cell>
          <cell r="O290" t="str">
            <v>NS</v>
          </cell>
          <cell r="P290" t="str">
            <v>NSF18CK3</v>
          </cell>
          <cell r="Q290">
            <v>45958</v>
          </cell>
          <cell r="R290" t="str">
            <v/>
          </cell>
          <cell r="S290" t="str">
            <v/>
          </cell>
          <cell r="T290">
            <v>45971</v>
          </cell>
          <cell r="U290">
            <v>65893</v>
          </cell>
          <cell r="V290">
            <v>65643</v>
          </cell>
          <cell r="W290" t="str">
            <v/>
          </cell>
          <cell r="X290" t="str">
            <v>Lokasi Produksi 526A3 ( pecahan 526A )</v>
          </cell>
          <cell r="Z290">
            <v>14</v>
          </cell>
          <cell r="AA290">
            <v>45958</v>
          </cell>
          <cell r="AB290">
            <v>340.59733611111005</v>
          </cell>
          <cell r="AC290">
            <v>11.353244537037002</v>
          </cell>
          <cell r="AD290">
            <v>3.3532445370370016</v>
          </cell>
          <cell r="AE290">
            <v>20.73</v>
          </cell>
          <cell r="AF290">
            <v>0</v>
          </cell>
          <cell r="AG290">
            <v>-1363.3333333333333</v>
          </cell>
          <cell r="AM290" t="str">
            <v>OK</v>
          </cell>
          <cell r="AO290">
            <v>15.445185108024695</v>
          </cell>
          <cell r="AP290">
            <v>1.4451851080246954</v>
          </cell>
          <cell r="AQ290">
            <v>45971</v>
          </cell>
          <cell r="AR290">
            <v>14.666666666666666</v>
          </cell>
          <cell r="AS290">
            <v>0.77851844135802928</v>
          </cell>
          <cell r="AT290">
            <v>45958</v>
          </cell>
          <cell r="AU290">
            <v>0.77851844135802928</v>
          </cell>
          <cell r="AV290">
            <v>440</v>
          </cell>
          <cell r="AW290">
            <v>0.77851844135802928</v>
          </cell>
          <cell r="AY290">
            <v>468.46369178241002</v>
          </cell>
          <cell r="AZ290" t="str">
            <v>F18</v>
          </cell>
          <cell r="BA290">
            <v>5.17</v>
          </cell>
          <cell r="BB290" t="str">
            <v>NSFC</v>
          </cell>
          <cell r="BC290" t="str">
            <v>F18CK</v>
          </cell>
        </row>
        <row r="291">
          <cell r="A291" t="str">
            <v>526B1</v>
          </cell>
          <cell r="B291" t="str">
            <v>3</v>
          </cell>
          <cell r="C291" t="str">
            <v>05</v>
          </cell>
          <cell r="D291">
            <v>18</v>
          </cell>
          <cell r="E291" t="str">
            <v>526B1</v>
          </cell>
          <cell r="F291">
            <v>4.57</v>
          </cell>
          <cell r="G291">
            <v>3.8</v>
          </cell>
          <cell r="H291">
            <v>3.8</v>
          </cell>
          <cell r="I291" t="str">
            <v>SC</v>
          </cell>
          <cell r="J291" t="str">
            <v>FC</v>
          </cell>
          <cell r="K291">
            <v>8</v>
          </cell>
          <cell r="L291">
            <v>45945</v>
          </cell>
          <cell r="M291">
            <v>45945</v>
          </cell>
          <cell r="N291">
            <v>49</v>
          </cell>
          <cell r="O291" t="str">
            <v>NS</v>
          </cell>
          <cell r="P291" t="str">
            <v/>
          </cell>
          <cell r="Q291">
            <v>46189</v>
          </cell>
          <cell r="R291" t="str">
            <v/>
          </cell>
          <cell r="S291" t="str">
            <v/>
          </cell>
          <cell r="T291" t="str">
            <v/>
          </cell>
          <cell r="U291">
            <v>70060</v>
          </cell>
          <cell r="V291">
            <v>67065</v>
          </cell>
          <cell r="W291" t="str">
            <v/>
          </cell>
          <cell r="X291" t="str">
            <v>Lokasi Produksi 526B1 ( pecahan 526B )</v>
          </cell>
          <cell r="Z291">
            <v>8</v>
          </cell>
          <cell r="AA291">
            <v>46189</v>
          </cell>
          <cell r="AB291">
            <v>378.59733611111005</v>
          </cell>
          <cell r="AC291">
            <v>12.619911203703669</v>
          </cell>
          <cell r="AD291">
            <v>-3.3800887962963309</v>
          </cell>
          <cell r="AE291">
            <v>11.24</v>
          </cell>
          <cell r="AF291">
            <v>0</v>
          </cell>
          <cell r="AG291">
            <v>-1362.0666666666666</v>
          </cell>
          <cell r="AK291">
            <v>40476</v>
          </cell>
          <cell r="AM291" t="str">
            <v>OK</v>
          </cell>
          <cell r="AO291">
            <v>1.6451851080246949</v>
          </cell>
          <cell r="AP291">
            <v>-6.3548148919753054</v>
          </cell>
          <cell r="AQ291">
            <v>0</v>
          </cell>
          <cell r="AR291">
            <v>1.6451851080246949</v>
          </cell>
          <cell r="AS291">
            <v>0</v>
          </cell>
          <cell r="AT291">
            <v>46189</v>
          </cell>
          <cell r="AU291">
            <v>-6.3548148919753054</v>
          </cell>
          <cell r="AV291">
            <v>49.355553240740846</v>
          </cell>
          <cell r="AW291">
            <v>-6.3548148919753054</v>
          </cell>
          <cell r="AY291">
            <v>54.463691782410024</v>
          </cell>
          <cell r="AZ291" t="str">
            <v>F18</v>
          </cell>
          <cell r="BA291">
            <v>3.8</v>
          </cell>
          <cell r="BB291" t="str">
            <v>NSSC</v>
          </cell>
          <cell r="BC291" t="str">
            <v>F18</v>
          </cell>
        </row>
        <row r="292">
          <cell r="A292" t="str">
            <v>526B2</v>
          </cell>
          <cell r="B292" t="str">
            <v>3</v>
          </cell>
          <cell r="C292" t="str">
            <v>05</v>
          </cell>
          <cell r="D292">
            <v>18</v>
          </cell>
          <cell r="E292" t="str">
            <v>526B2</v>
          </cell>
          <cell r="F292">
            <v>10.58</v>
          </cell>
          <cell r="G292">
            <v>8.68</v>
          </cell>
          <cell r="H292">
            <v>8.68</v>
          </cell>
          <cell r="I292" t="str">
            <v>SC</v>
          </cell>
          <cell r="J292" t="str">
            <v>FC</v>
          </cell>
          <cell r="K292">
            <v>8</v>
          </cell>
          <cell r="L292">
            <v>45945</v>
          </cell>
          <cell r="M292">
            <v>45945</v>
          </cell>
          <cell r="N292">
            <v>49</v>
          </cell>
          <cell r="O292" t="str">
            <v>NS</v>
          </cell>
          <cell r="P292" t="str">
            <v/>
          </cell>
          <cell r="Q292">
            <v>46189</v>
          </cell>
          <cell r="R292" t="str">
            <v/>
          </cell>
          <cell r="S292" t="str">
            <v/>
          </cell>
          <cell r="T292" t="str">
            <v/>
          </cell>
          <cell r="U292">
            <v>70660</v>
          </cell>
          <cell r="V292">
            <v>69146</v>
          </cell>
          <cell r="W292">
            <v>45270</v>
          </cell>
          <cell r="X292" t="str">
            <v>Lokasi Produksi 526B2 ( pecahan 526B )</v>
          </cell>
          <cell r="Z292">
            <v>8</v>
          </cell>
          <cell r="AA292">
            <v>46189</v>
          </cell>
          <cell r="AB292">
            <v>542.59733611111005</v>
          </cell>
          <cell r="AC292">
            <v>18.086577870370334</v>
          </cell>
          <cell r="AD292">
            <v>-20</v>
          </cell>
          <cell r="AE292">
            <v>0</v>
          </cell>
          <cell r="AF292">
            <v>0</v>
          </cell>
          <cell r="AG292">
            <v>-1356.6</v>
          </cell>
          <cell r="AM292" t="str">
            <v>OK</v>
          </cell>
          <cell r="AO292">
            <v>1.6451851080246949</v>
          </cell>
          <cell r="AP292">
            <v>-6.3548148919753054</v>
          </cell>
          <cell r="AQ292">
            <v>0</v>
          </cell>
          <cell r="AR292">
            <v>1.6451851080246949</v>
          </cell>
          <cell r="AS292">
            <v>0</v>
          </cell>
          <cell r="AT292">
            <v>46189</v>
          </cell>
          <cell r="AU292">
            <v>-6.3548148919753054</v>
          </cell>
          <cell r="AV292">
            <v>49.355553240740846</v>
          </cell>
          <cell r="AW292">
            <v>-6.3548148919753054</v>
          </cell>
          <cell r="AY292">
            <v>54.463691782410024</v>
          </cell>
          <cell r="AZ292" t="str">
            <v>F18</v>
          </cell>
          <cell r="BA292">
            <v>8.68</v>
          </cell>
          <cell r="BB292" t="str">
            <v>NSSC</v>
          </cell>
          <cell r="BC292" t="str">
            <v>F18</v>
          </cell>
        </row>
        <row r="293">
          <cell r="A293" t="str">
            <v>526B3</v>
          </cell>
          <cell r="B293" t="str">
            <v>3</v>
          </cell>
          <cell r="C293" t="str">
            <v>05</v>
          </cell>
          <cell r="D293">
            <v>18</v>
          </cell>
          <cell r="E293" t="str">
            <v>526B3</v>
          </cell>
          <cell r="F293">
            <v>4.3499999999999996</v>
          </cell>
          <cell r="G293">
            <v>3.54</v>
          </cell>
          <cell r="H293">
            <v>3.54</v>
          </cell>
          <cell r="I293" t="str">
            <v>SC</v>
          </cell>
          <cell r="J293" t="str">
            <v>FC</v>
          </cell>
          <cell r="K293">
            <v>8</v>
          </cell>
          <cell r="L293">
            <v>45861</v>
          </cell>
          <cell r="M293">
            <v>45861</v>
          </cell>
          <cell r="N293">
            <v>133</v>
          </cell>
          <cell r="O293" t="str">
            <v>NS</v>
          </cell>
          <cell r="P293" t="str">
            <v/>
          </cell>
          <cell r="Q293">
            <v>46105</v>
          </cell>
          <cell r="R293" t="str">
            <v/>
          </cell>
          <cell r="S293" t="str">
            <v/>
          </cell>
          <cell r="T293" t="str">
            <v/>
          </cell>
          <cell r="U293">
            <v>71077</v>
          </cell>
          <cell r="V293">
            <v>71243</v>
          </cell>
          <cell r="W293">
            <v>44125</v>
          </cell>
          <cell r="X293" t="str">
            <v>Lokasi Produksi 526b3 ( pecahan 526B )</v>
          </cell>
          <cell r="Z293">
            <v>8</v>
          </cell>
          <cell r="AA293">
            <v>46105</v>
          </cell>
          <cell r="AB293">
            <v>378.59733611111005</v>
          </cell>
          <cell r="AC293">
            <v>12.619911203703669</v>
          </cell>
          <cell r="AD293">
            <v>-3.3800887962963309</v>
          </cell>
          <cell r="AE293">
            <v>10.28</v>
          </cell>
          <cell r="AF293">
            <v>0</v>
          </cell>
          <cell r="AG293">
            <v>-1362.0666666666666</v>
          </cell>
          <cell r="AM293" t="str">
            <v>OK</v>
          </cell>
          <cell r="AO293">
            <v>4.4451851080246945</v>
          </cell>
          <cell r="AP293">
            <v>-3.5548148919753055</v>
          </cell>
          <cell r="AQ293">
            <v>0</v>
          </cell>
          <cell r="AR293">
            <v>4.4451851080246945</v>
          </cell>
          <cell r="AS293">
            <v>0</v>
          </cell>
          <cell r="AT293">
            <v>46105</v>
          </cell>
          <cell r="AU293">
            <v>-3.5548148919753055</v>
          </cell>
          <cell r="AV293">
            <v>133.35555324074085</v>
          </cell>
          <cell r="AW293">
            <v>-3.5548148919753055</v>
          </cell>
          <cell r="AY293">
            <v>138.46369178241002</v>
          </cell>
          <cell r="AZ293" t="str">
            <v>F18</v>
          </cell>
          <cell r="BA293">
            <v>3.54</v>
          </cell>
          <cell r="BB293" t="str">
            <v>NSSC</v>
          </cell>
          <cell r="BC293" t="str">
            <v>F18</v>
          </cell>
        </row>
        <row r="294">
          <cell r="A294" t="str">
            <v>526B4</v>
          </cell>
          <cell r="B294" t="str">
            <v>3</v>
          </cell>
          <cell r="C294" t="str">
            <v>05</v>
          </cell>
          <cell r="D294">
            <v>18</v>
          </cell>
          <cell r="E294" t="str">
            <v>526B4</v>
          </cell>
          <cell r="F294">
            <v>2.89</v>
          </cell>
          <cell r="G294">
            <v>2.39</v>
          </cell>
          <cell r="H294">
            <v>2.39</v>
          </cell>
          <cell r="I294" t="str">
            <v>SC</v>
          </cell>
          <cell r="J294" t="str">
            <v>FC</v>
          </cell>
          <cell r="K294">
            <v>8</v>
          </cell>
          <cell r="L294">
            <v>45910</v>
          </cell>
          <cell r="M294">
            <v>45910</v>
          </cell>
          <cell r="N294">
            <v>84</v>
          </cell>
          <cell r="O294" t="str">
            <v>NS</v>
          </cell>
          <cell r="P294" t="str">
            <v/>
          </cell>
          <cell r="Q294">
            <v>46154</v>
          </cell>
          <cell r="R294" t="str">
            <v/>
          </cell>
          <cell r="S294" t="str">
            <v/>
          </cell>
          <cell r="T294" t="str">
            <v/>
          </cell>
          <cell r="U294">
            <v>70241</v>
          </cell>
          <cell r="V294">
            <v>67827</v>
          </cell>
          <cell r="W294">
            <v>44925</v>
          </cell>
          <cell r="X294" t="str">
            <v>Lokasi Produksi 526B4 ( pecahan 526B )</v>
          </cell>
          <cell r="Z294">
            <v>8</v>
          </cell>
          <cell r="AA294">
            <v>46154</v>
          </cell>
          <cell r="AB294">
            <v>243.59733611111005</v>
          </cell>
          <cell r="AC294">
            <v>8.1199112037036691</v>
          </cell>
          <cell r="AD294">
            <v>-5.8800887962963309</v>
          </cell>
          <cell r="AE294">
            <v>4.8</v>
          </cell>
          <cell r="AF294">
            <v>0</v>
          </cell>
          <cell r="AG294">
            <v>-1366.5666666666666</v>
          </cell>
          <cell r="AM294" t="str">
            <v>OK</v>
          </cell>
          <cell r="AO294">
            <v>2.8118517746913616</v>
          </cell>
          <cell r="AP294">
            <v>-5.1881482253086384</v>
          </cell>
          <cell r="AQ294">
            <v>0</v>
          </cell>
          <cell r="AR294">
            <v>2.8118517746913616</v>
          </cell>
          <cell r="AS294">
            <v>0</v>
          </cell>
          <cell r="AT294">
            <v>46154</v>
          </cell>
          <cell r="AU294">
            <v>-5.1881482253086384</v>
          </cell>
          <cell r="AV294">
            <v>84.355553240740846</v>
          </cell>
          <cell r="AW294">
            <v>-5.1881482253086384</v>
          </cell>
          <cell r="AY294">
            <v>89.463691782410024</v>
          </cell>
          <cell r="AZ294" t="str">
            <v>F18</v>
          </cell>
          <cell r="BA294">
            <v>2.39</v>
          </cell>
          <cell r="BB294" t="str">
            <v>NSSC</v>
          </cell>
          <cell r="BC294" t="str">
            <v>F18</v>
          </cell>
        </row>
        <row r="295">
          <cell r="A295" t="str">
            <v>526B5</v>
          </cell>
          <cell r="B295" t="str">
            <v>3</v>
          </cell>
          <cell r="C295" t="str">
            <v>05</v>
          </cell>
          <cell r="D295">
            <v>18</v>
          </cell>
          <cell r="E295" t="str">
            <v>526B5</v>
          </cell>
          <cell r="F295">
            <v>0.87</v>
          </cell>
          <cell r="G295">
            <v>0.87</v>
          </cell>
          <cell r="H295">
            <v>0.87</v>
          </cell>
          <cell r="I295" t="str">
            <v>FC</v>
          </cell>
          <cell r="J295" t="str">
            <v>ST</v>
          </cell>
          <cell r="K295">
            <v>0</v>
          </cell>
          <cell r="L295">
            <v>45955</v>
          </cell>
          <cell r="M295">
            <v>45955</v>
          </cell>
          <cell r="N295">
            <v>39</v>
          </cell>
          <cell r="O295" t="str">
            <v>SK</v>
          </cell>
          <cell r="P295" t="str">
            <v/>
          </cell>
          <cell r="Q295">
            <v>45955</v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>Lokasi Produksi 526B5 ( pecahan 526B )</v>
          </cell>
          <cell r="Z295">
            <v>0</v>
          </cell>
          <cell r="AA295">
            <v>45955</v>
          </cell>
          <cell r="AB295">
            <v>462.59733611111005</v>
          </cell>
          <cell r="AC295">
            <v>15.419911203703668</v>
          </cell>
          <cell r="AD295">
            <v>1.4199112037036681</v>
          </cell>
          <cell r="AE295">
            <v>14.04</v>
          </cell>
          <cell r="AF295">
            <v>0</v>
          </cell>
          <cell r="AG295">
            <v>-1359.2666666666667</v>
          </cell>
          <cell r="AM295" t="str">
            <v>OK</v>
          </cell>
          <cell r="AO295">
            <v>1.3118517746913616</v>
          </cell>
          <cell r="AP295">
            <v>1.3118517746913616</v>
          </cell>
          <cell r="AQ295">
            <v>0</v>
          </cell>
          <cell r="AR295">
            <v>1.3118517746913616</v>
          </cell>
          <cell r="AS295">
            <v>0</v>
          </cell>
          <cell r="AT295">
            <v>45955</v>
          </cell>
          <cell r="AU295">
            <v>1.3118517746913616</v>
          </cell>
          <cell r="AV295">
            <v>39.355553240740846</v>
          </cell>
          <cell r="AW295">
            <v>1.3118517746913616</v>
          </cell>
          <cell r="AY295">
            <v>44.463691782410024</v>
          </cell>
          <cell r="AZ295" t="str">
            <v>F18</v>
          </cell>
          <cell r="BA295">
            <v>0</v>
          </cell>
          <cell r="BB295" t="str">
            <v>SKFC</v>
          </cell>
          <cell r="BC295" t="str">
            <v>F18</v>
          </cell>
        </row>
        <row r="296">
          <cell r="A296" t="str">
            <v>526B5S</v>
          </cell>
          <cell r="B296" t="str">
            <v>3</v>
          </cell>
          <cell r="C296" t="str">
            <v>05</v>
          </cell>
          <cell r="D296">
            <v>18</v>
          </cell>
          <cell r="E296" t="str">
            <v>526B5S</v>
          </cell>
          <cell r="F296">
            <v>1.3</v>
          </cell>
          <cell r="G296">
            <v>1.3</v>
          </cell>
          <cell r="H296">
            <v>1.3</v>
          </cell>
          <cell r="I296" t="str">
            <v>FC</v>
          </cell>
          <cell r="J296" t="str">
            <v>ST</v>
          </cell>
          <cell r="K296">
            <v>0</v>
          </cell>
          <cell r="L296">
            <v>45621</v>
          </cell>
          <cell r="M296">
            <v>45621</v>
          </cell>
          <cell r="N296">
            <v>373</v>
          </cell>
          <cell r="O296" t="str">
            <v>SK</v>
          </cell>
          <cell r="P296" t="str">
            <v/>
          </cell>
          <cell r="Q296">
            <v>45621</v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>Lokasi Produksi 526B5S ( singkong )</v>
          </cell>
          <cell r="Z296">
            <v>0</v>
          </cell>
          <cell r="AA296">
            <v>45621</v>
          </cell>
          <cell r="AB296">
            <v>438.59733611111005</v>
          </cell>
          <cell r="AC296">
            <v>14.619911203703669</v>
          </cell>
          <cell r="AD296">
            <v>0.61991120370366914</v>
          </cell>
          <cell r="AE296">
            <v>24.22</v>
          </cell>
          <cell r="AF296">
            <v>0</v>
          </cell>
          <cell r="AG296">
            <v>-1360.0666666666666</v>
          </cell>
          <cell r="AM296" t="str">
            <v>OK</v>
          </cell>
          <cell r="AO296">
            <v>12.445185108024695</v>
          </cell>
          <cell r="AP296">
            <v>12.445185108024695</v>
          </cell>
          <cell r="AQ296">
            <v>0</v>
          </cell>
          <cell r="AR296">
            <v>12.445185108024695</v>
          </cell>
          <cell r="AS296">
            <v>0</v>
          </cell>
          <cell r="AT296">
            <v>45621</v>
          </cell>
          <cell r="AU296">
            <v>12.445185108024695</v>
          </cell>
          <cell r="AV296">
            <v>373.35555324074085</v>
          </cell>
          <cell r="AW296">
            <v>12.445185108024695</v>
          </cell>
          <cell r="AY296">
            <v>378.46369178241002</v>
          </cell>
          <cell r="AZ296" t="str">
            <v>F18</v>
          </cell>
          <cell r="BA296">
            <v>0</v>
          </cell>
          <cell r="BB296" t="str">
            <v>SKFC</v>
          </cell>
          <cell r="BC296" t="str">
            <v>F18</v>
          </cell>
        </row>
        <row r="297">
          <cell r="A297" t="str">
            <v>526D1</v>
          </cell>
          <cell r="B297" t="str">
            <v>3</v>
          </cell>
          <cell r="C297" t="str">
            <v>05</v>
          </cell>
          <cell r="D297">
            <v>18</v>
          </cell>
          <cell r="E297" t="str">
            <v>526D1</v>
          </cell>
          <cell r="F297">
            <v>7.41</v>
          </cell>
          <cell r="G297">
            <v>5.93</v>
          </cell>
          <cell r="H297">
            <v>5.93</v>
          </cell>
          <cell r="I297" t="str">
            <v>BB</v>
          </cell>
          <cell r="J297" t="str">
            <v>SC</v>
          </cell>
          <cell r="K297">
            <v>0</v>
          </cell>
          <cell r="L297">
            <v>45818</v>
          </cell>
          <cell r="M297">
            <v>45818</v>
          </cell>
          <cell r="N297">
            <v>176</v>
          </cell>
          <cell r="O297" t="str">
            <v>NS</v>
          </cell>
          <cell r="P297" t="str">
            <v/>
          </cell>
          <cell r="Q297">
            <v>45818</v>
          </cell>
          <cell r="R297" t="str">
            <v/>
          </cell>
          <cell r="S297" t="str">
            <v/>
          </cell>
          <cell r="T297" t="str">
            <v/>
          </cell>
          <cell r="U297">
            <v>70034</v>
          </cell>
          <cell r="V297">
            <v>69999</v>
          </cell>
          <cell r="W297">
            <v>45657</v>
          </cell>
          <cell r="X297" t="str">
            <v>Lokasi Produksi 526D1 ( pecahan 526D )</v>
          </cell>
          <cell r="Z297">
            <v>0</v>
          </cell>
          <cell r="AA297">
            <v>45818</v>
          </cell>
          <cell r="AB297">
            <v>5285.5973361111101</v>
          </cell>
          <cell r="AC297">
            <v>176.18657787037034</v>
          </cell>
          <cell r="AD297">
            <v>-20</v>
          </cell>
          <cell r="AE297">
            <v>0</v>
          </cell>
          <cell r="AF297">
            <v>0</v>
          </cell>
          <cell r="AG297">
            <v>-1198.5</v>
          </cell>
          <cell r="AK297">
            <v>40362.6</v>
          </cell>
          <cell r="AM297" t="str">
            <v>OK</v>
          </cell>
          <cell r="AO297">
            <v>5.878518441358028</v>
          </cell>
          <cell r="AP297">
            <v>5.878518441358028</v>
          </cell>
          <cell r="AQ297">
            <v>0</v>
          </cell>
          <cell r="AR297">
            <v>5.878518441358028</v>
          </cell>
          <cell r="AS297">
            <v>0</v>
          </cell>
          <cell r="AT297">
            <v>45818</v>
          </cell>
          <cell r="AU297">
            <v>5.878518441358028</v>
          </cell>
          <cell r="AV297">
            <v>176.35555324074085</v>
          </cell>
          <cell r="AW297">
            <v>5.878518441358028</v>
          </cell>
          <cell r="AY297">
            <v>181.46369178241002</v>
          </cell>
          <cell r="AZ297" t="str">
            <v>F18</v>
          </cell>
          <cell r="BA297">
            <v>0</v>
          </cell>
          <cell r="BB297" t="str">
            <v>NSBB</v>
          </cell>
          <cell r="BC297" t="str">
            <v>F18</v>
          </cell>
        </row>
        <row r="298">
          <cell r="A298" t="str">
            <v>526D2</v>
          </cell>
          <cell r="B298" t="str">
            <v>3</v>
          </cell>
          <cell r="C298" t="str">
            <v>05</v>
          </cell>
          <cell r="D298">
            <v>18</v>
          </cell>
          <cell r="E298" t="str">
            <v>526D2</v>
          </cell>
          <cell r="F298">
            <v>12.29</v>
          </cell>
          <cell r="G298">
            <v>9.85</v>
          </cell>
          <cell r="H298">
            <v>9.85</v>
          </cell>
          <cell r="I298" t="str">
            <v>BB</v>
          </cell>
          <cell r="J298" t="str">
            <v>SC</v>
          </cell>
          <cell r="K298">
            <v>0</v>
          </cell>
          <cell r="L298">
            <v>45819</v>
          </cell>
          <cell r="M298">
            <v>45819</v>
          </cell>
          <cell r="N298">
            <v>175</v>
          </cell>
          <cell r="O298" t="str">
            <v>NS</v>
          </cell>
          <cell r="P298" t="str">
            <v/>
          </cell>
          <cell r="Q298">
            <v>45819</v>
          </cell>
          <cell r="R298" t="str">
            <v/>
          </cell>
          <cell r="S298" t="str">
            <v/>
          </cell>
          <cell r="T298" t="str">
            <v/>
          </cell>
          <cell r="U298">
            <v>70111</v>
          </cell>
          <cell r="V298">
            <v>69330</v>
          </cell>
          <cell r="W298">
            <v>45585</v>
          </cell>
          <cell r="X298" t="str">
            <v>Lokasi Produksi 526D1 ( pecahan 526D )</v>
          </cell>
          <cell r="Z298">
            <v>0</v>
          </cell>
          <cell r="AA298">
            <v>45819</v>
          </cell>
          <cell r="AB298">
            <v>433.59733611111005</v>
          </cell>
          <cell r="AC298">
            <v>14.453244537037001</v>
          </cell>
          <cell r="AD298">
            <v>2.4532445370370013</v>
          </cell>
          <cell r="AE298">
            <v>4.41</v>
          </cell>
          <cell r="AF298">
            <v>0</v>
          </cell>
          <cell r="AG298">
            <v>-1360.2333333333333</v>
          </cell>
          <cell r="AM298" t="str">
            <v>OK</v>
          </cell>
          <cell r="AO298">
            <v>5.8451851080246948</v>
          </cell>
          <cell r="AP298">
            <v>5.8451851080246948</v>
          </cell>
          <cell r="AQ298">
            <v>0</v>
          </cell>
          <cell r="AR298">
            <v>5.8451851080246948</v>
          </cell>
          <cell r="AS298">
            <v>0</v>
          </cell>
          <cell r="AT298">
            <v>45819</v>
          </cell>
          <cell r="AU298">
            <v>5.8451851080246948</v>
          </cell>
          <cell r="AV298">
            <v>175.35555324074085</v>
          </cell>
          <cell r="AW298">
            <v>5.8451851080246948</v>
          </cell>
          <cell r="AY298">
            <v>180.46369178241002</v>
          </cell>
          <cell r="AZ298" t="str">
            <v>F18</v>
          </cell>
          <cell r="BA298">
            <v>0</v>
          </cell>
          <cell r="BB298" t="str">
            <v>NSBB</v>
          </cell>
          <cell r="BC298" t="str">
            <v>F18</v>
          </cell>
        </row>
        <row r="299">
          <cell r="A299" t="str">
            <v>526E1</v>
          </cell>
          <cell r="B299" t="str">
            <v>3</v>
          </cell>
          <cell r="C299" t="str">
            <v>05</v>
          </cell>
          <cell r="D299">
            <v>18</v>
          </cell>
          <cell r="E299" t="str">
            <v>526E1</v>
          </cell>
          <cell r="F299">
            <v>13.92</v>
          </cell>
          <cell r="G299">
            <v>11.21</v>
          </cell>
          <cell r="H299">
            <v>11.21</v>
          </cell>
          <cell r="I299" t="str">
            <v>BK</v>
          </cell>
          <cell r="J299" t="str">
            <v>SC</v>
          </cell>
          <cell r="K299">
            <v>0</v>
          </cell>
          <cell r="L299">
            <v>45847</v>
          </cell>
          <cell r="M299">
            <v>45847</v>
          </cell>
          <cell r="N299">
            <v>147</v>
          </cell>
          <cell r="O299" t="str">
            <v>NS</v>
          </cell>
          <cell r="P299" t="str">
            <v/>
          </cell>
          <cell r="Q299">
            <v>45847</v>
          </cell>
          <cell r="R299" t="str">
            <v/>
          </cell>
          <cell r="S299" t="str">
            <v/>
          </cell>
          <cell r="T299" t="str">
            <v/>
          </cell>
          <cell r="U299">
            <v>70044</v>
          </cell>
          <cell r="V299">
            <v>50193</v>
          </cell>
          <cell r="W299">
            <v>44805</v>
          </cell>
          <cell r="X299" t="str">
            <v>Lokasi Produksi 526E1 ( pecahan 526E )</v>
          </cell>
          <cell r="Z299">
            <v>0</v>
          </cell>
          <cell r="AA299">
            <v>45847</v>
          </cell>
          <cell r="AB299">
            <v>473.59733611111005</v>
          </cell>
          <cell r="AC299">
            <v>15.786577870370335</v>
          </cell>
          <cell r="AD299">
            <v>-0.21342212962966478</v>
          </cell>
          <cell r="AE299">
            <v>12.19</v>
          </cell>
          <cell r="AF299">
            <v>0</v>
          </cell>
          <cell r="AG299">
            <v>-1358.9</v>
          </cell>
          <cell r="AK299">
            <v>40300</v>
          </cell>
          <cell r="AM299" t="str">
            <v>OK</v>
          </cell>
          <cell r="AO299">
            <v>4.9118517746913612</v>
          </cell>
          <cell r="AP299">
            <v>4.9118517746913612</v>
          </cell>
          <cell r="AQ299">
            <v>0</v>
          </cell>
          <cell r="AR299">
            <v>4.9118517746913612</v>
          </cell>
          <cell r="AS299">
            <v>0</v>
          </cell>
          <cell r="AT299">
            <v>45847</v>
          </cell>
          <cell r="AU299">
            <v>4.9118517746913612</v>
          </cell>
          <cell r="AV299">
            <v>147.35555324074085</v>
          </cell>
          <cell r="AW299">
            <v>4.9118517746913612</v>
          </cell>
          <cell r="AY299">
            <v>152.46369178241002</v>
          </cell>
          <cell r="AZ299" t="str">
            <v>F18</v>
          </cell>
          <cell r="BA299">
            <v>0</v>
          </cell>
          <cell r="BB299" t="str">
            <v>NSBK</v>
          </cell>
          <cell r="BC299" t="str">
            <v>F18</v>
          </cell>
        </row>
        <row r="300">
          <cell r="A300" t="str">
            <v>526E2</v>
          </cell>
          <cell r="B300" t="str">
            <v>3</v>
          </cell>
          <cell r="C300" t="str">
            <v>05</v>
          </cell>
          <cell r="D300">
            <v>18</v>
          </cell>
          <cell r="E300" t="str">
            <v>526E2</v>
          </cell>
          <cell r="F300">
            <v>10.24</v>
          </cell>
          <cell r="G300">
            <v>8.1999999999999993</v>
          </cell>
          <cell r="H300">
            <v>8.1999999999999993</v>
          </cell>
          <cell r="I300" t="str">
            <v>BK</v>
          </cell>
          <cell r="J300" t="str">
            <v>SC</v>
          </cell>
          <cell r="K300">
            <v>0</v>
          </cell>
          <cell r="L300">
            <v>45848</v>
          </cell>
          <cell r="M300">
            <v>45848</v>
          </cell>
          <cell r="N300">
            <v>146</v>
          </cell>
          <cell r="O300" t="str">
            <v>NS</v>
          </cell>
          <cell r="P300" t="str">
            <v/>
          </cell>
          <cell r="Q300">
            <v>45848</v>
          </cell>
          <cell r="R300" t="str">
            <v/>
          </cell>
          <cell r="S300" t="str">
            <v/>
          </cell>
          <cell r="T300" t="str">
            <v/>
          </cell>
          <cell r="U300">
            <v>70975</v>
          </cell>
          <cell r="V300">
            <v>50482</v>
          </cell>
          <cell r="W300">
            <v>44805</v>
          </cell>
          <cell r="X300" t="str">
            <v>Lokasi Produksi 526E2 ( pecahan 526E )</v>
          </cell>
          <cell r="Z300">
            <v>0</v>
          </cell>
          <cell r="AA300">
            <v>45848</v>
          </cell>
          <cell r="AB300">
            <v>375.59733611111005</v>
          </cell>
          <cell r="AC300">
            <v>12.519911203703668</v>
          </cell>
          <cell r="AD300">
            <v>-3.4800887962963323</v>
          </cell>
          <cell r="AE300">
            <v>3.75</v>
          </cell>
          <cell r="AF300">
            <v>0</v>
          </cell>
          <cell r="AG300">
            <v>-1362.1666666666667</v>
          </cell>
          <cell r="AM300" t="str">
            <v>OK</v>
          </cell>
          <cell r="AO300">
            <v>4.878518441358028</v>
          </cell>
          <cell r="AP300">
            <v>4.878518441358028</v>
          </cell>
          <cell r="AQ300">
            <v>0</v>
          </cell>
          <cell r="AR300">
            <v>4.878518441358028</v>
          </cell>
          <cell r="AS300">
            <v>0</v>
          </cell>
          <cell r="AT300">
            <v>45848</v>
          </cell>
          <cell r="AU300">
            <v>4.878518441358028</v>
          </cell>
          <cell r="AV300">
            <v>146.35555324074085</v>
          </cell>
          <cell r="AW300">
            <v>4.878518441358028</v>
          </cell>
          <cell r="AY300">
            <v>151.46369178241002</v>
          </cell>
          <cell r="AZ300" t="str">
            <v>F18</v>
          </cell>
          <cell r="BA300">
            <v>0</v>
          </cell>
          <cell r="BB300" t="str">
            <v>NSBK</v>
          </cell>
          <cell r="BC300" t="str">
            <v>F18</v>
          </cell>
        </row>
        <row r="301">
          <cell r="A301" t="str">
            <v>526SS</v>
          </cell>
          <cell r="B301" t="str">
            <v>3</v>
          </cell>
          <cell r="C301" t="str">
            <v>05</v>
          </cell>
          <cell r="D301">
            <v>18</v>
          </cell>
          <cell r="E301" t="str">
            <v>526SS</v>
          </cell>
          <cell r="F301">
            <v>1.78</v>
          </cell>
          <cell r="G301">
            <v>1.78</v>
          </cell>
          <cell r="H301">
            <v>1.78</v>
          </cell>
          <cell r="I301" t="str">
            <v>FC</v>
          </cell>
          <cell r="J301" t="str">
            <v>ST</v>
          </cell>
          <cell r="K301">
            <v>0</v>
          </cell>
          <cell r="L301">
            <v>45952</v>
          </cell>
          <cell r="M301">
            <v>45952</v>
          </cell>
          <cell r="N301">
            <v>42</v>
          </cell>
          <cell r="O301" t="str">
            <v>SK</v>
          </cell>
          <cell r="P301" t="str">
            <v/>
          </cell>
          <cell r="Q301">
            <v>45952</v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>Lokasi Produksi 526SS ( singkong )</v>
          </cell>
          <cell r="Z301">
            <v>0</v>
          </cell>
          <cell r="AA301">
            <v>45952</v>
          </cell>
          <cell r="AB301">
            <v>243.59733611111005</v>
          </cell>
          <cell r="AC301">
            <v>8.1199112037036691</v>
          </cell>
          <cell r="AD301">
            <v>-3.8800887962963309</v>
          </cell>
          <cell r="AE301">
            <v>17.47</v>
          </cell>
          <cell r="AF301">
            <v>0</v>
          </cell>
          <cell r="AG301">
            <v>-1366.5666666666666</v>
          </cell>
          <cell r="AM301" t="str">
            <v>OK</v>
          </cell>
          <cell r="AO301">
            <v>1.4118517746913615</v>
          </cell>
          <cell r="AP301">
            <v>1.4118517746913615</v>
          </cell>
          <cell r="AQ301">
            <v>0</v>
          </cell>
          <cell r="AR301">
            <v>1.4118517746913615</v>
          </cell>
          <cell r="AS301">
            <v>0</v>
          </cell>
          <cell r="AT301">
            <v>45952</v>
          </cell>
          <cell r="AU301">
            <v>1.4118517746913615</v>
          </cell>
          <cell r="AV301">
            <v>42.355553240740846</v>
          </cell>
          <cell r="AW301">
            <v>1.4118517746913615</v>
          </cell>
          <cell r="AY301">
            <v>47.463691782410024</v>
          </cell>
          <cell r="AZ301" t="str">
            <v>F18</v>
          </cell>
          <cell r="BA301">
            <v>0</v>
          </cell>
          <cell r="BB301" t="str">
            <v>SKFC</v>
          </cell>
          <cell r="BC301" t="str">
            <v>F18</v>
          </cell>
        </row>
        <row r="302">
          <cell r="A302" t="str">
            <v>527A1</v>
          </cell>
          <cell r="B302" t="str">
            <v>3</v>
          </cell>
          <cell r="C302" t="str">
            <v>05</v>
          </cell>
          <cell r="D302">
            <v>18</v>
          </cell>
          <cell r="E302" t="str">
            <v>527A1</v>
          </cell>
          <cell r="F302">
            <v>11.81</v>
          </cell>
          <cell r="G302">
            <v>9.93</v>
          </cell>
          <cell r="H302">
            <v>9.93</v>
          </cell>
          <cell r="I302" t="str">
            <v>FC</v>
          </cell>
          <cell r="J302" t="str">
            <v>ST</v>
          </cell>
          <cell r="K302">
            <v>12</v>
          </cell>
          <cell r="L302">
            <v>45908</v>
          </cell>
          <cell r="M302">
            <v>45908</v>
          </cell>
          <cell r="N302">
            <v>86</v>
          </cell>
          <cell r="O302" t="str">
            <v>NS</v>
          </cell>
          <cell r="P302" t="str">
            <v>NSGP3SS3</v>
          </cell>
          <cell r="Q302">
            <v>46274</v>
          </cell>
          <cell r="R302" t="str">
            <v/>
          </cell>
          <cell r="S302" t="str">
            <v/>
          </cell>
          <cell r="T302" t="str">
            <v/>
          </cell>
          <cell r="U302">
            <v>71015</v>
          </cell>
          <cell r="V302">
            <v>51562</v>
          </cell>
          <cell r="W302">
            <v>44791</v>
          </cell>
          <cell r="X302" t="str">
            <v>Lokasi Produksi 527A1 ( pecahan 527A )</v>
          </cell>
          <cell r="Z302">
            <v>12</v>
          </cell>
          <cell r="AA302">
            <v>46274</v>
          </cell>
          <cell r="AB302">
            <v>243.59733611111005</v>
          </cell>
          <cell r="AC302">
            <v>8.1199112037036691</v>
          </cell>
          <cell r="AD302">
            <v>-3.8800887962963309</v>
          </cell>
          <cell r="AE302">
            <v>13.45</v>
          </cell>
          <cell r="AF302">
            <v>0</v>
          </cell>
          <cell r="AG302">
            <v>-1366.5666666666666</v>
          </cell>
          <cell r="AM302" t="str">
            <v>OK</v>
          </cell>
          <cell r="AO302">
            <v>2.878518441358028</v>
          </cell>
          <cell r="AP302">
            <v>-9.1214815586419711</v>
          </cell>
          <cell r="AQ302">
            <v>0</v>
          </cell>
          <cell r="AR302">
            <v>2.878518441358028</v>
          </cell>
          <cell r="AS302">
            <v>0</v>
          </cell>
          <cell r="AT302">
            <v>46274</v>
          </cell>
          <cell r="AU302">
            <v>-9.1214815586419711</v>
          </cell>
          <cell r="AV302">
            <v>86.355553240740846</v>
          </cell>
          <cell r="AW302">
            <v>-9.1214815586419711</v>
          </cell>
          <cell r="AY302">
            <v>91.463691782410024</v>
          </cell>
          <cell r="AZ302" t="str">
            <v>GP3</v>
          </cell>
          <cell r="BA302">
            <v>9.93</v>
          </cell>
          <cell r="BB302" t="str">
            <v>NSFC</v>
          </cell>
          <cell r="BC302" t="str">
            <v>GP3SS</v>
          </cell>
        </row>
        <row r="303">
          <cell r="A303" t="str">
            <v>527A2</v>
          </cell>
          <cell r="B303" t="str">
            <v>3</v>
          </cell>
          <cell r="C303" t="str">
            <v>05</v>
          </cell>
          <cell r="D303">
            <v>18</v>
          </cell>
          <cell r="E303" t="str">
            <v>527A2</v>
          </cell>
          <cell r="F303">
            <v>6.15</v>
          </cell>
          <cell r="G303">
            <v>5.22</v>
          </cell>
          <cell r="H303">
            <v>5.22</v>
          </cell>
          <cell r="I303" t="str">
            <v>FC</v>
          </cell>
          <cell r="J303" t="str">
            <v>ST</v>
          </cell>
          <cell r="K303">
            <v>10</v>
          </cell>
          <cell r="L303">
            <v>45904</v>
          </cell>
          <cell r="M303">
            <v>45904</v>
          </cell>
          <cell r="N303">
            <v>90</v>
          </cell>
          <cell r="O303" t="str">
            <v>NS</v>
          </cell>
          <cell r="P303" t="str">
            <v>NSGP3SB3</v>
          </cell>
          <cell r="Q303">
            <v>46209</v>
          </cell>
          <cell r="R303" t="str">
            <v/>
          </cell>
          <cell r="S303" t="str">
            <v/>
          </cell>
          <cell r="T303" t="str">
            <v/>
          </cell>
          <cell r="U303">
            <v>69925</v>
          </cell>
          <cell r="V303">
            <v>51118</v>
          </cell>
          <cell r="W303">
            <v>44791</v>
          </cell>
          <cell r="X303" t="str">
            <v>Lokasi Produksi 527A2 ( pecahan 527A )</v>
          </cell>
          <cell r="Z303">
            <v>10</v>
          </cell>
          <cell r="AA303">
            <v>46209</v>
          </cell>
          <cell r="AB303">
            <v>542.59733611111005</v>
          </cell>
          <cell r="AC303">
            <v>18.086577870370334</v>
          </cell>
          <cell r="AD303">
            <v>-20</v>
          </cell>
          <cell r="AE303">
            <v>0</v>
          </cell>
          <cell r="AF303">
            <v>0</v>
          </cell>
          <cell r="AG303">
            <v>-1356.6</v>
          </cell>
          <cell r="AM303" t="str">
            <v>OK</v>
          </cell>
          <cell r="AO303">
            <v>3.0118517746913613</v>
          </cell>
          <cell r="AP303">
            <v>-6.9881482253086382</v>
          </cell>
          <cell r="AQ303">
            <v>0</v>
          </cell>
          <cell r="AR303">
            <v>3.0118517746913613</v>
          </cell>
          <cell r="AS303">
            <v>0</v>
          </cell>
          <cell r="AT303">
            <v>46209</v>
          </cell>
          <cell r="AU303">
            <v>-6.9881482253086382</v>
          </cell>
          <cell r="AV303">
            <v>90.355553240740846</v>
          </cell>
          <cell r="AW303">
            <v>-6.9881482253086382</v>
          </cell>
          <cell r="AY303">
            <v>95.463691782410024</v>
          </cell>
          <cell r="AZ303" t="str">
            <v>GP3</v>
          </cell>
          <cell r="BA303">
            <v>5.22</v>
          </cell>
          <cell r="BB303" t="str">
            <v>NSFC</v>
          </cell>
          <cell r="BC303" t="str">
            <v>GP3SB</v>
          </cell>
        </row>
        <row r="304">
          <cell r="A304" t="str">
            <v>527C1</v>
          </cell>
          <cell r="B304" t="str">
            <v>3</v>
          </cell>
          <cell r="C304" t="str">
            <v>05</v>
          </cell>
          <cell r="D304">
            <v>18</v>
          </cell>
          <cell r="E304" t="str">
            <v>527C1</v>
          </cell>
          <cell r="F304">
            <v>6.99</v>
          </cell>
          <cell r="G304">
            <v>5.68</v>
          </cell>
          <cell r="H304">
            <v>5.68</v>
          </cell>
          <cell r="I304" t="str">
            <v>BK</v>
          </cell>
          <cell r="J304" t="str">
            <v>BB</v>
          </cell>
          <cell r="K304">
            <v>0</v>
          </cell>
          <cell r="L304">
            <v>45991</v>
          </cell>
          <cell r="M304">
            <v>45991</v>
          </cell>
          <cell r="N304">
            <v>3</v>
          </cell>
          <cell r="O304" t="str">
            <v>NS</v>
          </cell>
          <cell r="P304" t="str">
            <v/>
          </cell>
          <cell r="Q304">
            <v>45991</v>
          </cell>
          <cell r="R304" t="str">
            <v/>
          </cell>
          <cell r="S304" t="str">
            <v/>
          </cell>
          <cell r="T304" t="str">
            <v/>
          </cell>
          <cell r="U304">
            <v>72046</v>
          </cell>
          <cell r="V304">
            <v>73827</v>
          </cell>
          <cell r="W304">
            <v>43182</v>
          </cell>
          <cell r="X304" t="str">
            <v>Lokasi Produksi 527C1 ( pecahan 527C )</v>
          </cell>
          <cell r="Z304">
            <v>0</v>
          </cell>
          <cell r="AA304">
            <v>45991</v>
          </cell>
          <cell r="AB304">
            <v>197.59733611111005</v>
          </cell>
          <cell r="AC304">
            <v>6.586577870370335</v>
          </cell>
          <cell r="AD304">
            <v>-1.413422129629665</v>
          </cell>
          <cell r="AE304">
            <v>8.82</v>
          </cell>
          <cell r="AF304">
            <v>0</v>
          </cell>
          <cell r="AG304">
            <v>-1368.1</v>
          </cell>
          <cell r="AM304" t="str">
            <v>OK</v>
          </cell>
          <cell r="AO304">
            <v>0.11185177469136155</v>
          </cell>
          <cell r="AP304">
            <v>0.11185177469136155</v>
          </cell>
          <cell r="AQ304">
            <v>0</v>
          </cell>
          <cell r="AR304">
            <v>0.11185177469136155</v>
          </cell>
          <cell r="AS304">
            <v>0</v>
          </cell>
          <cell r="AT304">
            <v>45991</v>
          </cell>
          <cell r="AU304">
            <v>0.11185177469136155</v>
          </cell>
          <cell r="AV304">
            <v>3.3555532407408464</v>
          </cell>
          <cell r="AW304">
            <v>0.11185177469136155</v>
          </cell>
          <cell r="AY304">
            <v>8.4636917824100237</v>
          </cell>
          <cell r="AZ304" t="str">
            <v>F18</v>
          </cell>
          <cell r="BA304">
            <v>0</v>
          </cell>
          <cell r="BB304" t="str">
            <v>NSBK</v>
          </cell>
          <cell r="BC304" t="str">
            <v>F18</v>
          </cell>
        </row>
        <row r="305">
          <cell r="A305" t="str">
            <v>527C2</v>
          </cell>
          <cell r="B305" t="str">
            <v>3</v>
          </cell>
          <cell r="C305" t="str">
            <v>05</v>
          </cell>
          <cell r="D305">
            <v>18</v>
          </cell>
          <cell r="E305" t="str">
            <v>527C2</v>
          </cell>
          <cell r="F305">
            <v>12.27</v>
          </cell>
          <cell r="G305">
            <v>9.8000000000000007</v>
          </cell>
          <cell r="H305">
            <v>9.8000000000000007</v>
          </cell>
          <cell r="I305" t="str">
            <v>BB</v>
          </cell>
          <cell r="J305" t="str">
            <v>FC</v>
          </cell>
          <cell r="K305">
            <v>0</v>
          </cell>
          <cell r="L305">
            <v>45727</v>
          </cell>
          <cell r="M305">
            <v>45727</v>
          </cell>
          <cell r="N305">
            <v>267</v>
          </cell>
          <cell r="O305" t="str">
            <v>NS</v>
          </cell>
          <cell r="P305" t="str">
            <v/>
          </cell>
          <cell r="Q305">
            <v>45727</v>
          </cell>
          <cell r="R305" t="str">
            <v/>
          </cell>
          <cell r="S305" t="str">
            <v/>
          </cell>
          <cell r="T305" t="str">
            <v/>
          </cell>
          <cell r="U305">
            <v>70140</v>
          </cell>
          <cell r="V305">
            <v>71045</v>
          </cell>
          <cell r="W305" t="str">
            <v/>
          </cell>
          <cell r="X305" t="str">
            <v>Lokasi Produksi 527C ( pecahan 527C )</v>
          </cell>
          <cell r="Z305">
            <v>0</v>
          </cell>
          <cell r="AA305">
            <v>45727</v>
          </cell>
          <cell r="AB305">
            <v>357.59733611111005</v>
          </cell>
          <cell r="AC305">
            <v>11.919911203703668</v>
          </cell>
          <cell r="AD305">
            <v>3.9199112037036681</v>
          </cell>
          <cell r="AE305">
            <v>9.5399999999999991</v>
          </cell>
          <cell r="AF305">
            <v>0</v>
          </cell>
          <cell r="AG305">
            <v>-1362.7666666666667</v>
          </cell>
          <cell r="AM305" t="str">
            <v>OK</v>
          </cell>
          <cell r="AO305">
            <v>8.9118517746913621</v>
          </cell>
          <cell r="AP305">
            <v>8.9118517746913621</v>
          </cell>
          <cell r="AQ305">
            <v>0</v>
          </cell>
          <cell r="AR305">
            <v>8.9118517746913621</v>
          </cell>
          <cell r="AS305">
            <v>0</v>
          </cell>
          <cell r="AT305">
            <v>45727</v>
          </cell>
          <cell r="AU305">
            <v>8.9118517746913621</v>
          </cell>
          <cell r="AV305">
            <v>267.35555324074085</v>
          </cell>
          <cell r="AW305">
            <v>8.9118517746913621</v>
          </cell>
          <cell r="AY305">
            <v>272.46369178241002</v>
          </cell>
          <cell r="AZ305" t="str">
            <v>F18</v>
          </cell>
          <cell r="BA305">
            <v>0</v>
          </cell>
          <cell r="BB305" t="str">
            <v>NSBB</v>
          </cell>
          <cell r="BC305" t="str">
            <v>F18</v>
          </cell>
        </row>
        <row r="306">
          <cell r="A306" t="str">
            <v>527C3</v>
          </cell>
          <cell r="B306" t="str">
            <v>3</v>
          </cell>
          <cell r="C306" t="str">
            <v>05</v>
          </cell>
          <cell r="D306">
            <v>18</v>
          </cell>
          <cell r="E306" t="str">
            <v>527C3</v>
          </cell>
          <cell r="F306">
            <v>11.39</v>
          </cell>
          <cell r="G306">
            <v>9.24</v>
          </cell>
          <cell r="H306">
            <v>9.24</v>
          </cell>
          <cell r="I306" t="str">
            <v>BB</v>
          </cell>
          <cell r="J306" t="str">
            <v>FC</v>
          </cell>
          <cell r="K306">
            <v>0</v>
          </cell>
          <cell r="L306">
            <v>45727</v>
          </cell>
          <cell r="M306">
            <v>45727</v>
          </cell>
          <cell r="N306">
            <v>267</v>
          </cell>
          <cell r="O306" t="str">
            <v>NS</v>
          </cell>
          <cell r="P306" t="str">
            <v/>
          </cell>
          <cell r="Q306">
            <v>45727</v>
          </cell>
          <cell r="R306" t="str">
            <v/>
          </cell>
          <cell r="S306" t="str">
            <v/>
          </cell>
          <cell r="T306" t="str">
            <v/>
          </cell>
          <cell r="U306">
            <v>70059</v>
          </cell>
          <cell r="V306">
            <v>71487</v>
          </cell>
          <cell r="W306" t="str">
            <v/>
          </cell>
          <cell r="X306" t="str">
            <v>Lokasi Produksi 527C ( pecahan 527C )</v>
          </cell>
          <cell r="Z306">
            <v>0</v>
          </cell>
          <cell r="AA306">
            <v>45727</v>
          </cell>
          <cell r="AB306">
            <v>331.59733611111005</v>
          </cell>
          <cell r="AC306">
            <v>11.053244537037001</v>
          </cell>
          <cell r="AD306">
            <v>-20</v>
          </cell>
          <cell r="AE306">
            <v>0</v>
          </cell>
          <cell r="AF306">
            <v>0</v>
          </cell>
          <cell r="AG306">
            <v>-1363.6333333333334</v>
          </cell>
          <cell r="AM306" t="str">
            <v>OK</v>
          </cell>
          <cell r="AO306">
            <v>8.9118517746913621</v>
          </cell>
          <cell r="AP306">
            <v>8.9118517746913621</v>
          </cell>
          <cell r="AQ306">
            <v>0</v>
          </cell>
          <cell r="AR306">
            <v>8.9118517746913621</v>
          </cell>
          <cell r="AS306">
            <v>0</v>
          </cell>
          <cell r="AT306">
            <v>45727</v>
          </cell>
          <cell r="AU306">
            <v>8.9118517746913621</v>
          </cell>
          <cell r="AV306">
            <v>267.35555324074085</v>
          </cell>
          <cell r="AW306">
            <v>8.9118517746913621</v>
          </cell>
          <cell r="AY306">
            <v>272.46369178241002</v>
          </cell>
          <cell r="AZ306" t="str">
            <v>F18</v>
          </cell>
          <cell r="BA306">
            <v>0</v>
          </cell>
          <cell r="BB306" t="str">
            <v>NSBB</v>
          </cell>
          <cell r="BC306" t="str">
            <v>F18</v>
          </cell>
        </row>
        <row r="307">
          <cell r="A307" t="str">
            <v>527D</v>
          </cell>
          <cell r="B307" t="str">
            <v>3</v>
          </cell>
          <cell r="C307" t="str">
            <v>05</v>
          </cell>
          <cell r="D307">
            <v>18</v>
          </cell>
          <cell r="E307" t="str">
            <v>527D</v>
          </cell>
          <cell r="F307">
            <v>16.579999999999998</v>
          </cell>
          <cell r="G307">
            <v>13.24</v>
          </cell>
          <cell r="H307">
            <v>13.24</v>
          </cell>
          <cell r="I307" t="str">
            <v>BB</v>
          </cell>
          <cell r="J307" t="str">
            <v>SC</v>
          </cell>
          <cell r="K307">
            <v>0</v>
          </cell>
          <cell r="L307">
            <v>45771</v>
          </cell>
          <cell r="M307">
            <v>45771</v>
          </cell>
          <cell r="N307">
            <v>223</v>
          </cell>
          <cell r="O307" t="str">
            <v>NS</v>
          </cell>
          <cell r="P307" t="str">
            <v/>
          </cell>
          <cell r="Q307">
            <v>45771</v>
          </cell>
          <cell r="R307" t="str">
            <v/>
          </cell>
          <cell r="S307" t="str">
            <v/>
          </cell>
          <cell r="T307" t="str">
            <v/>
          </cell>
          <cell r="U307">
            <v>67330</v>
          </cell>
          <cell r="V307">
            <v>68686</v>
          </cell>
          <cell r="W307" t="str">
            <v/>
          </cell>
          <cell r="X307" t="str">
            <v>Lokasi Produksi 527D</v>
          </cell>
          <cell r="Z307">
            <v>0</v>
          </cell>
          <cell r="AA307">
            <v>45771</v>
          </cell>
          <cell r="AB307">
            <v>5302.5973361111101</v>
          </cell>
          <cell r="AC307">
            <v>176.75324453703701</v>
          </cell>
          <cell r="AD307">
            <v>-20</v>
          </cell>
          <cell r="AE307">
            <v>0</v>
          </cell>
          <cell r="AF307">
            <v>0</v>
          </cell>
          <cell r="AG307">
            <v>-1197.9333333333334</v>
          </cell>
          <cell r="AM307" t="str">
            <v>OK</v>
          </cell>
          <cell r="AO307">
            <v>7.4451851080246945</v>
          </cell>
          <cell r="AP307">
            <v>7.4451851080246945</v>
          </cell>
          <cell r="AQ307">
            <v>0</v>
          </cell>
          <cell r="AR307">
            <v>7.4451851080246945</v>
          </cell>
          <cell r="AS307">
            <v>0</v>
          </cell>
          <cell r="AT307">
            <v>45771</v>
          </cell>
          <cell r="AU307">
            <v>7.4451851080246945</v>
          </cell>
          <cell r="AV307">
            <v>223.35555324074085</v>
          </cell>
          <cell r="AW307">
            <v>7.4451851080246945</v>
          </cell>
          <cell r="AY307">
            <v>228.46369178241002</v>
          </cell>
          <cell r="AZ307" t="str">
            <v>F18</v>
          </cell>
          <cell r="BA307">
            <v>0</v>
          </cell>
          <cell r="BB307" t="str">
            <v>NSBB</v>
          </cell>
          <cell r="BC307" t="str">
            <v>F18</v>
          </cell>
        </row>
        <row r="308">
          <cell r="A308" t="str">
            <v>528A</v>
          </cell>
          <cell r="B308" t="str">
            <v>3</v>
          </cell>
          <cell r="C308" t="str">
            <v>05</v>
          </cell>
          <cell r="D308">
            <v>18</v>
          </cell>
          <cell r="E308" t="str">
            <v>528A</v>
          </cell>
          <cell r="F308">
            <v>13.77</v>
          </cell>
          <cell r="G308">
            <v>11.49</v>
          </cell>
          <cell r="H308">
            <v>11.49</v>
          </cell>
          <cell r="I308" t="str">
            <v>FC</v>
          </cell>
          <cell r="J308" t="str">
            <v>ST</v>
          </cell>
          <cell r="K308">
            <v>14</v>
          </cell>
          <cell r="L308">
            <v>45933</v>
          </cell>
          <cell r="M308">
            <v>45933</v>
          </cell>
          <cell r="N308">
            <v>61</v>
          </cell>
          <cell r="O308" t="str">
            <v>NS</v>
          </cell>
          <cell r="P308" t="str">
            <v>NSGP3CK3</v>
          </cell>
          <cell r="Q308">
            <v>46360</v>
          </cell>
          <cell r="R308" t="str">
            <v/>
          </cell>
          <cell r="S308" t="str">
            <v/>
          </cell>
          <cell r="T308" t="str">
            <v/>
          </cell>
          <cell r="U308">
            <v>70464</v>
          </cell>
          <cell r="V308">
            <v>50176</v>
          </cell>
          <cell r="W308">
            <v>43799</v>
          </cell>
          <cell r="X308" t="str">
            <v>Lokasi Produksi 528A</v>
          </cell>
          <cell r="Z308">
            <v>14</v>
          </cell>
          <cell r="AA308">
            <v>46360</v>
          </cell>
          <cell r="AB308">
            <v>346.59733611111005</v>
          </cell>
          <cell r="AC308">
            <v>11.553244537037001</v>
          </cell>
          <cell r="AD308">
            <v>3.5532445370370009</v>
          </cell>
          <cell r="AE308">
            <v>26.64</v>
          </cell>
          <cell r="AF308">
            <v>0</v>
          </cell>
          <cell r="AG308">
            <v>-1363.1333333333334</v>
          </cell>
          <cell r="AM308" t="str">
            <v>OK</v>
          </cell>
          <cell r="AO308">
            <v>2.045185108024695</v>
          </cell>
          <cell r="AP308">
            <v>-11.954814891975305</v>
          </cell>
          <cell r="AQ308">
            <v>0</v>
          </cell>
          <cell r="AR308">
            <v>2.045185108024695</v>
          </cell>
          <cell r="AS308">
            <v>0</v>
          </cell>
          <cell r="AT308">
            <v>46360</v>
          </cell>
          <cell r="AU308">
            <v>-11.954814891975305</v>
          </cell>
          <cell r="AV308">
            <v>61.355553240740846</v>
          </cell>
          <cell r="AW308">
            <v>-11.954814891975305</v>
          </cell>
          <cell r="AY308">
            <v>66.463691782410024</v>
          </cell>
          <cell r="AZ308" t="str">
            <v>GP3</v>
          </cell>
          <cell r="BA308">
            <v>11.49</v>
          </cell>
          <cell r="BB308" t="str">
            <v>NSFC</v>
          </cell>
          <cell r="BC308" t="str">
            <v>GP3CK</v>
          </cell>
        </row>
        <row r="309">
          <cell r="A309" t="str">
            <v>528B</v>
          </cell>
          <cell r="B309" t="str">
            <v>3</v>
          </cell>
          <cell r="C309" t="str">
            <v>05</v>
          </cell>
          <cell r="D309">
            <v>18</v>
          </cell>
          <cell r="E309" t="str">
            <v>528B</v>
          </cell>
          <cell r="F309">
            <v>9.81</v>
          </cell>
          <cell r="G309">
            <v>8.11</v>
          </cell>
          <cell r="H309">
            <v>8.11</v>
          </cell>
          <cell r="I309" t="str">
            <v>FC</v>
          </cell>
          <cell r="J309" t="str">
            <v>ST</v>
          </cell>
          <cell r="K309">
            <v>14</v>
          </cell>
          <cell r="L309">
            <v>45957</v>
          </cell>
          <cell r="M309">
            <v>45957</v>
          </cell>
          <cell r="N309">
            <v>37</v>
          </cell>
          <cell r="O309" t="str">
            <v>NS</v>
          </cell>
          <cell r="P309" t="str">
            <v>NSGP3CK3</v>
          </cell>
          <cell r="Q309">
            <v>46384</v>
          </cell>
          <cell r="R309" t="str">
            <v/>
          </cell>
          <cell r="S309" t="str">
            <v/>
          </cell>
          <cell r="T309" t="str">
            <v/>
          </cell>
          <cell r="U309">
            <v>61931</v>
          </cell>
          <cell r="V309">
            <v>50433</v>
          </cell>
          <cell r="W309">
            <v>43647</v>
          </cell>
          <cell r="X309" t="str">
            <v>Lokasi Produksi 528B</v>
          </cell>
          <cell r="Z309">
            <v>14</v>
          </cell>
          <cell r="AA309">
            <v>46384</v>
          </cell>
          <cell r="AB309">
            <v>259.59733611111005</v>
          </cell>
          <cell r="AC309">
            <v>8.6532445370370024</v>
          </cell>
          <cell r="AD309">
            <v>0.65324453703700236</v>
          </cell>
          <cell r="AE309">
            <v>8.02</v>
          </cell>
          <cell r="AF309">
            <v>0</v>
          </cell>
          <cell r="AG309">
            <v>-1366.0333333333333</v>
          </cell>
          <cell r="AM309" t="str">
            <v>OK</v>
          </cell>
          <cell r="AO309">
            <v>1.245185108024695</v>
          </cell>
          <cell r="AP309">
            <v>-12.754814891975306</v>
          </cell>
          <cell r="AQ309">
            <v>0</v>
          </cell>
          <cell r="AR309">
            <v>1.245185108024695</v>
          </cell>
          <cell r="AS309">
            <v>0</v>
          </cell>
          <cell r="AT309">
            <v>46384</v>
          </cell>
          <cell r="AU309">
            <v>-12.754814891975306</v>
          </cell>
          <cell r="AV309">
            <v>37.355553240740846</v>
          </cell>
          <cell r="AW309">
            <v>-12.754814891975306</v>
          </cell>
          <cell r="AY309">
            <v>42.463691782410024</v>
          </cell>
          <cell r="AZ309" t="str">
            <v>GP3</v>
          </cell>
          <cell r="BA309">
            <v>8.11</v>
          </cell>
          <cell r="BB309" t="str">
            <v>NSFC</v>
          </cell>
          <cell r="BC309" t="str">
            <v>GP3CK</v>
          </cell>
        </row>
        <row r="310">
          <cell r="A310" t="str">
            <v>528C1</v>
          </cell>
          <cell r="B310" t="str">
            <v>3</v>
          </cell>
          <cell r="C310" t="str">
            <v>05</v>
          </cell>
          <cell r="D310">
            <v>18</v>
          </cell>
          <cell r="E310" t="str">
            <v>528C1</v>
          </cell>
          <cell r="F310">
            <v>8.07</v>
          </cell>
          <cell r="G310">
            <v>6.44</v>
          </cell>
          <cell r="H310">
            <v>6.44</v>
          </cell>
          <cell r="I310" t="str">
            <v>SC</v>
          </cell>
          <cell r="J310" t="str">
            <v>FC</v>
          </cell>
          <cell r="K310">
            <v>8</v>
          </cell>
          <cell r="L310">
            <v>45698</v>
          </cell>
          <cell r="M310">
            <v>45698</v>
          </cell>
          <cell r="N310">
            <v>296</v>
          </cell>
          <cell r="O310" t="str">
            <v>NS</v>
          </cell>
          <cell r="P310" t="str">
            <v/>
          </cell>
          <cell r="Q310">
            <v>45942</v>
          </cell>
          <cell r="R310" t="str">
            <v/>
          </cell>
          <cell r="S310" t="str">
            <v/>
          </cell>
          <cell r="T310">
            <v>45923</v>
          </cell>
          <cell r="U310">
            <v>68624</v>
          </cell>
          <cell r="V310">
            <v>51094</v>
          </cell>
          <cell r="W310">
            <v>45100</v>
          </cell>
          <cell r="X310" t="str">
            <v>Lokasi Produksi 528C1 ( pecahan 528C )</v>
          </cell>
          <cell r="Z310">
            <v>8</v>
          </cell>
          <cell r="AA310">
            <v>45942</v>
          </cell>
          <cell r="AB310">
            <v>489.59733611111005</v>
          </cell>
          <cell r="AC310">
            <v>16.319911203703668</v>
          </cell>
          <cell r="AD310">
            <v>2.3199112037036684</v>
          </cell>
          <cell r="AE310">
            <v>11.37</v>
          </cell>
          <cell r="AF310">
            <v>0</v>
          </cell>
          <cell r="AG310">
            <v>-1358.3666666666666</v>
          </cell>
          <cell r="AK310">
            <v>40351</v>
          </cell>
          <cell r="AM310" t="str">
            <v>OK</v>
          </cell>
          <cell r="AO310">
            <v>9.8785184413580289</v>
          </cell>
          <cell r="AP310">
            <v>1.8785184413580289</v>
          </cell>
          <cell r="AQ310">
            <v>45923</v>
          </cell>
          <cell r="AR310">
            <v>7.5</v>
          </cell>
          <cell r="AS310">
            <v>2.3785184413580289</v>
          </cell>
          <cell r="AT310">
            <v>45942</v>
          </cell>
          <cell r="AU310">
            <v>2.3785184413580289</v>
          </cell>
          <cell r="AV310">
            <v>225</v>
          </cell>
          <cell r="AW310">
            <v>2.3785184413580289</v>
          </cell>
          <cell r="AY310">
            <v>301.46369178241002</v>
          </cell>
          <cell r="AZ310" t="str">
            <v>F18</v>
          </cell>
          <cell r="BA310">
            <v>6.44</v>
          </cell>
          <cell r="BB310" t="str">
            <v>NSSC</v>
          </cell>
          <cell r="BC310" t="str">
            <v>F18</v>
          </cell>
        </row>
        <row r="311">
          <cell r="A311" t="str">
            <v>528C2</v>
          </cell>
          <cell r="B311" t="str">
            <v>3</v>
          </cell>
          <cell r="C311" t="str">
            <v>05</v>
          </cell>
          <cell r="D311">
            <v>18</v>
          </cell>
          <cell r="E311" t="str">
            <v>528C2</v>
          </cell>
          <cell r="F311">
            <v>11.31</v>
          </cell>
          <cell r="G311">
            <v>9.1</v>
          </cell>
          <cell r="H311">
            <v>9.1</v>
          </cell>
          <cell r="I311" t="str">
            <v>SC</v>
          </cell>
          <cell r="J311" t="str">
            <v>FC</v>
          </cell>
          <cell r="K311">
            <v>8</v>
          </cell>
          <cell r="L311">
            <v>45810</v>
          </cell>
          <cell r="M311">
            <v>45810</v>
          </cell>
          <cell r="N311">
            <v>184</v>
          </cell>
          <cell r="O311" t="str">
            <v>NS</v>
          </cell>
          <cell r="P311" t="str">
            <v/>
          </cell>
          <cell r="Q311">
            <v>46054</v>
          </cell>
          <cell r="R311" t="str">
            <v/>
          </cell>
          <cell r="S311" t="str">
            <v/>
          </cell>
          <cell r="T311" t="str">
            <v/>
          </cell>
          <cell r="U311">
            <v>70210</v>
          </cell>
          <cell r="V311">
            <v>69030</v>
          </cell>
          <cell r="W311">
            <v>45466</v>
          </cell>
          <cell r="X311" t="str">
            <v>Lokasi Produksi 528C2 ( pecahan 528C )</v>
          </cell>
          <cell r="Z311">
            <v>8</v>
          </cell>
          <cell r="AA311">
            <v>46054</v>
          </cell>
          <cell r="AB311">
            <v>486.59733611111005</v>
          </cell>
          <cell r="AC311">
            <v>16.219911203703667</v>
          </cell>
          <cell r="AD311">
            <v>2.219911203703667</v>
          </cell>
          <cell r="AE311">
            <v>13.35</v>
          </cell>
          <cell r="AF311">
            <v>0</v>
          </cell>
          <cell r="AG311">
            <v>-1358.4666666666667</v>
          </cell>
          <cell r="AM311" t="str">
            <v>OK</v>
          </cell>
          <cell r="AO311">
            <v>6.1451851080246946</v>
          </cell>
          <cell r="AP311">
            <v>-1.8548148919753054</v>
          </cell>
          <cell r="AQ311">
            <v>0</v>
          </cell>
          <cell r="AR311">
            <v>6.1451851080246946</v>
          </cell>
          <cell r="AS311">
            <v>0</v>
          </cell>
          <cell r="AT311">
            <v>46054</v>
          </cell>
          <cell r="AU311">
            <v>-1.8548148919753054</v>
          </cell>
          <cell r="AV311">
            <v>184.35555324074085</v>
          </cell>
          <cell r="AW311">
            <v>-1.8548148919753054</v>
          </cell>
          <cell r="AY311">
            <v>189.46369178241002</v>
          </cell>
          <cell r="AZ311" t="str">
            <v>F18</v>
          </cell>
          <cell r="BA311">
            <v>9.1</v>
          </cell>
          <cell r="BB311" t="str">
            <v>NSSC</v>
          </cell>
          <cell r="BC311" t="str">
            <v>F18</v>
          </cell>
        </row>
        <row r="312">
          <cell r="A312" t="str">
            <v>528D</v>
          </cell>
          <cell r="B312" t="str">
            <v>3</v>
          </cell>
          <cell r="C312" t="str">
            <v>05</v>
          </cell>
          <cell r="D312">
            <v>18</v>
          </cell>
          <cell r="E312" t="str">
            <v>528D</v>
          </cell>
          <cell r="F312">
            <v>11.89</v>
          </cell>
          <cell r="G312">
            <v>9.32</v>
          </cell>
          <cell r="H312">
            <v>9.32</v>
          </cell>
          <cell r="I312" t="str">
            <v>SC</v>
          </cell>
          <cell r="J312" t="str">
            <v>FC</v>
          </cell>
          <cell r="K312">
            <v>8</v>
          </cell>
          <cell r="L312">
            <v>45596</v>
          </cell>
          <cell r="M312">
            <v>45596</v>
          </cell>
          <cell r="N312">
            <v>398</v>
          </cell>
          <cell r="O312" t="str">
            <v>NS</v>
          </cell>
          <cell r="P312" t="str">
            <v/>
          </cell>
          <cell r="Q312">
            <v>45840</v>
          </cell>
          <cell r="R312" t="str">
            <v/>
          </cell>
          <cell r="S312" t="str">
            <v/>
          </cell>
          <cell r="T312">
            <v>45846</v>
          </cell>
          <cell r="U312">
            <v>71889</v>
          </cell>
          <cell r="V312">
            <v>52374</v>
          </cell>
          <cell r="W312">
            <v>45683</v>
          </cell>
          <cell r="X312" t="str">
            <v>Lokasi Produksi 528D</v>
          </cell>
          <cell r="Z312">
            <v>8</v>
          </cell>
          <cell r="AA312">
            <v>45840</v>
          </cell>
          <cell r="AB312">
            <v>486.59733611111005</v>
          </cell>
          <cell r="AC312">
            <v>16.219911203703667</v>
          </cell>
          <cell r="AD312">
            <v>0.21991120370366701</v>
          </cell>
          <cell r="AE312">
            <v>11.88</v>
          </cell>
          <cell r="AF312">
            <v>0</v>
          </cell>
          <cell r="AG312">
            <v>-1358.4666666666667</v>
          </cell>
          <cell r="AM312" t="str">
            <v>OK</v>
          </cell>
          <cell r="AO312">
            <v>13.278518441358028</v>
          </cell>
          <cell r="AP312">
            <v>5.2785184413580275</v>
          </cell>
          <cell r="AQ312">
            <v>45846</v>
          </cell>
          <cell r="AR312">
            <v>8.3333333333333339</v>
          </cell>
          <cell r="AS312">
            <v>4.9451851080246936</v>
          </cell>
          <cell r="AT312">
            <v>45840</v>
          </cell>
          <cell r="AU312">
            <v>4.9451851080246936</v>
          </cell>
          <cell r="AV312">
            <v>250.00000000000003</v>
          </cell>
          <cell r="AW312">
            <v>4.9451851080246936</v>
          </cell>
          <cell r="AY312">
            <v>403.46369178241002</v>
          </cell>
          <cell r="AZ312" t="str">
            <v>F18</v>
          </cell>
          <cell r="BA312">
            <v>9.32</v>
          </cell>
          <cell r="BB312" t="str">
            <v>NSSC</v>
          </cell>
          <cell r="BC312" t="str">
            <v>F18</v>
          </cell>
        </row>
        <row r="313">
          <cell r="A313" t="str">
            <v>528E1</v>
          </cell>
          <cell r="B313" t="str">
            <v>3</v>
          </cell>
          <cell r="C313" t="str">
            <v>05</v>
          </cell>
          <cell r="D313">
            <v>18</v>
          </cell>
          <cell r="E313" t="str">
            <v>528E1</v>
          </cell>
          <cell r="F313">
            <v>10.51</v>
          </cell>
          <cell r="G313">
            <v>8.98</v>
          </cell>
          <cell r="H313">
            <v>8.98</v>
          </cell>
          <cell r="I313" t="str">
            <v>FC</v>
          </cell>
          <cell r="J313" t="str">
            <v>ST</v>
          </cell>
          <cell r="K313">
            <v>14</v>
          </cell>
          <cell r="L313">
            <v>45906</v>
          </cell>
          <cell r="M313">
            <v>45906</v>
          </cell>
          <cell r="N313">
            <v>88</v>
          </cell>
          <cell r="O313" t="str">
            <v>NS</v>
          </cell>
          <cell r="P313" t="str">
            <v>NSF18CK3</v>
          </cell>
          <cell r="Q313">
            <v>46333</v>
          </cell>
          <cell r="R313" t="str">
            <v/>
          </cell>
          <cell r="S313" t="str">
            <v/>
          </cell>
          <cell r="T313" t="str">
            <v/>
          </cell>
          <cell r="U313">
            <v>69996</v>
          </cell>
          <cell r="V313">
            <v>50900</v>
          </cell>
          <cell r="W313">
            <v>44796</v>
          </cell>
          <cell r="X313" t="str">
            <v>Lokasi Produksi 528E1 ( pecahan 528E )</v>
          </cell>
          <cell r="Z313">
            <v>14</v>
          </cell>
          <cell r="AA313">
            <v>46333</v>
          </cell>
          <cell r="AB313">
            <v>211.59733611111005</v>
          </cell>
          <cell r="AC313">
            <v>7.0532445370370018</v>
          </cell>
          <cell r="AD313">
            <v>-4.9467554629629982</v>
          </cell>
          <cell r="AE313">
            <v>8.5399999999999991</v>
          </cell>
          <cell r="AF313">
            <v>0</v>
          </cell>
          <cell r="AG313">
            <v>-1367.6333333333334</v>
          </cell>
          <cell r="AK313">
            <v>40338</v>
          </cell>
          <cell r="AM313" t="str">
            <v>OK</v>
          </cell>
          <cell r="AO313">
            <v>2.9451851080246949</v>
          </cell>
          <cell r="AP313">
            <v>-11.054814891975305</v>
          </cell>
          <cell r="AQ313">
            <v>0</v>
          </cell>
          <cell r="AR313">
            <v>2.9451851080246949</v>
          </cell>
          <cell r="AS313">
            <v>0</v>
          </cell>
          <cell r="AT313">
            <v>46333</v>
          </cell>
          <cell r="AU313">
            <v>-11.054814891975305</v>
          </cell>
          <cell r="AV313">
            <v>88.355553240740846</v>
          </cell>
          <cell r="AW313">
            <v>-11.054814891975305</v>
          </cell>
          <cell r="AY313">
            <v>93.463691782410024</v>
          </cell>
          <cell r="AZ313" t="str">
            <v>F18</v>
          </cell>
          <cell r="BA313">
            <v>8.98</v>
          </cell>
          <cell r="BB313" t="str">
            <v>NSFC</v>
          </cell>
          <cell r="BC313" t="str">
            <v>F18CK</v>
          </cell>
        </row>
        <row r="314">
          <cell r="A314" t="str">
            <v>528E2</v>
          </cell>
          <cell r="B314" t="str">
            <v>3</v>
          </cell>
          <cell r="C314" t="str">
            <v>05</v>
          </cell>
          <cell r="D314">
            <v>18</v>
          </cell>
          <cell r="E314" t="str">
            <v>528E2</v>
          </cell>
          <cell r="F314">
            <v>11.6</v>
          </cell>
          <cell r="G314">
            <v>9.77</v>
          </cell>
          <cell r="H314">
            <v>9.77</v>
          </cell>
          <cell r="I314" t="str">
            <v>FC</v>
          </cell>
          <cell r="J314" t="str">
            <v>ST</v>
          </cell>
          <cell r="K314">
            <v>14</v>
          </cell>
          <cell r="L314">
            <v>45899</v>
          </cell>
          <cell r="M314">
            <v>45899</v>
          </cell>
          <cell r="N314">
            <v>95</v>
          </cell>
          <cell r="O314" t="str">
            <v>NS</v>
          </cell>
          <cell r="P314" t="str">
            <v>NSF18CK3</v>
          </cell>
          <cell r="Q314">
            <v>46326</v>
          </cell>
          <cell r="R314" t="str">
            <v/>
          </cell>
          <cell r="S314" t="str">
            <v/>
          </cell>
          <cell r="T314" t="str">
            <v/>
          </cell>
          <cell r="U314">
            <v>68733</v>
          </cell>
          <cell r="V314">
            <v>50745</v>
          </cell>
          <cell r="W314">
            <v>44805</v>
          </cell>
          <cell r="X314" t="str">
            <v>Lokasi Produksi 528E2 ( pecahan 528E )</v>
          </cell>
          <cell r="Z314">
            <v>14</v>
          </cell>
          <cell r="AA314">
            <v>46326</v>
          </cell>
          <cell r="AB314">
            <v>201.59733611111005</v>
          </cell>
          <cell r="AC314">
            <v>6.7199112037036688</v>
          </cell>
          <cell r="AD314">
            <v>-5.2800887962963312</v>
          </cell>
          <cell r="AE314">
            <v>14.21</v>
          </cell>
          <cell r="AF314">
            <v>0</v>
          </cell>
          <cell r="AG314">
            <v>-1367.9666666666667</v>
          </cell>
          <cell r="AK314">
            <v>40464</v>
          </cell>
          <cell r="AM314" t="str">
            <v>OK</v>
          </cell>
          <cell r="AO314">
            <v>3.1785184413580283</v>
          </cell>
          <cell r="AP314">
            <v>-10.821481558641972</v>
          </cell>
          <cell r="AQ314">
            <v>0</v>
          </cell>
          <cell r="AR314">
            <v>3.1785184413580283</v>
          </cell>
          <cell r="AS314">
            <v>0</v>
          </cell>
          <cell r="AT314">
            <v>46326</v>
          </cell>
          <cell r="AU314">
            <v>-10.821481558641972</v>
          </cell>
          <cell r="AV314">
            <v>95.355553240740846</v>
          </cell>
          <cell r="AW314">
            <v>-10.821481558641972</v>
          </cell>
          <cell r="AY314">
            <v>100.46369178241002</v>
          </cell>
          <cell r="AZ314" t="str">
            <v>F18</v>
          </cell>
          <cell r="BA314">
            <v>9.77</v>
          </cell>
          <cell r="BB314" t="str">
            <v>NSFC</v>
          </cell>
          <cell r="BC314" t="str">
            <v>F18CK</v>
          </cell>
        </row>
        <row r="315">
          <cell r="A315" t="str">
            <v>528F</v>
          </cell>
          <cell r="B315" t="str">
            <v>3</v>
          </cell>
          <cell r="C315" t="str">
            <v>05</v>
          </cell>
          <cell r="D315">
            <v>18</v>
          </cell>
          <cell r="E315" t="str">
            <v>528F</v>
          </cell>
          <cell r="F315">
            <v>11.21</v>
          </cell>
          <cell r="G315">
            <v>9.08</v>
          </cell>
          <cell r="H315">
            <v>9.08</v>
          </cell>
          <cell r="I315" t="str">
            <v>SR</v>
          </cell>
          <cell r="J315" t="str">
            <v>SC</v>
          </cell>
          <cell r="K315">
            <v>0</v>
          </cell>
          <cell r="L315">
            <v>45895</v>
          </cell>
          <cell r="M315">
            <v>45895</v>
          </cell>
          <cell r="N315">
            <v>99</v>
          </cell>
          <cell r="O315" t="str">
            <v>NS</v>
          </cell>
          <cell r="P315" t="str">
            <v/>
          </cell>
          <cell r="Q315">
            <v>45895</v>
          </cell>
          <cell r="R315" t="str">
            <v/>
          </cell>
          <cell r="S315" t="str">
            <v/>
          </cell>
          <cell r="T315" t="str">
            <v/>
          </cell>
          <cell r="U315">
            <v>70848</v>
          </cell>
          <cell r="V315">
            <v>51254</v>
          </cell>
          <cell r="W315">
            <v>44906</v>
          </cell>
          <cell r="X315" t="str">
            <v>Lokasi Produksi 528F</v>
          </cell>
          <cell r="Z315">
            <v>0</v>
          </cell>
          <cell r="AA315">
            <v>45895</v>
          </cell>
          <cell r="AB315">
            <v>314.59733611111005</v>
          </cell>
          <cell r="AC315">
            <v>10.486577870370335</v>
          </cell>
          <cell r="AD315">
            <v>-20</v>
          </cell>
          <cell r="AE315">
            <v>0</v>
          </cell>
          <cell r="AF315">
            <v>0</v>
          </cell>
          <cell r="AG315">
            <v>-1364.2</v>
          </cell>
          <cell r="AM315" t="str">
            <v>OK</v>
          </cell>
          <cell r="AO315">
            <v>3.3118517746913616</v>
          </cell>
          <cell r="AP315">
            <v>3.3118517746913616</v>
          </cell>
          <cell r="AQ315">
            <v>0</v>
          </cell>
          <cell r="AR315">
            <v>3.3118517746913616</v>
          </cell>
          <cell r="AS315">
            <v>0</v>
          </cell>
          <cell r="AT315">
            <v>45895</v>
          </cell>
          <cell r="AU315">
            <v>3.3118517746913616</v>
          </cell>
          <cell r="AV315">
            <v>99.355553240740846</v>
          </cell>
          <cell r="AW315">
            <v>3.3118517746913616</v>
          </cell>
          <cell r="AY315">
            <v>104.46369178241002</v>
          </cell>
          <cell r="AZ315" t="str">
            <v>F18</v>
          </cell>
          <cell r="BA315">
            <v>0</v>
          </cell>
          <cell r="BB315" t="str">
            <v>NSSR</v>
          </cell>
          <cell r="BC315" t="str">
            <v>F18</v>
          </cell>
        </row>
        <row r="316">
          <cell r="A316" t="str">
            <v>529A1</v>
          </cell>
          <cell r="B316" t="str">
            <v>3</v>
          </cell>
          <cell r="C316" t="str">
            <v>05</v>
          </cell>
          <cell r="D316">
            <v>18</v>
          </cell>
          <cell r="E316" t="str">
            <v>529A1</v>
          </cell>
          <cell r="F316">
            <v>6.89</v>
          </cell>
          <cell r="G316">
            <v>5.49</v>
          </cell>
          <cell r="H316">
            <v>5.49</v>
          </cell>
          <cell r="I316" t="str">
            <v>SC</v>
          </cell>
          <cell r="J316" t="str">
            <v>FC</v>
          </cell>
          <cell r="K316">
            <v>8</v>
          </cell>
          <cell r="L316">
            <v>45762</v>
          </cell>
          <cell r="M316">
            <v>45762</v>
          </cell>
          <cell r="N316">
            <v>232</v>
          </cell>
          <cell r="O316" t="str">
            <v>NS</v>
          </cell>
          <cell r="P316" t="str">
            <v/>
          </cell>
          <cell r="Q316">
            <v>46006</v>
          </cell>
          <cell r="R316" t="str">
            <v/>
          </cell>
          <cell r="S316" t="str">
            <v/>
          </cell>
          <cell r="T316">
            <v>45988</v>
          </cell>
          <cell r="U316">
            <v>69855</v>
          </cell>
          <cell r="V316">
            <v>69996</v>
          </cell>
          <cell r="W316">
            <v>44237</v>
          </cell>
          <cell r="X316" t="str">
            <v>Lokasi Produksi 529A1 ( pecahan 529A )</v>
          </cell>
          <cell r="Z316">
            <v>8</v>
          </cell>
          <cell r="AA316">
            <v>46006</v>
          </cell>
          <cell r="AB316">
            <v>5306.5973361111101</v>
          </cell>
          <cell r="AC316">
            <v>176.88657787037033</v>
          </cell>
          <cell r="AD316">
            <v>-20</v>
          </cell>
          <cell r="AE316">
            <v>0</v>
          </cell>
          <cell r="AF316">
            <v>0</v>
          </cell>
          <cell r="AG316">
            <v>-1197.8</v>
          </cell>
          <cell r="AM316" t="str">
            <v>OK</v>
          </cell>
          <cell r="AO316">
            <v>7.7451851080246952</v>
          </cell>
          <cell r="AP316">
            <v>-0.25481489197530482</v>
          </cell>
          <cell r="AQ316">
            <v>45988</v>
          </cell>
          <cell r="AR316">
            <v>7.5333333333333332</v>
          </cell>
          <cell r="AS316">
            <v>0.21185177469136196</v>
          </cell>
          <cell r="AT316">
            <v>46006</v>
          </cell>
          <cell r="AU316">
            <v>0.21185177469136196</v>
          </cell>
          <cell r="AV316">
            <v>226</v>
          </cell>
          <cell r="AW316">
            <v>0.21185177469136196</v>
          </cell>
          <cell r="AY316">
            <v>237.46369178241002</v>
          </cell>
          <cell r="AZ316" t="str">
            <v>F18</v>
          </cell>
          <cell r="BA316">
            <v>5.49</v>
          </cell>
          <cell r="BB316" t="str">
            <v>NSSC</v>
          </cell>
          <cell r="BC316" t="str">
            <v>F18</v>
          </cell>
        </row>
        <row r="317">
          <cell r="A317" t="str">
            <v>529A2</v>
          </cell>
          <cell r="B317" t="str">
            <v>3</v>
          </cell>
          <cell r="C317" t="str">
            <v>05</v>
          </cell>
          <cell r="D317">
            <v>18</v>
          </cell>
          <cell r="E317" t="str">
            <v>529A2</v>
          </cell>
          <cell r="F317">
            <v>11.3</v>
          </cell>
          <cell r="G317">
            <v>9.06</v>
          </cell>
          <cell r="H317">
            <v>9.06</v>
          </cell>
          <cell r="I317" t="str">
            <v>SC</v>
          </cell>
          <cell r="J317" t="str">
            <v>FC</v>
          </cell>
          <cell r="K317">
            <v>8</v>
          </cell>
          <cell r="L317">
            <v>45765</v>
          </cell>
          <cell r="M317">
            <v>45765</v>
          </cell>
          <cell r="N317">
            <v>229</v>
          </cell>
          <cell r="O317" t="str">
            <v>NS</v>
          </cell>
          <cell r="P317" t="str">
            <v/>
          </cell>
          <cell r="Q317">
            <v>46009</v>
          </cell>
          <cell r="R317" t="str">
            <v/>
          </cell>
          <cell r="S317" t="str">
            <v/>
          </cell>
          <cell r="T317">
            <v>45988</v>
          </cell>
          <cell r="U317">
            <v>70074</v>
          </cell>
          <cell r="V317">
            <v>69352</v>
          </cell>
          <cell r="W317" t="str">
            <v/>
          </cell>
          <cell r="X317" t="str">
            <v>Lokasi Produksi 529A2 ( pecahan 529A )</v>
          </cell>
          <cell r="Z317">
            <v>8</v>
          </cell>
          <cell r="AA317">
            <v>46009</v>
          </cell>
          <cell r="AB317">
            <v>384.59733611111005</v>
          </cell>
          <cell r="AC317">
            <v>12.819911203703668</v>
          </cell>
          <cell r="AD317">
            <v>4.8199112037036684</v>
          </cell>
          <cell r="AE317">
            <v>13.97</v>
          </cell>
          <cell r="AF317">
            <v>0</v>
          </cell>
          <cell r="AG317">
            <v>-1361.8666666666666</v>
          </cell>
          <cell r="AM317" t="str">
            <v>OK</v>
          </cell>
          <cell r="AO317">
            <v>7.6451851080246946</v>
          </cell>
          <cell r="AP317">
            <v>-0.35481489197530536</v>
          </cell>
          <cell r="AQ317">
            <v>45988</v>
          </cell>
          <cell r="AR317">
            <v>7.4333333333333336</v>
          </cell>
          <cell r="AS317">
            <v>0.21185177469136107</v>
          </cell>
          <cell r="AT317">
            <v>46009</v>
          </cell>
          <cell r="AU317">
            <v>0.21185177469136107</v>
          </cell>
          <cell r="AV317">
            <v>223</v>
          </cell>
          <cell r="AW317">
            <v>0.21185177469136107</v>
          </cell>
          <cell r="AY317">
            <v>234.46369178241002</v>
          </cell>
          <cell r="AZ317" t="str">
            <v>F18</v>
          </cell>
          <cell r="BA317">
            <v>9.06</v>
          </cell>
          <cell r="BB317" t="str">
            <v>NSSC</v>
          </cell>
          <cell r="BC317" t="str">
            <v>F18</v>
          </cell>
        </row>
        <row r="318">
          <cell r="A318" t="str">
            <v>529B</v>
          </cell>
          <cell r="B318" t="str">
            <v>3</v>
          </cell>
          <cell r="C318" t="str">
            <v>05</v>
          </cell>
          <cell r="D318">
            <v>18</v>
          </cell>
          <cell r="E318" t="str">
            <v>529B</v>
          </cell>
          <cell r="F318">
            <v>11.49</v>
          </cell>
          <cell r="G318">
            <v>9.09</v>
          </cell>
          <cell r="H318">
            <v>9.09</v>
          </cell>
          <cell r="I318" t="str">
            <v>BK</v>
          </cell>
          <cell r="J318" t="str">
            <v>SC</v>
          </cell>
          <cell r="K318">
            <v>0</v>
          </cell>
          <cell r="L318">
            <v>45895</v>
          </cell>
          <cell r="M318">
            <v>45895</v>
          </cell>
          <cell r="N318">
            <v>99</v>
          </cell>
          <cell r="O318" t="str">
            <v>NS</v>
          </cell>
          <cell r="P318" t="str">
            <v/>
          </cell>
          <cell r="Q318">
            <v>45895</v>
          </cell>
          <cell r="R318" t="str">
            <v/>
          </cell>
          <cell r="S318" t="str">
            <v/>
          </cell>
          <cell r="T318" t="str">
            <v/>
          </cell>
          <cell r="U318">
            <v>70001</v>
          </cell>
          <cell r="V318">
            <v>50754</v>
          </cell>
          <cell r="W318">
            <v>44617</v>
          </cell>
          <cell r="X318" t="str">
            <v>Lokasi Produksi 529B</v>
          </cell>
          <cell r="Z318">
            <v>0</v>
          </cell>
          <cell r="AA318">
            <v>45895</v>
          </cell>
          <cell r="AB318">
            <v>368.59733611111005</v>
          </cell>
          <cell r="AC318">
            <v>12.286577870370335</v>
          </cell>
          <cell r="AD318">
            <v>-3.7134221296296648</v>
          </cell>
          <cell r="AE318">
            <v>13.35</v>
          </cell>
          <cell r="AF318">
            <v>0</v>
          </cell>
          <cell r="AG318">
            <v>-1362.4</v>
          </cell>
          <cell r="AK318">
            <v>40302</v>
          </cell>
          <cell r="AM318" t="str">
            <v>OK</v>
          </cell>
          <cell r="AO318">
            <v>3.3118517746913616</v>
          </cell>
          <cell r="AP318">
            <v>3.3118517746913616</v>
          </cell>
          <cell r="AQ318">
            <v>0</v>
          </cell>
          <cell r="AR318">
            <v>3.3118517746913616</v>
          </cell>
          <cell r="AS318">
            <v>0</v>
          </cell>
          <cell r="AT318">
            <v>45895</v>
          </cell>
          <cell r="AU318">
            <v>3.3118517746913616</v>
          </cell>
          <cell r="AV318">
            <v>99.355553240740846</v>
          </cell>
          <cell r="AW318">
            <v>3.3118517746913616</v>
          </cell>
          <cell r="AY318">
            <v>104.46369178241002</v>
          </cell>
          <cell r="AZ318" t="str">
            <v>F18</v>
          </cell>
          <cell r="BA318">
            <v>0</v>
          </cell>
          <cell r="BB318" t="str">
            <v>NSBK</v>
          </cell>
          <cell r="BC318" t="str">
            <v>F18</v>
          </cell>
        </row>
        <row r="319">
          <cell r="A319" t="str">
            <v>529F</v>
          </cell>
          <cell r="B319" t="str">
            <v>3</v>
          </cell>
          <cell r="C319" t="str">
            <v>05</v>
          </cell>
          <cell r="D319">
            <v>18</v>
          </cell>
          <cell r="E319" t="str">
            <v>529F</v>
          </cell>
          <cell r="F319">
            <v>10.3</v>
          </cell>
          <cell r="G319">
            <v>8.59</v>
          </cell>
          <cell r="H319">
            <v>8.59</v>
          </cell>
          <cell r="I319" t="str">
            <v>ST</v>
          </cell>
          <cell r="J319" t="str">
            <v>BK</v>
          </cell>
          <cell r="K319">
            <v>0</v>
          </cell>
          <cell r="L319">
            <v>45962</v>
          </cell>
          <cell r="M319">
            <v>45962</v>
          </cell>
          <cell r="N319">
            <v>32</v>
          </cell>
          <cell r="O319" t="str">
            <v>NS</v>
          </cell>
          <cell r="P319" t="str">
            <v/>
          </cell>
          <cell r="Q319">
            <v>45962</v>
          </cell>
          <cell r="R319" t="str">
            <v/>
          </cell>
          <cell r="S319" t="str">
            <v/>
          </cell>
          <cell r="T319" t="str">
            <v/>
          </cell>
          <cell r="U319">
            <v>69730</v>
          </cell>
          <cell r="V319">
            <v>50668</v>
          </cell>
          <cell r="W319">
            <v>44504</v>
          </cell>
          <cell r="X319" t="str">
            <v>Lokasi Produksi 529F</v>
          </cell>
          <cell r="Z319">
            <v>0</v>
          </cell>
          <cell r="AA319">
            <v>45962</v>
          </cell>
          <cell r="AB319">
            <v>200.59733611111005</v>
          </cell>
          <cell r="AC319">
            <v>6.6865778703703347</v>
          </cell>
          <cell r="AD319">
            <v>-20</v>
          </cell>
          <cell r="AE319">
            <v>0</v>
          </cell>
          <cell r="AF319">
            <v>0</v>
          </cell>
          <cell r="AG319">
            <v>-1368</v>
          </cell>
          <cell r="AM319" t="str">
            <v>OK</v>
          </cell>
          <cell r="AO319">
            <v>1.0785184413580282</v>
          </cell>
          <cell r="AP319">
            <v>1.0785184413580282</v>
          </cell>
          <cell r="AQ319">
            <v>0</v>
          </cell>
          <cell r="AR319">
            <v>1.0785184413580282</v>
          </cell>
          <cell r="AS319">
            <v>0</v>
          </cell>
          <cell r="AT319">
            <v>45962</v>
          </cell>
          <cell r="AU319">
            <v>1.0785184413580282</v>
          </cell>
          <cell r="AV319">
            <v>32.355553240740846</v>
          </cell>
          <cell r="AW319">
            <v>1.0785184413580282</v>
          </cell>
          <cell r="AY319">
            <v>37.463691782410024</v>
          </cell>
          <cell r="AZ319" t="str">
            <v>F18</v>
          </cell>
          <cell r="BA319">
            <v>0</v>
          </cell>
          <cell r="BB319" t="str">
            <v>NSST</v>
          </cell>
          <cell r="BC319" t="str">
            <v>F18</v>
          </cell>
        </row>
        <row r="320">
          <cell r="A320" t="str">
            <v>529FS1</v>
          </cell>
          <cell r="B320" t="str">
            <v>3</v>
          </cell>
          <cell r="C320" t="str">
            <v>05</v>
          </cell>
          <cell r="D320">
            <v>18</v>
          </cell>
          <cell r="E320" t="str">
            <v>529FS1</v>
          </cell>
          <cell r="F320">
            <v>0.15</v>
          </cell>
          <cell r="G320">
            <v>0.15</v>
          </cell>
          <cell r="H320">
            <v>0.15</v>
          </cell>
          <cell r="I320" t="str">
            <v>FC</v>
          </cell>
          <cell r="J320" t="str">
            <v>ST</v>
          </cell>
          <cell r="K320">
            <v>0</v>
          </cell>
          <cell r="L320">
            <v>45968</v>
          </cell>
          <cell r="M320">
            <v>45968</v>
          </cell>
          <cell r="N320">
            <v>26</v>
          </cell>
          <cell r="O320" t="str">
            <v>SK</v>
          </cell>
          <cell r="P320" t="str">
            <v/>
          </cell>
          <cell r="Q320">
            <v>45968</v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>Lokasi Produksi 529FS1 ( singkong )</v>
          </cell>
          <cell r="Z320">
            <v>0</v>
          </cell>
          <cell r="AA320">
            <v>45968</v>
          </cell>
          <cell r="AM320" t="str">
            <v>OK</v>
          </cell>
          <cell r="AO320">
            <v>0.87851844135802826</v>
          </cell>
          <cell r="AP320">
            <v>0.87851844135802826</v>
          </cell>
          <cell r="AQ320">
            <v>0</v>
          </cell>
          <cell r="AR320">
            <v>0.87851844135802826</v>
          </cell>
          <cell r="AS320">
            <v>0</v>
          </cell>
          <cell r="AT320">
            <v>45968</v>
          </cell>
          <cell r="AU320">
            <v>0.87851844135802826</v>
          </cell>
          <cell r="AV320">
            <v>26.355553240740846</v>
          </cell>
          <cell r="AW320">
            <v>0.87851844135802826</v>
          </cell>
          <cell r="AY320">
            <v>31.463691782410024</v>
          </cell>
          <cell r="AZ320" t="str">
            <v>F18</v>
          </cell>
          <cell r="BA320">
            <v>0</v>
          </cell>
          <cell r="BB320" t="str">
            <v>SKFC</v>
          </cell>
          <cell r="BC320" t="str">
            <v>F18</v>
          </cell>
        </row>
        <row r="321">
          <cell r="A321" t="str">
            <v>529G</v>
          </cell>
          <cell r="B321" t="str">
            <v>3</v>
          </cell>
          <cell r="C321" t="str">
            <v>05</v>
          </cell>
          <cell r="D321">
            <v>18</v>
          </cell>
          <cell r="E321" t="str">
            <v>529G</v>
          </cell>
          <cell r="F321">
            <v>8.68</v>
          </cell>
          <cell r="G321">
            <v>7.04</v>
          </cell>
          <cell r="H321">
            <v>7.04</v>
          </cell>
          <cell r="I321" t="str">
            <v>SC</v>
          </cell>
          <cell r="J321" t="str">
            <v>FC</v>
          </cell>
          <cell r="K321">
            <v>8</v>
          </cell>
          <cell r="L321">
            <v>45856</v>
          </cell>
          <cell r="M321">
            <v>45856</v>
          </cell>
          <cell r="N321">
            <v>138</v>
          </cell>
          <cell r="O321" t="str">
            <v>NS</v>
          </cell>
          <cell r="P321" t="str">
            <v/>
          </cell>
          <cell r="Q321">
            <v>46100</v>
          </cell>
          <cell r="R321" t="str">
            <v/>
          </cell>
          <cell r="S321" t="str">
            <v/>
          </cell>
          <cell r="T321" t="str">
            <v/>
          </cell>
          <cell r="U321">
            <v>71324</v>
          </cell>
          <cell r="V321">
            <v>70690</v>
          </cell>
          <cell r="W321">
            <v>44167</v>
          </cell>
          <cell r="X321" t="str">
            <v>Lokasi Produksi 529G</v>
          </cell>
          <cell r="Z321">
            <v>8</v>
          </cell>
          <cell r="AA321">
            <v>46100</v>
          </cell>
          <cell r="AB321">
            <v>545.59733611111005</v>
          </cell>
          <cell r="AC321">
            <v>18.186577870370336</v>
          </cell>
          <cell r="AD321">
            <v>-20</v>
          </cell>
          <cell r="AE321">
            <v>0</v>
          </cell>
          <cell r="AF321">
            <v>0</v>
          </cell>
          <cell r="AG321">
            <v>-1356.5</v>
          </cell>
          <cell r="AK321">
            <v>40270</v>
          </cell>
          <cell r="AM321" t="str">
            <v>OK</v>
          </cell>
          <cell r="AO321">
            <v>4.6118517746913614</v>
          </cell>
          <cell r="AP321">
            <v>-3.3881482253086386</v>
          </cell>
          <cell r="AQ321">
            <v>0</v>
          </cell>
          <cell r="AR321">
            <v>4.6118517746913614</v>
          </cell>
          <cell r="AS321">
            <v>0</v>
          </cell>
          <cell r="AT321">
            <v>46100</v>
          </cell>
          <cell r="AU321">
            <v>-3.3881482253086386</v>
          </cell>
          <cell r="AV321">
            <v>138.35555324074085</v>
          </cell>
          <cell r="AW321">
            <v>-3.3881482253086386</v>
          </cell>
          <cell r="AY321">
            <v>143.46369178241002</v>
          </cell>
          <cell r="AZ321" t="str">
            <v>F18</v>
          </cell>
          <cell r="BA321">
            <v>7.04</v>
          </cell>
          <cell r="BB321" t="str">
            <v>NSSC</v>
          </cell>
          <cell r="BC321" t="str">
            <v>F18</v>
          </cell>
        </row>
        <row r="322">
          <cell r="A322" t="str">
            <v>530A</v>
          </cell>
          <cell r="B322" t="str">
            <v>3</v>
          </cell>
          <cell r="C322" t="str">
            <v>05</v>
          </cell>
          <cell r="D322">
            <v>18</v>
          </cell>
          <cell r="E322" t="str">
            <v>530A</v>
          </cell>
          <cell r="F322">
            <v>13.64</v>
          </cell>
          <cell r="G322">
            <v>11.34</v>
          </cell>
          <cell r="H322">
            <v>11.34</v>
          </cell>
          <cell r="I322" t="str">
            <v>FC</v>
          </cell>
          <cell r="J322" t="str">
            <v>ST</v>
          </cell>
          <cell r="K322">
            <v>14</v>
          </cell>
          <cell r="L322">
            <v>45650</v>
          </cell>
          <cell r="M322">
            <v>45650</v>
          </cell>
          <cell r="N322">
            <v>344</v>
          </cell>
          <cell r="O322" t="str">
            <v>NS</v>
          </cell>
          <cell r="P322" t="str">
            <v>NSGP3CK3</v>
          </cell>
          <cell r="Q322">
            <v>46077</v>
          </cell>
          <cell r="R322" t="str">
            <v/>
          </cell>
          <cell r="S322" t="str">
            <v/>
          </cell>
          <cell r="T322" t="str">
            <v/>
          </cell>
          <cell r="U322">
            <v>65075</v>
          </cell>
          <cell r="V322">
            <v>65827</v>
          </cell>
          <cell r="W322">
            <v>44426</v>
          </cell>
          <cell r="X322" t="str">
            <v>Lokasi Produksi 530A</v>
          </cell>
          <cell r="Z322">
            <v>14</v>
          </cell>
          <cell r="AA322">
            <v>46077</v>
          </cell>
          <cell r="AB322">
            <v>509.59733611111005</v>
          </cell>
          <cell r="AC322">
            <v>16.986577870370336</v>
          </cell>
          <cell r="AD322">
            <v>-20</v>
          </cell>
          <cell r="AE322">
            <v>0</v>
          </cell>
          <cell r="AF322">
            <v>0</v>
          </cell>
          <cell r="AG322">
            <v>-1357.7</v>
          </cell>
          <cell r="AM322" t="str">
            <v>OK</v>
          </cell>
          <cell r="AO322">
            <v>11.478518441358029</v>
          </cell>
          <cell r="AP322">
            <v>-2.5214815586419714</v>
          </cell>
          <cell r="AQ322">
            <v>0</v>
          </cell>
          <cell r="AR322">
            <v>11.478518441358029</v>
          </cell>
          <cell r="AS322">
            <v>0</v>
          </cell>
          <cell r="AT322">
            <v>46077</v>
          </cell>
          <cell r="AU322">
            <v>-2.5214815586419714</v>
          </cell>
          <cell r="AV322">
            <v>344.35555324074085</v>
          </cell>
          <cell r="AW322">
            <v>-2.5214815586419714</v>
          </cell>
          <cell r="AY322">
            <v>349.46369178241002</v>
          </cell>
          <cell r="AZ322" t="str">
            <v>GP3</v>
          </cell>
          <cell r="BA322">
            <v>11.34</v>
          </cell>
          <cell r="BB322" t="str">
            <v>NSFC</v>
          </cell>
          <cell r="BC322" t="str">
            <v>GP3CK</v>
          </cell>
        </row>
        <row r="323">
          <cell r="A323" t="str">
            <v>530B1</v>
          </cell>
          <cell r="B323" t="str">
            <v>3</v>
          </cell>
          <cell r="C323" t="str">
            <v>05</v>
          </cell>
          <cell r="D323">
            <v>18</v>
          </cell>
          <cell r="E323" t="str">
            <v>530B1</v>
          </cell>
          <cell r="F323">
            <v>12.58</v>
          </cell>
          <cell r="G323">
            <v>10.68</v>
          </cell>
          <cell r="H323">
            <v>10.68</v>
          </cell>
          <cell r="I323" t="str">
            <v>FC</v>
          </cell>
          <cell r="J323" t="str">
            <v>ST</v>
          </cell>
          <cell r="K323">
            <v>12</v>
          </cell>
          <cell r="L323">
            <v>45893</v>
          </cell>
          <cell r="M323">
            <v>45893</v>
          </cell>
          <cell r="N323">
            <v>101</v>
          </cell>
          <cell r="O323" t="str">
            <v>NS</v>
          </cell>
          <cell r="P323" t="str">
            <v>NSGP3SS3</v>
          </cell>
          <cell r="Q323">
            <v>46259</v>
          </cell>
          <cell r="R323" t="str">
            <v/>
          </cell>
          <cell r="S323" t="str">
            <v/>
          </cell>
          <cell r="T323" t="str">
            <v/>
          </cell>
          <cell r="U323">
            <v>68746</v>
          </cell>
          <cell r="V323">
            <v>50825</v>
          </cell>
          <cell r="W323">
            <v>44440</v>
          </cell>
          <cell r="X323" t="str">
            <v>Lokasi Produksi 530B1 ( pecahan 530B1 )</v>
          </cell>
          <cell r="Z323">
            <v>12</v>
          </cell>
          <cell r="AA323">
            <v>46259</v>
          </cell>
          <cell r="AB323">
            <v>594.59733611111005</v>
          </cell>
          <cell r="AC323">
            <v>19.819911203703668</v>
          </cell>
          <cell r="AD323">
            <v>-20</v>
          </cell>
          <cell r="AE323">
            <v>0</v>
          </cell>
          <cell r="AF323">
            <v>0</v>
          </cell>
          <cell r="AG323">
            <v>-1354.8666666666666</v>
          </cell>
          <cell r="AM323" t="str">
            <v>OK</v>
          </cell>
          <cell r="AO323">
            <v>3.378518441358028</v>
          </cell>
          <cell r="AP323">
            <v>-8.6214815586419711</v>
          </cell>
          <cell r="AQ323">
            <v>0</v>
          </cell>
          <cell r="AR323">
            <v>3.378518441358028</v>
          </cell>
          <cell r="AS323">
            <v>0</v>
          </cell>
          <cell r="AT323">
            <v>46259</v>
          </cell>
          <cell r="AU323">
            <v>-8.6214815586419711</v>
          </cell>
          <cell r="AV323">
            <v>101.35555324074085</v>
          </cell>
          <cell r="AW323">
            <v>-8.6214815586419711</v>
          </cell>
          <cell r="AY323">
            <v>106.46369178241002</v>
          </cell>
          <cell r="AZ323" t="str">
            <v>GP3</v>
          </cell>
          <cell r="BA323">
            <v>10.68</v>
          </cell>
          <cell r="BB323" t="str">
            <v>NSFC</v>
          </cell>
          <cell r="BC323" t="str">
            <v>GP3SS</v>
          </cell>
        </row>
        <row r="324">
          <cell r="A324" t="str">
            <v>530B2</v>
          </cell>
          <cell r="B324" t="str">
            <v>3</v>
          </cell>
          <cell r="C324" t="str">
            <v>05</v>
          </cell>
          <cell r="D324">
            <v>18</v>
          </cell>
          <cell r="E324" t="str">
            <v>530B2</v>
          </cell>
          <cell r="F324">
            <v>10.4</v>
          </cell>
          <cell r="G324">
            <v>8.7899999999999991</v>
          </cell>
          <cell r="H324">
            <v>8.7899999999999991</v>
          </cell>
          <cell r="I324" t="str">
            <v>FC</v>
          </cell>
          <cell r="J324" t="str">
            <v>ST</v>
          </cell>
          <cell r="K324">
            <v>14</v>
          </cell>
          <cell r="L324">
            <v>45890</v>
          </cell>
          <cell r="M324">
            <v>45890</v>
          </cell>
          <cell r="N324">
            <v>104</v>
          </cell>
          <cell r="O324" t="str">
            <v>NS</v>
          </cell>
          <cell r="P324" t="str">
            <v>NSF18CK3</v>
          </cell>
          <cell r="Q324">
            <v>46317</v>
          </cell>
          <cell r="R324" t="str">
            <v/>
          </cell>
          <cell r="S324" t="str">
            <v/>
          </cell>
          <cell r="T324" t="str">
            <v/>
          </cell>
          <cell r="U324">
            <v>61641</v>
          </cell>
          <cell r="V324">
            <v>51245</v>
          </cell>
          <cell r="W324">
            <v>44834</v>
          </cell>
          <cell r="X324" t="str">
            <v>Lokasi Produksi 530B2 ( pecahan 530E )</v>
          </cell>
          <cell r="Z324">
            <v>14</v>
          </cell>
          <cell r="AA324">
            <v>46317</v>
          </cell>
          <cell r="AB324">
            <v>545.59733611111005</v>
          </cell>
          <cell r="AC324">
            <v>18.186577870370336</v>
          </cell>
          <cell r="AD324">
            <v>-20</v>
          </cell>
          <cell r="AE324">
            <v>0</v>
          </cell>
          <cell r="AF324">
            <v>0</v>
          </cell>
          <cell r="AG324">
            <v>-1356.5</v>
          </cell>
          <cell r="AM324" t="str">
            <v>OK</v>
          </cell>
          <cell r="AO324">
            <v>3.4785184413580281</v>
          </cell>
          <cell r="AP324">
            <v>-10.521481558641971</v>
          </cell>
          <cell r="AQ324">
            <v>0</v>
          </cell>
          <cell r="AR324">
            <v>3.4785184413580281</v>
          </cell>
          <cell r="AS324">
            <v>0</v>
          </cell>
          <cell r="AT324">
            <v>46317</v>
          </cell>
          <cell r="AU324">
            <v>-10.521481558641971</v>
          </cell>
          <cell r="AV324">
            <v>104.35555324074085</v>
          </cell>
          <cell r="AW324">
            <v>-10.521481558641971</v>
          </cell>
          <cell r="AY324">
            <v>109.46369178241002</v>
          </cell>
          <cell r="AZ324" t="str">
            <v>F18</v>
          </cell>
          <cell r="BA324">
            <v>8.7899999999999991</v>
          </cell>
          <cell r="BB324" t="str">
            <v>NSFC</v>
          </cell>
          <cell r="BC324" t="str">
            <v>F18CK</v>
          </cell>
        </row>
        <row r="325">
          <cell r="A325" t="str">
            <v>530C</v>
          </cell>
          <cell r="B325" t="str">
            <v>3</v>
          </cell>
          <cell r="C325" t="str">
            <v>05</v>
          </cell>
          <cell r="D325">
            <v>18</v>
          </cell>
          <cell r="E325" t="str">
            <v>530C</v>
          </cell>
          <cell r="F325">
            <v>12.14</v>
          </cell>
          <cell r="G325">
            <v>10.210000000000001</v>
          </cell>
          <cell r="H325">
            <v>10.210000000000001</v>
          </cell>
          <cell r="I325" t="str">
            <v>FC</v>
          </cell>
          <cell r="J325" t="str">
            <v>ST</v>
          </cell>
          <cell r="K325">
            <v>14</v>
          </cell>
          <cell r="L325">
            <v>45810</v>
          </cell>
          <cell r="M325">
            <v>45810</v>
          </cell>
          <cell r="N325">
            <v>184</v>
          </cell>
          <cell r="O325" t="str">
            <v>NS</v>
          </cell>
          <cell r="P325" t="str">
            <v>NSF18CK3</v>
          </cell>
          <cell r="Q325">
            <v>46237</v>
          </cell>
          <cell r="R325" t="str">
            <v/>
          </cell>
          <cell r="S325" t="str">
            <v/>
          </cell>
          <cell r="T325" t="str">
            <v/>
          </cell>
          <cell r="U325">
            <v>62814</v>
          </cell>
          <cell r="V325">
            <v>52588</v>
          </cell>
          <cell r="W325">
            <v>44208</v>
          </cell>
          <cell r="X325" t="str">
            <v>Lokasi Produksi 530C</v>
          </cell>
          <cell r="Z325">
            <v>14</v>
          </cell>
          <cell r="AA325">
            <v>46237</v>
          </cell>
          <cell r="AB325">
            <v>200.59733611111005</v>
          </cell>
          <cell r="AC325">
            <v>6.6865778703703347</v>
          </cell>
          <cell r="AD325">
            <v>-20</v>
          </cell>
          <cell r="AE325">
            <v>0</v>
          </cell>
          <cell r="AF325">
            <v>0</v>
          </cell>
          <cell r="AG325">
            <v>-1368</v>
          </cell>
          <cell r="AK325">
            <v>40269</v>
          </cell>
          <cell r="AM325" t="str">
            <v>OK</v>
          </cell>
          <cell r="AO325">
            <v>6.1451851080246946</v>
          </cell>
          <cell r="AP325">
            <v>-7.8548148919753054</v>
          </cell>
          <cell r="AQ325">
            <v>0</v>
          </cell>
          <cell r="AR325">
            <v>6.1451851080246946</v>
          </cell>
          <cell r="AS325">
            <v>0</v>
          </cell>
          <cell r="AT325">
            <v>46237</v>
          </cell>
          <cell r="AU325">
            <v>-7.8548148919753054</v>
          </cell>
          <cell r="AV325">
            <v>184.35555324074085</v>
          </cell>
          <cell r="AW325">
            <v>-7.8548148919753054</v>
          </cell>
          <cell r="AY325">
            <v>189.46369178241002</v>
          </cell>
          <cell r="AZ325" t="str">
            <v>F18</v>
          </cell>
          <cell r="BA325">
            <v>10.210000000000001</v>
          </cell>
          <cell r="BB325" t="str">
            <v>NSFC</v>
          </cell>
          <cell r="BC325" t="str">
            <v>F18CK</v>
          </cell>
        </row>
        <row r="326">
          <cell r="A326" t="str">
            <v>530D</v>
          </cell>
          <cell r="B326" t="str">
            <v>3</v>
          </cell>
          <cell r="C326" t="str">
            <v>05</v>
          </cell>
          <cell r="D326">
            <v>18</v>
          </cell>
          <cell r="E326" t="str">
            <v>530D</v>
          </cell>
          <cell r="F326">
            <v>15.66</v>
          </cell>
          <cell r="G326">
            <v>12.92</v>
          </cell>
          <cell r="H326">
            <v>12.92</v>
          </cell>
          <cell r="I326" t="str">
            <v>FC</v>
          </cell>
          <cell r="J326" t="str">
            <v>ST</v>
          </cell>
          <cell r="K326">
            <v>14</v>
          </cell>
          <cell r="L326">
            <v>45812</v>
          </cell>
          <cell r="M326">
            <v>45812</v>
          </cell>
          <cell r="N326">
            <v>182</v>
          </cell>
          <cell r="O326" t="str">
            <v>NS</v>
          </cell>
          <cell r="P326" t="str">
            <v>NSF18CK3</v>
          </cell>
          <cell r="Q326">
            <v>46239</v>
          </cell>
          <cell r="R326" t="str">
            <v/>
          </cell>
          <cell r="S326" t="str">
            <v/>
          </cell>
          <cell r="T326" t="str">
            <v/>
          </cell>
          <cell r="U326">
            <v>66991</v>
          </cell>
          <cell r="V326">
            <v>76178</v>
          </cell>
          <cell r="W326">
            <v>43552</v>
          </cell>
          <cell r="X326" t="str">
            <v>Lokasi Produksi 530D</v>
          </cell>
          <cell r="Z326">
            <v>14</v>
          </cell>
          <cell r="AA326">
            <v>46239</v>
          </cell>
          <cell r="AB326">
            <v>46.597336111110053</v>
          </cell>
          <cell r="AC326">
            <v>1.5532445370370018</v>
          </cell>
          <cell r="AD326">
            <v>-12.446755462962997</v>
          </cell>
          <cell r="AE326">
            <v>17.63</v>
          </cell>
          <cell r="AF326">
            <v>0</v>
          </cell>
          <cell r="AG326">
            <v>-1373.1333333333334</v>
          </cell>
          <cell r="AM326" t="str">
            <v>OK</v>
          </cell>
          <cell r="AO326">
            <v>6.0785184413580282</v>
          </cell>
          <cell r="AP326">
            <v>-7.9214815586419718</v>
          </cell>
          <cell r="AQ326">
            <v>0</v>
          </cell>
          <cell r="AR326">
            <v>6.0785184413580282</v>
          </cell>
          <cell r="AS326">
            <v>0</v>
          </cell>
          <cell r="AT326">
            <v>46239</v>
          </cell>
          <cell r="AU326">
            <v>-7.9214815586419718</v>
          </cell>
          <cell r="AV326">
            <v>182.35555324074085</v>
          </cell>
          <cell r="AW326">
            <v>-7.9214815586419718</v>
          </cell>
          <cell r="AY326">
            <v>187.46369178241002</v>
          </cell>
          <cell r="AZ326" t="str">
            <v>F18</v>
          </cell>
          <cell r="BA326">
            <v>12.92</v>
          </cell>
          <cell r="BB326" t="str">
            <v>NSFC</v>
          </cell>
          <cell r="BC326" t="str">
            <v>F18CK</v>
          </cell>
        </row>
        <row r="327">
          <cell r="A327" t="str">
            <v>530E1</v>
          </cell>
          <cell r="B327" t="str">
            <v>3</v>
          </cell>
          <cell r="C327" t="str">
            <v>05</v>
          </cell>
          <cell r="D327">
            <v>18</v>
          </cell>
          <cell r="E327" t="str">
            <v>530E1</v>
          </cell>
          <cell r="F327">
            <v>5.08</v>
          </cell>
          <cell r="G327">
            <v>4.2300000000000004</v>
          </cell>
          <cell r="H327">
            <v>4.2300000000000004</v>
          </cell>
          <cell r="I327" t="str">
            <v>BB</v>
          </cell>
          <cell r="J327" t="str">
            <v>FC</v>
          </cell>
          <cell r="K327">
            <v>0</v>
          </cell>
          <cell r="L327">
            <v>45928</v>
          </cell>
          <cell r="M327">
            <v>45928</v>
          </cell>
          <cell r="N327">
            <v>66</v>
          </cell>
          <cell r="O327" t="str">
            <v>NS</v>
          </cell>
          <cell r="P327" t="str">
            <v/>
          </cell>
          <cell r="Q327">
            <v>45928</v>
          </cell>
          <cell r="R327" t="str">
            <v/>
          </cell>
          <cell r="S327" t="str">
            <v/>
          </cell>
          <cell r="T327" t="str">
            <v/>
          </cell>
          <cell r="U327">
            <v>69401</v>
          </cell>
          <cell r="V327">
            <v>69337</v>
          </cell>
          <cell r="W327">
            <v>44185</v>
          </cell>
          <cell r="X327" t="str">
            <v>Lokasi Produksi 530E1 ( pecahan 530E )</v>
          </cell>
          <cell r="Z327">
            <v>0</v>
          </cell>
          <cell r="AA327">
            <v>45928</v>
          </cell>
          <cell r="AB327">
            <v>46.597336111110053</v>
          </cell>
          <cell r="AC327">
            <v>1.5532445370370018</v>
          </cell>
          <cell r="AD327">
            <v>-10.446755462962997</v>
          </cell>
          <cell r="AE327">
            <v>13.56</v>
          </cell>
          <cell r="AF327">
            <v>0</v>
          </cell>
          <cell r="AG327">
            <v>-1373.1333333333334</v>
          </cell>
          <cell r="AM327" t="str">
            <v>OK</v>
          </cell>
          <cell r="AO327">
            <v>2.2118517746913615</v>
          </cell>
          <cell r="AP327">
            <v>2.2118517746913615</v>
          </cell>
          <cell r="AQ327">
            <v>0</v>
          </cell>
          <cell r="AR327">
            <v>2.2118517746913615</v>
          </cell>
          <cell r="AS327">
            <v>0</v>
          </cell>
          <cell r="AT327">
            <v>45928</v>
          </cell>
          <cell r="AU327">
            <v>2.2118517746913615</v>
          </cell>
          <cell r="AV327">
            <v>66.355553240740846</v>
          </cell>
          <cell r="AW327">
            <v>2.2118517746913615</v>
          </cell>
          <cell r="AY327">
            <v>71.463691782410024</v>
          </cell>
          <cell r="AZ327" t="str">
            <v>F18</v>
          </cell>
          <cell r="BA327">
            <v>0</v>
          </cell>
          <cell r="BB327" t="str">
            <v>NSBB</v>
          </cell>
          <cell r="BC327" t="str">
            <v>F18</v>
          </cell>
        </row>
        <row r="328">
          <cell r="A328" t="str">
            <v>530E2</v>
          </cell>
          <cell r="B328" t="str">
            <v>3</v>
          </cell>
          <cell r="C328" t="str">
            <v>05</v>
          </cell>
          <cell r="D328">
            <v>18</v>
          </cell>
          <cell r="E328" t="str">
            <v>530E2</v>
          </cell>
          <cell r="F328">
            <v>7.23</v>
          </cell>
          <cell r="G328">
            <v>6.05</v>
          </cell>
          <cell r="H328">
            <v>6.05</v>
          </cell>
          <cell r="I328" t="str">
            <v>BB</v>
          </cell>
          <cell r="J328" t="str">
            <v>FC</v>
          </cell>
          <cell r="K328">
            <v>0</v>
          </cell>
          <cell r="L328">
            <v>45940</v>
          </cell>
          <cell r="M328">
            <v>45940</v>
          </cell>
          <cell r="N328">
            <v>54</v>
          </cell>
          <cell r="O328" t="str">
            <v>NS</v>
          </cell>
          <cell r="P328" t="str">
            <v/>
          </cell>
          <cell r="Q328">
            <v>45940</v>
          </cell>
          <cell r="R328" t="str">
            <v/>
          </cell>
          <cell r="S328" t="str">
            <v/>
          </cell>
          <cell r="T328" t="str">
            <v/>
          </cell>
          <cell r="U328">
            <v>69291</v>
          </cell>
          <cell r="V328">
            <v>68661</v>
          </cell>
          <cell r="W328">
            <v>44185</v>
          </cell>
          <cell r="X328" t="str">
            <v>Lokasi Produksi 530E2 ( pecahan 530E )</v>
          </cell>
          <cell r="Z328">
            <v>0</v>
          </cell>
          <cell r="AA328">
            <v>45940</v>
          </cell>
          <cell r="AB328">
            <v>363.59733611111005</v>
          </cell>
          <cell r="AC328">
            <v>12.119911203703669</v>
          </cell>
          <cell r="AD328">
            <v>-1.8800887962963309</v>
          </cell>
          <cell r="AE328">
            <v>17.46</v>
          </cell>
          <cell r="AF328">
            <v>0</v>
          </cell>
          <cell r="AG328">
            <v>-1362.5666666666666</v>
          </cell>
          <cell r="AK328">
            <v>40350</v>
          </cell>
          <cell r="AM328" t="str">
            <v>OK</v>
          </cell>
          <cell r="AO328">
            <v>1.8118517746913616</v>
          </cell>
          <cell r="AP328">
            <v>1.8118517746913616</v>
          </cell>
          <cell r="AQ328">
            <v>0</v>
          </cell>
          <cell r="AR328">
            <v>1.8118517746913616</v>
          </cell>
          <cell r="AS328">
            <v>0</v>
          </cell>
          <cell r="AT328">
            <v>45940</v>
          </cell>
          <cell r="AU328">
            <v>1.8118517746913616</v>
          </cell>
          <cell r="AV328">
            <v>54.355553240740846</v>
          </cell>
          <cell r="AW328">
            <v>1.8118517746913616</v>
          </cell>
          <cell r="AY328">
            <v>59.463691782410024</v>
          </cell>
          <cell r="AZ328" t="str">
            <v>F18</v>
          </cell>
          <cell r="BA328">
            <v>0</v>
          </cell>
          <cell r="BB328" t="str">
            <v>NSBB</v>
          </cell>
          <cell r="BC328" t="str">
            <v>F18</v>
          </cell>
        </row>
        <row r="329">
          <cell r="A329" t="str">
            <v>530E3</v>
          </cell>
          <cell r="B329" t="str">
            <v>3</v>
          </cell>
          <cell r="C329" t="str">
            <v>05</v>
          </cell>
          <cell r="D329">
            <v>18</v>
          </cell>
          <cell r="E329" t="str">
            <v>530E3</v>
          </cell>
          <cell r="F329">
            <v>11.49</v>
          </cell>
          <cell r="G329">
            <v>9.9499999999999993</v>
          </cell>
          <cell r="H329">
            <v>9.9499999999999993</v>
          </cell>
          <cell r="I329" t="str">
            <v>FC</v>
          </cell>
          <cell r="J329" t="str">
            <v>ST</v>
          </cell>
          <cell r="K329">
            <v>12</v>
          </cell>
          <cell r="L329">
            <v>45513</v>
          </cell>
          <cell r="M329">
            <v>45513</v>
          </cell>
          <cell r="N329">
            <v>481</v>
          </cell>
          <cell r="O329" t="str">
            <v>NS</v>
          </cell>
          <cell r="P329" t="str">
            <v>NSF18SS3</v>
          </cell>
          <cell r="Q329">
            <v>45879</v>
          </cell>
          <cell r="R329" t="str">
            <v/>
          </cell>
          <cell r="S329" t="str">
            <v/>
          </cell>
          <cell r="T329">
            <v>45862</v>
          </cell>
          <cell r="U329">
            <v>71248</v>
          </cell>
          <cell r="V329">
            <v>70041</v>
          </cell>
          <cell r="W329">
            <v>44163</v>
          </cell>
          <cell r="X329" t="str">
            <v>Lokasi Produksi 530E ( pecahan 530E )</v>
          </cell>
          <cell r="Z329">
            <v>12</v>
          </cell>
          <cell r="AA329">
            <v>45879</v>
          </cell>
          <cell r="AB329">
            <v>223.59733611111005</v>
          </cell>
          <cell r="AC329">
            <v>7.4532445370370022</v>
          </cell>
          <cell r="AD329">
            <v>-20</v>
          </cell>
          <cell r="AE329">
            <v>0</v>
          </cell>
          <cell r="AF329">
            <v>0</v>
          </cell>
          <cell r="AG329">
            <v>-1367.2333333333333</v>
          </cell>
          <cell r="AM329" t="str">
            <v>OK</v>
          </cell>
          <cell r="AO329">
            <v>16.045185108024693</v>
          </cell>
          <cell r="AP329">
            <v>4.0451851080246932</v>
          </cell>
          <cell r="AQ329">
            <v>45862</v>
          </cell>
          <cell r="AR329">
            <v>11.633333333333333</v>
          </cell>
          <cell r="AS329">
            <v>4.4118517746913604</v>
          </cell>
          <cell r="AT329">
            <v>45879</v>
          </cell>
          <cell r="AU329">
            <v>4.4118517746913604</v>
          </cell>
          <cell r="AV329">
            <v>349</v>
          </cell>
          <cell r="AW329">
            <v>4.4118517746913604</v>
          </cell>
          <cell r="AY329">
            <v>486.46369178241002</v>
          </cell>
          <cell r="AZ329" t="str">
            <v>F18</v>
          </cell>
          <cell r="BA329">
            <v>9.9499999999999993</v>
          </cell>
          <cell r="BB329" t="str">
            <v>NSFC</v>
          </cell>
          <cell r="BC329" t="str">
            <v>F18SS</v>
          </cell>
        </row>
        <row r="330">
          <cell r="A330" t="str">
            <v>531A</v>
          </cell>
          <cell r="B330" t="str">
            <v>3</v>
          </cell>
          <cell r="C330" t="str">
            <v>05</v>
          </cell>
          <cell r="D330">
            <v>18</v>
          </cell>
          <cell r="E330" t="str">
            <v>531A</v>
          </cell>
          <cell r="F330">
            <v>12.77</v>
          </cell>
          <cell r="G330">
            <v>9.99</v>
          </cell>
          <cell r="H330">
            <v>9.99</v>
          </cell>
          <cell r="I330" t="str">
            <v>SC</v>
          </cell>
          <cell r="J330" t="str">
            <v>FC</v>
          </cell>
          <cell r="K330">
            <v>8</v>
          </cell>
          <cell r="L330">
            <v>45685</v>
          </cell>
          <cell r="M330">
            <v>45685</v>
          </cell>
          <cell r="N330">
            <v>309</v>
          </cell>
          <cell r="O330" t="str">
            <v>NS</v>
          </cell>
          <cell r="P330" t="str">
            <v/>
          </cell>
          <cell r="Q330">
            <v>45929</v>
          </cell>
          <cell r="R330" t="str">
            <v/>
          </cell>
          <cell r="S330" t="str">
            <v/>
          </cell>
          <cell r="T330">
            <v>45908</v>
          </cell>
          <cell r="U330">
            <v>67076</v>
          </cell>
          <cell r="V330">
            <v>52628</v>
          </cell>
          <cell r="W330">
            <v>44893</v>
          </cell>
          <cell r="X330" t="str">
            <v>Lokasi Produksi 531A</v>
          </cell>
          <cell r="Z330">
            <v>8</v>
          </cell>
          <cell r="AA330">
            <v>45929</v>
          </cell>
          <cell r="AB330">
            <v>301.59733611111005</v>
          </cell>
          <cell r="AC330">
            <v>10.053244537037001</v>
          </cell>
          <cell r="AD330">
            <v>5.3244537037000939E-2</v>
          </cell>
          <cell r="AE330">
            <v>10.67</v>
          </cell>
          <cell r="AF330">
            <v>0</v>
          </cell>
          <cell r="AG330">
            <v>-1364.6333333333334</v>
          </cell>
          <cell r="AM330" t="str">
            <v>OK</v>
          </cell>
          <cell r="AO330">
            <v>10.311851774691361</v>
          </cell>
          <cell r="AP330">
            <v>2.3118517746913607</v>
          </cell>
          <cell r="AQ330">
            <v>45908</v>
          </cell>
          <cell r="AR330">
            <v>7.4333333333333336</v>
          </cell>
          <cell r="AS330">
            <v>2.8785184413580271</v>
          </cell>
          <cell r="AT330">
            <v>45929</v>
          </cell>
          <cell r="AU330">
            <v>2.8785184413580271</v>
          </cell>
          <cell r="AV330">
            <v>223</v>
          </cell>
          <cell r="AW330">
            <v>2.8785184413580271</v>
          </cell>
          <cell r="AY330">
            <v>314.46369178241002</v>
          </cell>
          <cell r="AZ330" t="str">
            <v>F18</v>
          </cell>
          <cell r="BA330">
            <v>9.99</v>
          </cell>
          <cell r="BB330" t="str">
            <v>NSSC</v>
          </cell>
          <cell r="BC330" t="str">
            <v>F18</v>
          </cell>
        </row>
        <row r="331">
          <cell r="A331" t="str">
            <v>531B2</v>
          </cell>
          <cell r="B331" t="str">
            <v>3</v>
          </cell>
          <cell r="C331" t="str">
            <v>05</v>
          </cell>
          <cell r="D331">
            <v>18</v>
          </cell>
          <cell r="E331" t="str">
            <v>531B2</v>
          </cell>
          <cell r="F331">
            <v>7.64</v>
          </cell>
          <cell r="G331">
            <v>5.92</v>
          </cell>
          <cell r="H331">
            <v>5.92</v>
          </cell>
          <cell r="I331" t="str">
            <v>SC</v>
          </cell>
          <cell r="J331" t="str">
            <v>FC</v>
          </cell>
          <cell r="K331">
            <v>8</v>
          </cell>
          <cell r="L331">
            <v>45649</v>
          </cell>
          <cell r="M331">
            <v>45649</v>
          </cell>
          <cell r="N331">
            <v>345</v>
          </cell>
          <cell r="O331" t="str">
            <v>NS</v>
          </cell>
          <cell r="P331" t="str">
            <v/>
          </cell>
          <cell r="Q331">
            <v>45893</v>
          </cell>
          <cell r="R331" t="str">
            <v/>
          </cell>
          <cell r="S331" t="str">
            <v/>
          </cell>
          <cell r="T331">
            <v>45861</v>
          </cell>
          <cell r="U331">
            <v>63770</v>
          </cell>
          <cell r="V331">
            <v>52408</v>
          </cell>
          <cell r="W331">
            <v>44622</v>
          </cell>
          <cell r="X331" t="str">
            <v>Lokasi Produksi 531B2 ( pecahan 531B )</v>
          </cell>
          <cell r="Z331">
            <v>8</v>
          </cell>
          <cell r="AA331">
            <v>45893</v>
          </cell>
          <cell r="AB331">
            <v>267.59733611111005</v>
          </cell>
          <cell r="AC331">
            <v>8.9199112037036681</v>
          </cell>
          <cell r="AD331">
            <v>0.91991120370366808</v>
          </cell>
          <cell r="AE331">
            <v>12.19</v>
          </cell>
          <cell r="AF331">
            <v>0</v>
          </cell>
          <cell r="AG331">
            <v>-1365.7666666666667</v>
          </cell>
          <cell r="AM331" t="str">
            <v>OK</v>
          </cell>
          <cell r="AO331">
            <v>11.511851774691362</v>
          </cell>
          <cell r="AP331">
            <v>3.5118517746913618</v>
          </cell>
          <cell r="AQ331">
            <v>45861</v>
          </cell>
          <cell r="AR331">
            <v>7.0666666666666664</v>
          </cell>
          <cell r="AS331">
            <v>4.4451851080246954</v>
          </cell>
          <cell r="AT331">
            <v>45893</v>
          </cell>
          <cell r="AU331">
            <v>4.4451851080246954</v>
          </cell>
          <cell r="AV331">
            <v>212</v>
          </cell>
          <cell r="AW331">
            <v>4.4451851080246954</v>
          </cell>
          <cell r="AY331">
            <v>350.46369178241002</v>
          </cell>
          <cell r="AZ331" t="str">
            <v>F18</v>
          </cell>
          <cell r="BA331">
            <v>5.92</v>
          </cell>
          <cell r="BB331" t="str">
            <v>NSSC</v>
          </cell>
          <cell r="BC331" t="str">
            <v>F18</v>
          </cell>
        </row>
        <row r="332">
          <cell r="A332" t="str">
            <v>531C1</v>
          </cell>
          <cell r="B332" t="str">
            <v>3</v>
          </cell>
          <cell r="C332" t="str">
            <v>05</v>
          </cell>
          <cell r="D332">
            <v>18</v>
          </cell>
          <cell r="E332" t="str">
            <v>531C1</v>
          </cell>
          <cell r="F332">
            <v>5.12</v>
          </cell>
          <cell r="G332">
            <v>4.32</v>
          </cell>
          <cell r="H332">
            <v>4.32</v>
          </cell>
          <cell r="I332" t="str">
            <v>FC</v>
          </cell>
          <cell r="J332" t="str">
            <v>ST</v>
          </cell>
          <cell r="K332">
            <v>14</v>
          </cell>
          <cell r="L332">
            <v>45703</v>
          </cell>
          <cell r="M332">
            <v>45703</v>
          </cell>
          <cell r="N332">
            <v>291</v>
          </cell>
          <cell r="O332" t="str">
            <v>NS</v>
          </cell>
          <cell r="P332" t="str">
            <v>NSF18CK3</v>
          </cell>
          <cell r="Q332">
            <v>46130</v>
          </cell>
          <cell r="R332" t="str">
            <v/>
          </cell>
          <cell r="S332" t="str">
            <v/>
          </cell>
          <cell r="T332" t="str">
            <v/>
          </cell>
          <cell r="U332">
            <v>63044</v>
          </cell>
          <cell r="V332">
            <v>67352</v>
          </cell>
          <cell r="W332">
            <v>44630</v>
          </cell>
          <cell r="X332" t="str">
            <v>Lokasi Produksi 531C1 ( pecahan 531C )</v>
          </cell>
          <cell r="Z332">
            <v>14</v>
          </cell>
          <cell r="AA332">
            <v>46130</v>
          </cell>
          <cell r="AB332">
            <v>243.59733611111005</v>
          </cell>
          <cell r="AC332">
            <v>8.1199112037036691</v>
          </cell>
          <cell r="AD332">
            <v>-5.8800887962963309</v>
          </cell>
          <cell r="AE332">
            <v>6.65</v>
          </cell>
          <cell r="AF332">
            <v>0</v>
          </cell>
          <cell r="AG332">
            <v>-1366.5666666666666</v>
          </cell>
          <cell r="AM332" t="str">
            <v>OK</v>
          </cell>
          <cell r="AO332">
            <v>9.7118517746913611</v>
          </cell>
          <cell r="AP332">
            <v>-4.2881482253086389</v>
          </cell>
          <cell r="AQ332">
            <v>0</v>
          </cell>
          <cell r="AR332">
            <v>9.7118517746913611</v>
          </cell>
          <cell r="AS332">
            <v>0</v>
          </cell>
          <cell r="AT332">
            <v>46130</v>
          </cell>
          <cell r="AU332">
            <v>-4.2881482253086389</v>
          </cell>
          <cell r="AV332">
            <v>291.35555324074085</v>
          </cell>
          <cell r="AW332">
            <v>-4.2881482253086389</v>
          </cell>
          <cell r="AY332">
            <v>296.46369178241002</v>
          </cell>
          <cell r="AZ332" t="str">
            <v>F18</v>
          </cell>
          <cell r="BA332">
            <v>4.32</v>
          </cell>
          <cell r="BB332" t="str">
            <v>NSFC</v>
          </cell>
          <cell r="BC332" t="str">
            <v>F18CK</v>
          </cell>
        </row>
        <row r="333">
          <cell r="A333" t="str">
            <v>531C2</v>
          </cell>
          <cell r="B333" t="str">
            <v>3</v>
          </cell>
          <cell r="C333" t="str">
            <v>05</v>
          </cell>
          <cell r="D333">
            <v>18</v>
          </cell>
          <cell r="E333" t="str">
            <v>531C2</v>
          </cell>
          <cell r="F333">
            <v>11.47</v>
          </cell>
          <cell r="G333">
            <v>9.56</v>
          </cell>
          <cell r="H333">
            <v>9.56</v>
          </cell>
          <cell r="I333" t="str">
            <v>FC</v>
          </cell>
          <cell r="J333" t="str">
            <v>ST</v>
          </cell>
          <cell r="K333">
            <v>14</v>
          </cell>
          <cell r="L333">
            <v>45706</v>
          </cell>
          <cell r="M333">
            <v>45706</v>
          </cell>
          <cell r="N333">
            <v>288</v>
          </cell>
          <cell r="O333" t="str">
            <v>NS</v>
          </cell>
          <cell r="P333" t="str">
            <v>NSF18CK3</v>
          </cell>
          <cell r="Q333">
            <v>46133</v>
          </cell>
          <cell r="R333" t="str">
            <v/>
          </cell>
          <cell r="S333" t="str">
            <v/>
          </cell>
          <cell r="T333" t="str">
            <v/>
          </cell>
          <cell r="U333">
            <v>65504</v>
          </cell>
          <cell r="V333">
            <v>68573</v>
          </cell>
          <cell r="W333">
            <v>44630</v>
          </cell>
          <cell r="X333" t="str">
            <v>Lokasi Produksi 531C2 ( pecahan 531C )</v>
          </cell>
          <cell r="Z333">
            <v>14</v>
          </cell>
          <cell r="AA333">
            <v>46133</v>
          </cell>
          <cell r="AB333">
            <v>5123.5973361111101</v>
          </cell>
          <cell r="AC333">
            <v>170.78657787037034</v>
          </cell>
          <cell r="AD333">
            <v>-20</v>
          </cell>
          <cell r="AE333">
            <v>0</v>
          </cell>
          <cell r="AF333">
            <v>0</v>
          </cell>
          <cell r="AG333">
            <v>-1203.9000000000001</v>
          </cell>
          <cell r="AM333" t="str">
            <v>OK</v>
          </cell>
          <cell r="AO333">
            <v>9.6118517746913614</v>
          </cell>
          <cell r="AP333">
            <v>-4.3881482253086386</v>
          </cell>
          <cell r="AQ333">
            <v>0</v>
          </cell>
          <cell r="AR333">
            <v>9.6118517746913614</v>
          </cell>
          <cell r="AS333">
            <v>0</v>
          </cell>
          <cell r="AT333">
            <v>46133</v>
          </cell>
          <cell r="AU333">
            <v>-4.3881482253086386</v>
          </cell>
          <cell r="AV333">
            <v>288.35555324074085</v>
          </cell>
          <cell r="AW333">
            <v>-4.3881482253086386</v>
          </cell>
          <cell r="AY333">
            <v>293.46369178241002</v>
          </cell>
          <cell r="AZ333" t="str">
            <v>F18</v>
          </cell>
          <cell r="BA333">
            <v>9.56</v>
          </cell>
          <cell r="BB333" t="str">
            <v>NSFC</v>
          </cell>
          <cell r="BC333" t="str">
            <v>F18CK</v>
          </cell>
        </row>
        <row r="334">
          <cell r="A334" t="str">
            <v>531C3</v>
          </cell>
          <cell r="B334" t="str">
            <v>3</v>
          </cell>
          <cell r="C334" t="str">
            <v>05</v>
          </cell>
          <cell r="D334">
            <v>18</v>
          </cell>
          <cell r="E334" t="str">
            <v>531C3</v>
          </cell>
          <cell r="F334">
            <v>11.9</v>
          </cell>
          <cell r="G334">
            <v>9.94</v>
          </cell>
          <cell r="H334">
            <v>9.94</v>
          </cell>
          <cell r="I334" t="str">
            <v>FC</v>
          </cell>
          <cell r="J334" t="str">
            <v>ST</v>
          </cell>
          <cell r="K334">
            <v>14</v>
          </cell>
          <cell r="L334">
            <v>45843</v>
          </cell>
          <cell r="M334">
            <v>45843</v>
          </cell>
          <cell r="N334">
            <v>151</v>
          </cell>
          <cell r="O334" t="str">
            <v>NS</v>
          </cell>
          <cell r="P334" t="str">
            <v>NSGP3CK3</v>
          </cell>
          <cell r="Q334">
            <v>46270</v>
          </cell>
          <cell r="R334" t="str">
            <v/>
          </cell>
          <cell r="S334" t="str">
            <v/>
          </cell>
          <cell r="T334" t="str">
            <v/>
          </cell>
          <cell r="U334">
            <v>71491</v>
          </cell>
          <cell r="V334">
            <v>54340</v>
          </cell>
          <cell r="W334">
            <v>44630</v>
          </cell>
          <cell r="X334" t="str">
            <v>Lokasi Produksi 531C3 ( pecahan 531C )</v>
          </cell>
          <cell r="Z334">
            <v>14</v>
          </cell>
          <cell r="AA334">
            <v>46270</v>
          </cell>
          <cell r="AB334">
            <v>160.59733611111005</v>
          </cell>
          <cell r="AC334">
            <v>5.3532445370370016</v>
          </cell>
          <cell r="AD334">
            <v>-8.6467554629629984</v>
          </cell>
          <cell r="AE334">
            <v>15.38</v>
          </cell>
          <cell r="AF334">
            <v>0</v>
          </cell>
          <cell r="AG334">
            <v>-1369.3333333333333</v>
          </cell>
          <cell r="AM334" t="str">
            <v>OK</v>
          </cell>
          <cell r="AO334">
            <v>5.045185108024695</v>
          </cell>
          <cell r="AP334">
            <v>-8.954814891975305</v>
          </cell>
          <cell r="AQ334">
            <v>0</v>
          </cell>
          <cell r="AR334">
            <v>5.045185108024695</v>
          </cell>
          <cell r="AS334">
            <v>0</v>
          </cell>
          <cell r="AT334">
            <v>46270</v>
          </cell>
          <cell r="AU334">
            <v>-8.954814891975305</v>
          </cell>
          <cell r="AV334">
            <v>151.35555324074085</v>
          </cell>
          <cell r="AW334">
            <v>-8.954814891975305</v>
          </cell>
          <cell r="AY334">
            <v>156.46369178241002</v>
          </cell>
          <cell r="AZ334" t="str">
            <v>GP3</v>
          </cell>
          <cell r="BA334">
            <v>9.94</v>
          </cell>
          <cell r="BB334" t="str">
            <v>NSFC</v>
          </cell>
          <cell r="BC334" t="str">
            <v>GP3CK</v>
          </cell>
        </row>
        <row r="335">
          <cell r="A335" t="str">
            <v>531E</v>
          </cell>
          <cell r="B335" t="str">
            <v>3</v>
          </cell>
          <cell r="C335" t="str">
            <v>05</v>
          </cell>
          <cell r="D335">
            <v>18</v>
          </cell>
          <cell r="E335" t="str">
            <v>531E</v>
          </cell>
          <cell r="F335">
            <v>15.11</v>
          </cell>
          <cell r="G335">
            <v>12.79</v>
          </cell>
          <cell r="H335">
            <v>12.79</v>
          </cell>
          <cell r="I335" t="str">
            <v>FC</v>
          </cell>
          <cell r="J335" t="str">
            <v>ST</v>
          </cell>
          <cell r="K335">
            <v>14</v>
          </cell>
          <cell r="L335">
            <v>45781</v>
          </cell>
          <cell r="M335">
            <v>45781</v>
          </cell>
          <cell r="N335">
            <v>213</v>
          </cell>
          <cell r="O335" t="str">
            <v>NS</v>
          </cell>
          <cell r="P335" t="str">
            <v>NSGP3CK3</v>
          </cell>
          <cell r="Q335">
            <v>46208</v>
          </cell>
          <cell r="R335" t="str">
            <v/>
          </cell>
          <cell r="S335" t="str">
            <v/>
          </cell>
          <cell r="T335" t="str">
            <v/>
          </cell>
          <cell r="U335">
            <v>66582</v>
          </cell>
          <cell r="V335">
            <v>76042</v>
          </cell>
          <cell r="W335" t="str">
            <v/>
          </cell>
          <cell r="X335" t="str">
            <v>Lokasi Produksi 531E</v>
          </cell>
          <cell r="Z335">
            <v>14</v>
          </cell>
          <cell r="AA335">
            <v>46208</v>
          </cell>
          <cell r="AB335">
            <v>85.597336111110053</v>
          </cell>
          <cell r="AC335">
            <v>2.8532445370370016</v>
          </cell>
          <cell r="AD335">
            <v>-20</v>
          </cell>
          <cell r="AE335">
            <v>7.28</v>
          </cell>
          <cell r="AF335">
            <v>0</v>
          </cell>
          <cell r="AG335">
            <v>-1371.8333333333333</v>
          </cell>
          <cell r="AM335" t="str">
            <v>OK</v>
          </cell>
          <cell r="AO335">
            <v>7.1118517746913614</v>
          </cell>
          <cell r="AP335">
            <v>-6.8881482253086386</v>
          </cell>
          <cell r="AQ335">
            <v>0</v>
          </cell>
          <cell r="AR335">
            <v>7.1118517746913614</v>
          </cell>
          <cell r="AS335">
            <v>0</v>
          </cell>
          <cell r="AT335">
            <v>46208</v>
          </cell>
          <cell r="AU335">
            <v>-6.8881482253086386</v>
          </cell>
          <cell r="AV335">
            <v>213.35555324074085</v>
          </cell>
          <cell r="AW335">
            <v>-6.8881482253086386</v>
          </cell>
          <cell r="AY335">
            <v>218.46369178241002</v>
          </cell>
          <cell r="AZ335" t="str">
            <v>GP3</v>
          </cell>
          <cell r="BA335">
            <v>12.79</v>
          </cell>
          <cell r="BB335" t="str">
            <v>NSFC</v>
          </cell>
          <cell r="BC335" t="str">
            <v>GP3CK</v>
          </cell>
        </row>
        <row r="336">
          <cell r="A336" t="str">
            <v>531G6</v>
          </cell>
          <cell r="B336" t="str">
            <v>3</v>
          </cell>
          <cell r="C336" t="str">
            <v>05</v>
          </cell>
          <cell r="D336">
            <v>18</v>
          </cell>
          <cell r="E336" t="str">
            <v>531G6</v>
          </cell>
          <cell r="F336">
            <v>7.57</v>
          </cell>
          <cell r="G336">
            <v>6.24</v>
          </cell>
          <cell r="H336">
            <v>6.24</v>
          </cell>
          <cell r="I336" t="str">
            <v>FC</v>
          </cell>
          <cell r="J336" t="str">
            <v>ST</v>
          </cell>
          <cell r="K336">
            <v>14</v>
          </cell>
          <cell r="L336">
            <v>45664</v>
          </cell>
          <cell r="M336">
            <v>45664</v>
          </cell>
          <cell r="N336">
            <v>330</v>
          </cell>
          <cell r="O336" t="str">
            <v>NS</v>
          </cell>
          <cell r="P336" t="str">
            <v>NSF18CK3</v>
          </cell>
          <cell r="Q336">
            <v>46091</v>
          </cell>
          <cell r="R336" t="str">
            <v/>
          </cell>
          <cell r="S336" t="str">
            <v/>
          </cell>
          <cell r="T336" t="str">
            <v/>
          </cell>
          <cell r="U336">
            <v>63906</v>
          </cell>
          <cell r="V336">
            <v>68370</v>
          </cell>
          <cell r="W336">
            <v>44296</v>
          </cell>
          <cell r="X336" t="str">
            <v>Lokasi Produksi 531G6 ( pecahan 531G ) "J"</v>
          </cell>
          <cell r="Z336">
            <v>14</v>
          </cell>
          <cell r="AA336">
            <v>46091</v>
          </cell>
          <cell r="AB336">
            <v>201.59733611111005</v>
          </cell>
          <cell r="AC336">
            <v>6.7199112037036688</v>
          </cell>
          <cell r="AD336">
            <v>-20</v>
          </cell>
          <cell r="AE336">
            <v>0</v>
          </cell>
          <cell r="AF336">
            <v>0</v>
          </cell>
          <cell r="AG336">
            <v>-1367.9666666666667</v>
          </cell>
          <cell r="AM336" t="str">
            <v>OK</v>
          </cell>
          <cell r="AO336">
            <v>11.011851774691362</v>
          </cell>
          <cell r="AP336">
            <v>-2.9881482253086382</v>
          </cell>
          <cell r="AQ336">
            <v>0</v>
          </cell>
          <cell r="AR336">
            <v>11.011851774691362</v>
          </cell>
          <cell r="AS336">
            <v>0</v>
          </cell>
          <cell r="AT336">
            <v>46091</v>
          </cell>
          <cell r="AU336">
            <v>-2.9881482253086382</v>
          </cell>
          <cell r="AV336">
            <v>330.35555324074085</v>
          </cell>
          <cell r="AW336">
            <v>-2.9881482253086382</v>
          </cell>
          <cell r="AY336">
            <v>335.46369178241002</v>
          </cell>
          <cell r="AZ336" t="str">
            <v>F18</v>
          </cell>
          <cell r="BA336">
            <v>6.24</v>
          </cell>
          <cell r="BB336" t="str">
            <v>NSFC</v>
          </cell>
          <cell r="BC336" t="str">
            <v>F18CK</v>
          </cell>
        </row>
        <row r="337">
          <cell r="A337" t="str">
            <v>531G7</v>
          </cell>
          <cell r="B337" t="str">
            <v>3</v>
          </cell>
          <cell r="C337" t="str">
            <v>05</v>
          </cell>
          <cell r="D337">
            <v>18</v>
          </cell>
          <cell r="E337" t="str">
            <v>531G7</v>
          </cell>
          <cell r="F337">
            <v>7.48</v>
          </cell>
          <cell r="G337">
            <v>6.21</v>
          </cell>
          <cell r="H337">
            <v>6.21</v>
          </cell>
          <cell r="I337" t="str">
            <v>FC</v>
          </cell>
          <cell r="J337" t="str">
            <v>ST</v>
          </cell>
          <cell r="K337">
            <v>12</v>
          </cell>
          <cell r="L337">
            <v>45940</v>
          </cell>
          <cell r="M337">
            <v>45940</v>
          </cell>
          <cell r="N337">
            <v>54</v>
          </cell>
          <cell r="O337" t="str">
            <v>NS</v>
          </cell>
          <cell r="P337" t="str">
            <v>NSF18SS3</v>
          </cell>
          <cell r="Q337">
            <v>46306</v>
          </cell>
          <cell r="R337" t="str">
            <v/>
          </cell>
          <cell r="S337" t="str">
            <v/>
          </cell>
          <cell r="T337" t="str">
            <v/>
          </cell>
          <cell r="U337">
            <v>73316</v>
          </cell>
          <cell r="V337">
            <v>50359</v>
          </cell>
          <cell r="W337">
            <v>44535</v>
          </cell>
          <cell r="X337" t="str">
            <v>Lokasi Produksi 537G7 ( pecahan 531G )</v>
          </cell>
          <cell r="Z337">
            <v>12</v>
          </cell>
          <cell r="AA337">
            <v>46306</v>
          </cell>
          <cell r="AB337">
            <v>223.59733611111005</v>
          </cell>
          <cell r="AC337">
            <v>7.4532445370370022</v>
          </cell>
          <cell r="AD337">
            <v>-20</v>
          </cell>
          <cell r="AE337">
            <v>0</v>
          </cell>
          <cell r="AF337">
            <v>0</v>
          </cell>
          <cell r="AG337">
            <v>-1367.2333333333333</v>
          </cell>
          <cell r="AM337" t="str">
            <v>OK</v>
          </cell>
          <cell r="AO337">
            <v>1.8118517746913616</v>
          </cell>
          <cell r="AP337">
            <v>-10.188148225308638</v>
          </cell>
          <cell r="AQ337">
            <v>0</v>
          </cell>
          <cell r="AR337">
            <v>1.8118517746913616</v>
          </cell>
          <cell r="AS337">
            <v>0</v>
          </cell>
          <cell r="AT337">
            <v>46306</v>
          </cell>
          <cell r="AU337">
            <v>-10.188148225308638</v>
          </cell>
          <cell r="AV337">
            <v>54.355553240740846</v>
          </cell>
          <cell r="AW337">
            <v>-10.188148225308638</v>
          </cell>
          <cell r="AY337">
            <v>59.463691782410024</v>
          </cell>
          <cell r="AZ337" t="str">
            <v>F18</v>
          </cell>
          <cell r="BA337">
            <v>6.21</v>
          </cell>
          <cell r="BB337" t="str">
            <v>NSFC</v>
          </cell>
          <cell r="BC337" t="str">
            <v>F18SS</v>
          </cell>
        </row>
        <row r="338">
          <cell r="A338" t="str">
            <v>532A1</v>
          </cell>
          <cell r="B338" t="str">
            <v>3</v>
          </cell>
          <cell r="C338" t="str">
            <v>05</v>
          </cell>
          <cell r="D338">
            <v>19</v>
          </cell>
          <cell r="E338" t="str">
            <v>532A1</v>
          </cell>
          <cell r="F338">
            <v>7.71</v>
          </cell>
          <cell r="G338">
            <v>6.04</v>
          </cell>
          <cell r="H338">
            <v>6.04</v>
          </cell>
          <cell r="I338" t="str">
            <v>SC</v>
          </cell>
          <cell r="J338" t="str">
            <v>FC</v>
          </cell>
          <cell r="K338">
            <v>8</v>
          </cell>
          <cell r="L338">
            <v>45654</v>
          </cell>
          <cell r="M338">
            <v>45654</v>
          </cell>
          <cell r="N338">
            <v>340</v>
          </cell>
          <cell r="O338" t="str">
            <v>NS</v>
          </cell>
          <cell r="P338" t="str">
            <v/>
          </cell>
          <cell r="Q338">
            <v>45898</v>
          </cell>
          <cell r="R338" t="str">
            <v/>
          </cell>
          <cell r="S338" t="str">
            <v/>
          </cell>
          <cell r="T338">
            <v>45874</v>
          </cell>
          <cell r="U338">
            <v>70358</v>
          </cell>
          <cell r="V338">
            <v>51669</v>
          </cell>
          <cell r="W338">
            <v>44095</v>
          </cell>
          <cell r="X338" t="str">
            <v>Lokasi Produksi 532A1</v>
          </cell>
          <cell r="Z338">
            <v>8</v>
          </cell>
          <cell r="AA338">
            <v>45898</v>
          </cell>
          <cell r="AB338">
            <v>298.59733611111005</v>
          </cell>
          <cell r="AC338">
            <v>9.9532445370370013</v>
          </cell>
          <cell r="AD338">
            <v>-20</v>
          </cell>
          <cell r="AE338">
            <v>0</v>
          </cell>
          <cell r="AF338">
            <v>0</v>
          </cell>
          <cell r="AG338">
            <v>-1364.7333333333333</v>
          </cell>
          <cell r="AM338" t="str">
            <v>OK</v>
          </cell>
          <cell r="AO338">
            <v>11.345185108024696</v>
          </cell>
          <cell r="AP338">
            <v>3.3451851080246957</v>
          </cell>
          <cell r="AQ338">
            <v>45874</v>
          </cell>
          <cell r="AR338">
            <v>7.333333333333333</v>
          </cell>
          <cell r="AS338">
            <v>4.0118517746913627</v>
          </cell>
          <cell r="AT338">
            <v>45898</v>
          </cell>
          <cell r="AU338">
            <v>4.0118517746913627</v>
          </cell>
          <cell r="AV338">
            <v>220</v>
          </cell>
          <cell r="AW338">
            <v>4.0118517746913627</v>
          </cell>
          <cell r="AY338">
            <v>345.46369178241002</v>
          </cell>
          <cell r="AZ338" t="str">
            <v>F18</v>
          </cell>
          <cell r="BA338">
            <v>6.04</v>
          </cell>
          <cell r="BB338" t="str">
            <v>NSSC</v>
          </cell>
          <cell r="BC338" t="str">
            <v>F18</v>
          </cell>
        </row>
        <row r="339">
          <cell r="A339" t="str">
            <v>532A2</v>
          </cell>
          <cell r="B339" t="str">
            <v>3</v>
          </cell>
          <cell r="C339" t="str">
            <v>05</v>
          </cell>
          <cell r="D339">
            <v>19</v>
          </cell>
          <cell r="E339" t="str">
            <v>532A2</v>
          </cell>
          <cell r="F339">
            <v>9.0500000000000007</v>
          </cell>
          <cell r="G339">
            <v>7.18</v>
          </cell>
          <cell r="H339">
            <v>7.18</v>
          </cell>
          <cell r="I339" t="str">
            <v>SC</v>
          </cell>
          <cell r="J339" t="str">
            <v>FC</v>
          </cell>
          <cell r="K339">
            <v>8</v>
          </cell>
          <cell r="L339">
            <v>45648</v>
          </cell>
          <cell r="M339">
            <v>45648</v>
          </cell>
          <cell r="N339">
            <v>346</v>
          </cell>
          <cell r="O339" t="str">
            <v>NS</v>
          </cell>
          <cell r="P339" t="str">
            <v/>
          </cell>
          <cell r="Q339">
            <v>45892</v>
          </cell>
          <cell r="R339" t="str">
            <v/>
          </cell>
          <cell r="S339" t="str">
            <v/>
          </cell>
          <cell r="T339">
            <v>45861</v>
          </cell>
          <cell r="U339">
            <v>71254</v>
          </cell>
          <cell r="V339">
            <v>52558</v>
          </cell>
          <cell r="W339">
            <v>45058</v>
          </cell>
          <cell r="X339" t="str">
            <v>Lokasi Produksi 532A2</v>
          </cell>
          <cell r="Z339">
            <v>8</v>
          </cell>
          <cell r="AA339">
            <v>45892</v>
          </cell>
          <cell r="AB339">
            <v>85.597336111110053</v>
          </cell>
          <cell r="AC339">
            <v>2.8532445370370016</v>
          </cell>
          <cell r="AD339">
            <v>-9.1467554629629984</v>
          </cell>
          <cell r="AE339">
            <v>14.04</v>
          </cell>
          <cell r="AF339">
            <v>0</v>
          </cell>
          <cell r="AG339">
            <v>-1371.8333333333333</v>
          </cell>
          <cell r="AM339" t="str">
            <v>OK</v>
          </cell>
          <cell r="AO339">
            <v>11.545185108024695</v>
          </cell>
          <cell r="AP339">
            <v>3.545185108024695</v>
          </cell>
          <cell r="AQ339">
            <v>45861</v>
          </cell>
          <cell r="AR339">
            <v>7.1</v>
          </cell>
          <cell r="AS339">
            <v>4.4451851080246954</v>
          </cell>
          <cell r="AT339">
            <v>45892</v>
          </cell>
          <cell r="AU339">
            <v>4.4451851080246954</v>
          </cell>
          <cell r="AV339">
            <v>213</v>
          </cell>
          <cell r="AW339">
            <v>4.4451851080246954</v>
          </cell>
          <cell r="AY339">
            <v>351.46369178241002</v>
          </cell>
          <cell r="AZ339" t="str">
            <v>F18</v>
          </cell>
          <cell r="BA339">
            <v>7.18</v>
          </cell>
          <cell r="BB339" t="str">
            <v>NSSC</v>
          </cell>
          <cell r="BC339" t="str">
            <v>F18</v>
          </cell>
        </row>
        <row r="340">
          <cell r="A340" t="str">
            <v>532B</v>
          </cell>
          <cell r="B340" t="str">
            <v>3</v>
          </cell>
          <cell r="C340" t="str">
            <v>05</v>
          </cell>
          <cell r="D340">
            <v>19</v>
          </cell>
          <cell r="E340" t="str">
            <v>532B</v>
          </cell>
          <cell r="F340">
            <v>9.15</v>
          </cell>
          <cell r="G340">
            <v>7.68</v>
          </cell>
          <cell r="H340">
            <v>7.68</v>
          </cell>
          <cell r="I340" t="str">
            <v>FC</v>
          </cell>
          <cell r="J340" t="str">
            <v>ST</v>
          </cell>
          <cell r="K340">
            <v>14</v>
          </cell>
          <cell r="L340">
            <v>45778</v>
          </cell>
          <cell r="M340">
            <v>45778</v>
          </cell>
          <cell r="N340">
            <v>216</v>
          </cell>
          <cell r="O340" t="str">
            <v>NS</v>
          </cell>
          <cell r="P340" t="str">
            <v>NSGP3CK3</v>
          </cell>
          <cell r="Q340">
            <v>46205</v>
          </cell>
          <cell r="R340" t="str">
            <v/>
          </cell>
          <cell r="S340" t="str">
            <v/>
          </cell>
          <cell r="T340" t="str">
            <v/>
          </cell>
          <cell r="U340">
            <v>63775</v>
          </cell>
          <cell r="V340">
            <v>52129</v>
          </cell>
          <cell r="W340">
            <v>44305</v>
          </cell>
          <cell r="X340" t="str">
            <v>Lokasi Produksi 532B</v>
          </cell>
          <cell r="Z340">
            <v>14</v>
          </cell>
          <cell r="AA340">
            <v>46205</v>
          </cell>
          <cell r="AB340">
            <v>322.59733611111005</v>
          </cell>
          <cell r="AC340">
            <v>10.753244537037002</v>
          </cell>
          <cell r="AD340">
            <v>-5.246755462962998</v>
          </cell>
          <cell r="AE340">
            <v>6.88</v>
          </cell>
          <cell r="AF340">
            <v>0</v>
          </cell>
          <cell r="AG340">
            <v>-1363.9333333333334</v>
          </cell>
          <cell r="AM340" t="str">
            <v>OK</v>
          </cell>
          <cell r="AO340">
            <v>7.211851774691362</v>
          </cell>
          <cell r="AP340">
            <v>-6.788148225308638</v>
          </cell>
          <cell r="AQ340">
            <v>0</v>
          </cell>
          <cell r="AR340">
            <v>7.211851774691362</v>
          </cell>
          <cell r="AS340">
            <v>0</v>
          </cell>
          <cell r="AT340">
            <v>46205</v>
          </cell>
          <cell r="AU340">
            <v>-6.788148225308638</v>
          </cell>
          <cell r="AV340">
            <v>216.35555324074085</v>
          </cell>
          <cell r="AW340">
            <v>-6.788148225308638</v>
          </cell>
          <cell r="AY340">
            <v>221.46369178241002</v>
          </cell>
          <cell r="AZ340" t="str">
            <v>GP3</v>
          </cell>
          <cell r="BA340">
            <v>7.68</v>
          </cell>
          <cell r="BB340" t="str">
            <v>NSFC</v>
          </cell>
          <cell r="BC340" t="str">
            <v>GP3CK</v>
          </cell>
        </row>
        <row r="341">
          <cell r="A341" t="str">
            <v>532C</v>
          </cell>
          <cell r="B341" t="str">
            <v>3</v>
          </cell>
          <cell r="C341" t="str">
            <v>05</v>
          </cell>
          <cell r="D341">
            <v>19</v>
          </cell>
          <cell r="E341" t="str">
            <v>532C</v>
          </cell>
          <cell r="F341">
            <v>9.39</v>
          </cell>
          <cell r="G341">
            <v>7.97</v>
          </cell>
          <cell r="H341">
            <v>7.97</v>
          </cell>
          <cell r="I341" t="str">
            <v>FC</v>
          </cell>
          <cell r="J341" t="str">
            <v>ST</v>
          </cell>
          <cell r="K341">
            <v>14</v>
          </cell>
          <cell r="L341">
            <v>45910</v>
          </cell>
          <cell r="M341">
            <v>45910</v>
          </cell>
          <cell r="N341">
            <v>84</v>
          </cell>
          <cell r="O341" t="str">
            <v>NS</v>
          </cell>
          <cell r="P341" t="str">
            <v>NSF18CK3</v>
          </cell>
          <cell r="Q341">
            <v>46337</v>
          </cell>
          <cell r="R341" t="str">
            <v/>
          </cell>
          <cell r="S341" t="str">
            <v/>
          </cell>
          <cell r="T341" t="str">
            <v/>
          </cell>
          <cell r="U341">
            <v>66148</v>
          </cell>
          <cell r="V341">
            <v>50694</v>
          </cell>
          <cell r="W341">
            <v>44201</v>
          </cell>
          <cell r="X341" t="str">
            <v>Lokasi Produksi 532C</v>
          </cell>
          <cell r="Z341">
            <v>14</v>
          </cell>
          <cell r="AA341">
            <v>46337</v>
          </cell>
          <cell r="AB341">
            <v>183.59733611111005</v>
          </cell>
          <cell r="AC341">
            <v>6.1199112037036683</v>
          </cell>
          <cell r="AD341">
            <v>-5.8800887962963317</v>
          </cell>
          <cell r="AE341">
            <v>4.63</v>
          </cell>
          <cell r="AF341">
            <v>0</v>
          </cell>
          <cell r="AG341">
            <v>-1368.5666666666666</v>
          </cell>
          <cell r="AM341" t="str">
            <v>OK</v>
          </cell>
          <cell r="AO341">
            <v>2.8118517746913616</v>
          </cell>
          <cell r="AP341">
            <v>-11.188148225308638</v>
          </cell>
          <cell r="AQ341">
            <v>0</v>
          </cell>
          <cell r="AR341">
            <v>2.8118517746913616</v>
          </cell>
          <cell r="AS341">
            <v>0</v>
          </cell>
          <cell r="AT341">
            <v>46337</v>
          </cell>
          <cell r="AU341">
            <v>-11.188148225308638</v>
          </cell>
          <cell r="AV341">
            <v>84.355553240740846</v>
          </cell>
          <cell r="AW341">
            <v>-11.188148225308638</v>
          </cell>
          <cell r="AY341">
            <v>89.463691782410024</v>
          </cell>
          <cell r="AZ341" t="str">
            <v>F18</v>
          </cell>
          <cell r="BA341">
            <v>7.97</v>
          </cell>
          <cell r="BB341" t="str">
            <v>NSFC</v>
          </cell>
          <cell r="BC341" t="str">
            <v>F18CK</v>
          </cell>
        </row>
        <row r="342">
          <cell r="A342" t="str">
            <v>532D8</v>
          </cell>
          <cell r="B342" t="str">
            <v>3</v>
          </cell>
          <cell r="C342" t="str">
            <v>05</v>
          </cell>
          <cell r="D342">
            <v>19</v>
          </cell>
          <cell r="E342" t="str">
            <v>532D8</v>
          </cell>
          <cell r="F342">
            <v>10.84</v>
          </cell>
          <cell r="G342">
            <v>8.49</v>
          </cell>
          <cell r="H342">
            <v>8.49</v>
          </cell>
          <cell r="I342" t="str">
            <v>BB</v>
          </cell>
          <cell r="J342" t="str">
            <v>SC</v>
          </cell>
          <cell r="K342">
            <v>0</v>
          </cell>
          <cell r="L342">
            <v>45824</v>
          </cell>
          <cell r="M342">
            <v>45824</v>
          </cell>
          <cell r="N342">
            <v>170</v>
          </cell>
          <cell r="O342" t="str">
            <v>NS</v>
          </cell>
          <cell r="P342" t="str">
            <v/>
          </cell>
          <cell r="Q342">
            <v>45824</v>
          </cell>
          <cell r="R342" t="str">
            <v/>
          </cell>
          <cell r="S342" t="str">
            <v/>
          </cell>
          <cell r="T342" t="str">
            <v/>
          </cell>
          <cell r="U342">
            <v>64374</v>
          </cell>
          <cell r="V342">
            <v>67535</v>
          </cell>
          <cell r="W342">
            <v>45087</v>
          </cell>
          <cell r="X342" t="str">
            <v>Lokasi Produksi 532D8 ( pecahan 532D )</v>
          </cell>
          <cell r="Z342">
            <v>0</v>
          </cell>
          <cell r="AA342">
            <v>45824</v>
          </cell>
          <cell r="AB342">
            <v>194.59733611111005</v>
          </cell>
          <cell r="AC342">
            <v>6.4865778703703354</v>
          </cell>
          <cell r="AD342">
            <v>-20</v>
          </cell>
          <cell r="AE342">
            <v>0</v>
          </cell>
          <cell r="AF342">
            <v>0</v>
          </cell>
          <cell r="AG342">
            <v>-1368.2</v>
          </cell>
          <cell r="AK342">
            <v>40314</v>
          </cell>
          <cell r="AM342" t="str">
            <v>OK</v>
          </cell>
          <cell r="AO342">
            <v>5.6785184413580279</v>
          </cell>
          <cell r="AP342">
            <v>5.6785184413580279</v>
          </cell>
          <cell r="AQ342">
            <v>0</v>
          </cell>
          <cell r="AR342">
            <v>5.6785184413580279</v>
          </cell>
          <cell r="AS342">
            <v>0</v>
          </cell>
          <cell r="AT342">
            <v>45824</v>
          </cell>
          <cell r="AU342">
            <v>5.6785184413580279</v>
          </cell>
          <cell r="AV342">
            <v>170.35555324074085</v>
          </cell>
          <cell r="AW342">
            <v>5.6785184413580279</v>
          </cell>
          <cell r="AY342">
            <v>175.46369178241002</v>
          </cell>
          <cell r="AZ342" t="str">
            <v>F18</v>
          </cell>
          <cell r="BA342">
            <v>0</v>
          </cell>
          <cell r="BB342" t="str">
            <v>NSBB</v>
          </cell>
          <cell r="BC342" t="str">
            <v>F18</v>
          </cell>
        </row>
        <row r="343">
          <cell r="A343" t="str">
            <v>532D9</v>
          </cell>
          <cell r="B343" t="str">
            <v>3</v>
          </cell>
          <cell r="C343" t="str">
            <v>05</v>
          </cell>
          <cell r="D343">
            <v>19</v>
          </cell>
          <cell r="E343" t="str">
            <v>532D9</v>
          </cell>
          <cell r="F343">
            <v>6.95</v>
          </cell>
          <cell r="G343">
            <v>5.5</v>
          </cell>
          <cell r="H343">
            <v>5.5</v>
          </cell>
          <cell r="I343" t="str">
            <v>BB</v>
          </cell>
          <cell r="J343" t="str">
            <v>SC</v>
          </cell>
          <cell r="K343">
            <v>0</v>
          </cell>
          <cell r="L343">
            <v>45838</v>
          </cell>
          <cell r="M343">
            <v>45838</v>
          </cell>
          <cell r="N343">
            <v>156</v>
          </cell>
          <cell r="O343" t="str">
            <v>NS</v>
          </cell>
          <cell r="P343" t="str">
            <v/>
          </cell>
          <cell r="Q343">
            <v>45838</v>
          </cell>
          <cell r="R343" t="str">
            <v/>
          </cell>
          <cell r="S343" t="str">
            <v/>
          </cell>
          <cell r="T343" t="str">
            <v/>
          </cell>
          <cell r="U343">
            <v>67396</v>
          </cell>
          <cell r="V343">
            <v>69137</v>
          </cell>
          <cell r="W343">
            <v>45087</v>
          </cell>
          <cell r="X343" t="str">
            <v>Lokasi Produksi 532D9 ( pecahan 532D )</v>
          </cell>
          <cell r="Z343">
            <v>0</v>
          </cell>
          <cell r="AA343">
            <v>45838</v>
          </cell>
          <cell r="AB343">
            <v>665.59733611111005</v>
          </cell>
          <cell r="AC343">
            <v>22.186577870370336</v>
          </cell>
          <cell r="AD343">
            <v>-20</v>
          </cell>
          <cell r="AE343">
            <v>0</v>
          </cell>
          <cell r="AF343">
            <v>0</v>
          </cell>
          <cell r="AG343">
            <v>-1352.5</v>
          </cell>
          <cell r="AM343" t="str">
            <v>OK</v>
          </cell>
          <cell r="AO343">
            <v>5.211851774691362</v>
          </cell>
          <cell r="AP343">
            <v>5.211851774691362</v>
          </cell>
          <cell r="AQ343">
            <v>0</v>
          </cell>
          <cell r="AR343">
            <v>5.211851774691362</v>
          </cell>
          <cell r="AS343">
            <v>0</v>
          </cell>
          <cell r="AT343">
            <v>45838</v>
          </cell>
          <cell r="AU343">
            <v>5.211851774691362</v>
          </cell>
          <cell r="AV343">
            <v>156.35555324074085</v>
          </cell>
          <cell r="AW343">
            <v>5.211851774691362</v>
          </cell>
          <cell r="AY343">
            <v>161.46369178241002</v>
          </cell>
          <cell r="AZ343" t="str">
            <v>F18</v>
          </cell>
          <cell r="BA343">
            <v>0</v>
          </cell>
          <cell r="BB343" t="str">
            <v>NSBB</v>
          </cell>
          <cell r="BC343" t="str">
            <v>F18</v>
          </cell>
        </row>
        <row r="344">
          <cell r="A344" t="str">
            <v>532E</v>
          </cell>
          <cell r="B344" t="str">
            <v>3</v>
          </cell>
          <cell r="C344" t="str">
            <v>05</v>
          </cell>
          <cell r="D344">
            <v>19</v>
          </cell>
          <cell r="E344" t="str">
            <v>532E</v>
          </cell>
          <cell r="F344">
            <v>8.09</v>
          </cell>
          <cell r="G344">
            <v>6.42</v>
          </cell>
          <cell r="H344">
            <v>6.42</v>
          </cell>
          <cell r="I344" t="str">
            <v>BK</v>
          </cell>
          <cell r="J344" t="str">
            <v>SC</v>
          </cell>
          <cell r="K344">
            <v>0</v>
          </cell>
          <cell r="L344">
            <v>45881</v>
          </cell>
          <cell r="M344">
            <v>45881</v>
          </cell>
          <cell r="N344">
            <v>113</v>
          </cell>
          <cell r="O344" t="str">
            <v>NS</v>
          </cell>
          <cell r="P344" t="str">
            <v/>
          </cell>
          <cell r="Q344">
            <v>45881</v>
          </cell>
          <cell r="R344" t="str">
            <v/>
          </cell>
          <cell r="S344" t="str">
            <v/>
          </cell>
          <cell r="T344" t="str">
            <v/>
          </cell>
          <cell r="U344">
            <v>72033</v>
          </cell>
          <cell r="V344">
            <v>51359</v>
          </cell>
          <cell r="W344">
            <v>43069</v>
          </cell>
          <cell r="X344" t="str">
            <v>Lokasi Produksi 532E</v>
          </cell>
          <cell r="Z344">
            <v>0</v>
          </cell>
          <cell r="AA344">
            <v>45881</v>
          </cell>
          <cell r="AB344">
            <v>665.59733611111005</v>
          </cell>
          <cell r="AC344">
            <v>22.186577870370336</v>
          </cell>
          <cell r="AD344">
            <v>-20</v>
          </cell>
          <cell r="AE344">
            <v>0</v>
          </cell>
          <cell r="AF344">
            <v>0</v>
          </cell>
          <cell r="AG344">
            <v>-1352.5</v>
          </cell>
          <cell r="AM344" t="str">
            <v>OK</v>
          </cell>
          <cell r="AO344">
            <v>3.7785184413580284</v>
          </cell>
          <cell r="AP344">
            <v>3.7785184413580284</v>
          </cell>
          <cell r="AQ344">
            <v>0</v>
          </cell>
          <cell r="AR344">
            <v>3.7785184413580284</v>
          </cell>
          <cell r="AS344">
            <v>0</v>
          </cell>
          <cell r="AT344">
            <v>45881</v>
          </cell>
          <cell r="AU344">
            <v>3.7785184413580284</v>
          </cell>
          <cell r="AV344">
            <v>113.35555324074085</v>
          </cell>
          <cell r="AW344">
            <v>3.7785184413580284</v>
          </cell>
          <cell r="AY344">
            <v>118.46369178241002</v>
          </cell>
          <cell r="AZ344" t="str">
            <v>F18</v>
          </cell>
          <cell r="BA344">
            <v>0</v>
          </cell>
          <cell r="BB344" t="str">
            <v>NSBK</v>
          </cell>
          <cell r="BC344" t="str">
            <v>F18</v>
          </cell>
        </row>
        <row r="345">
          <cell r="A345" t="str">
            <v>533A</v>
          </cell>
          <cell r="B345" t="str">
            <v>3</v>
          </cell>
          <cell r="C345" t="str">
            <v>05</v>
          </cell>
          <cell r="D345">
            <v>19</v>
          </cell>
          <cell r="E345" t="str">
            <v>533A</v>
          </cell>
          <cell r="F345">
            <v>13.13</v>
          </cell>
          <cell r="G345">
            <v>10.83</v>
          </cell>
          <cell r="H345">
            <v>10.83</v>
          </cell>
          <cell r="I345" t="str">
            <v>FC</v>
          </cell>
          <cell r="J345" t="str">
            <v>ST</v>
          </cell>
          <cell r="K345">
            <v>14</v>
          </cell>
          <cell r="L345">
            <v>45640</v>
          </cell>
          <cell r="M345">
            <v>45640</v>
          </cell>
          <cell r="N345">
            <v>354</v>
          </cell>
          <cell r="O345" t="str">
            <v>NS</v>
          </cell>
          <cell r="P345" t="str">
            <v>NSGP3CK3</v>
          </cell>
          <cell r="Q345">
            <v>46067</v>
          </cell>
          <cell r="R345" t="str">
            <v/>
          </cell>
          <cell r="S345" t="str">
            <v/>
          </cell>
          <cell r="T345" t="str">
            <v/>
          </cell>
          <cell r="U345">
            <v>64985</v>
          </cell>
          <cell r="V345">
            <v>66695</v>
          </cell>
          <cell r="W345">
            <v>44368</v>
          </cell>
          <cell r="X345" t="str">
            <v>Lokasi Produksi 533A</v>
          </cell>
          <cell r="Z345">
            <v>14</v>
          </cell>
          <cell r="AA345">
            <v>46067</v>
          </cell>
          <cell r="AB345">
            <v>2008.5973361111101</v>
          </cell>
          <cell r="AC345">
            <v>66.953244537037008</v>
          </cell>
          <cell r="AD345">
            <v>-20</v>
          </cell>
          <cell r="AE345">
            <v>0</v>
          </cell>
          <cell r="AF345">
            <v>0</v>
          </cell>
          <cell r="AG345">
            <v>-1307.7333333333333</v>
          </cell>
          <cell r="AK345">
            <v>40344</v>
          </cell>
          <cell r="AM345" t="str">
            <v>OK</v>
          </cell>
          <cell r="AO345">
            <v>11.811851774691361</v>
          </cell>
          <cell r="AP345">
            <v>-2.1881482253086393</v>
          </cell>
          <cell r="AQ345">
            <v>0</v>
          </cell>
          <cell r="AR345">
            <v>11.811851774691361</v>
          </cell>
          <cell r="AS345">
            <v>0</v>
          </cell>
          <cell r="AT345">
            <v>46067</v>
          </cell>
          <cell r="AU345">
            <v>-2.1881482253086393</v>
          </cell>
          <cell r="AV345">
            <v>354.35555324074085</v>
          </cell>
          <cell r="AW345">
            <v>-2.1881482253086393</v>
          </cell>
          <cell r="AY345">
            <v>359.46369178241002</v>
          </cell>
          <cell r="AZ345" t="str">
            <v>GP3</v>
          </cell>
          <cell r="BA345">
            <v>10.83</v>
          </cell>
          <cell r="BB345" t="str">
            <v>NSFC</v>
          </cell>
          <cell r="BC345" t="str">
            <v>GP3CK</v>
          </cell>
        </row>
        <row r="346">
          <cell r="A346" t="str">
            <v>533AS1</v>
          </cell>
          <cell r="B346" t="str">
            <v>3</v>
          </cell>
          <cell r="C346" t="str">
            <v>05</v>
          </cell>
          <cell r="D346">
            <v>19</v>
          </cell>
          <cell r="E346" t="str">
            <v>533AS1</v>
          </cell>
          <cell r="F346">
            <v>0.94</v>
          </cell>
          <cell r="G346">
            <v>0.94</v>
          </cell>
          <cell r="H346">
            <v>0.94</v>
          </cell>
          <cell r="I346" t="str">
            <v>FC</v>
          </cell>
          <cell r="J346" t="str">
            <v>ST</v>
          </cell>
          <cell r="K346">
            <v>0</v>
          </cell>
          <cell r="L346">
            <v>45940</v>
          </cell>
          <cell r="M346">
            <v>45940</v>
          </cell>
          <cell r="N346">
            <v>54</v>
          </cell>
          <cell r="O346" t="str">
            <v>SK</v>
          </cell>
          <cell r="P346" t="str">
            <v/>
          </cell>
          <cell r="Q346">
            <v>45940</v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>Lokasi Produksi 533AS1 ( singkong )</v>
          </cell>
          <cell r="Z346">
            <v>0</v>
          </cell>
          <cell r="AA346">
            <v>45940</v>
          </cell>
          <cell r="AB346">
            <v>665.59733611111005</v>
          </cell>
          <cell r="AC346">
            <v>22.186577870370336</v>
          </cell>
          <cell r="AD346">
            <v>-20</v>
          </cell>
          <cell r="AE346">
            <v>0</v>
          </cell>
          <cell r="AF346">
            <v>0</v>
          </cell>
          <cell r="AG346">
            <v>-1352.5</v>
          </cell>
          <cell r="AM346" t="str">
            <v>OK</v>
          </cell>
          <cell r="AO346">
            <v>1.8118517746913616</v>
          </cell>
          <cell r="AP346">
            <v>1.8118517746913616</v>
          </cell>
          <cell r="AQ346">
            <v>0</v>
          </cell>
          <cell r="AR346">
            <v>1.8118517746913616</v>
          </cell>
          <cell r="AS346">
            <v>0</v>
          </cell>
          <cell r="AT346">
            <v>45940</v>
          </cell>
          <cell r="AU346">
            <v>1.8118517746913616</v>
          </cell>
          <cell r="AV346">
            <v>54.355553240740846</v>
          </cell>
          <cell r="AW346">
            <v>1.8118517746913616</v>
          </cell>
          <cell r="AY346">
            <v>59.463691782410024</v>
          </cell>
          <cell r="AZ346" t="str">
            <v>F18</v>
          </cell>
          <cell r="BA346">
            <v>0</v>
          </cell>
          <cell r="BB346" t="str">
            <v>SKFC</v>
          </cell>
          <cell r="BC346" t="str">
            <v>F18</v>
          </cell>
        </row>
        <row r="347">
          <cell r="A347" t="str">
            <v>533B</v>
          </cell>
          <cell r="B347" t="str">
            <v>3</v>
          </cell>
          <cell r="C347" t="str">
            <v>05</v>
          </cell>
          <cell r="D347">
            <v>19</v>
          </cell>
          <cell r="E347" t="str">
            <v>533B</v>
          </cell>
          <cell r="F347">
            <v>14.63</v>
          </cell>
          <cell r="G347">
            <v>12.13</v>
          </cell>
          <cell r="H347">
            <v>12.13</v>
          </cell>
          <cell r="I347" t="str">
            <v>FC</v>
          </cell>
          <cell r="J347" t="str">
            <v>ST</v>
          </cell>
          <cell r="K347">
            <v>14</v>
          </cell>
          <cell r="L347">
            <v>45481</v>
          </cell>
          <cell r="M347">
            <v>45481</v>
          </cell>
          <cell r="N347">
            <v>513</v>
          </cell>
          <cell r="O347" t="str">
            <v>NS</v>
          </cell>
          <cell r="P347" t="str">
            <v>NSF18CK3</v>
          </cell>
          <cell r="Q347">
            <v>45908</v>
          </cell>
          <cell r="R347" t="str">
            <v/>
          </cell>
          <cell r="S347" t="str">
            <v/>
          </cell>
          <cell r="T347">
            <v>45860</v>
          </cell>
          <cell r="U347">
            <v>65471</v>
          </cell>
          <cell r="V347">
            <v>67750</v>
          </cell>
          <cell r="W347" t="str">
            <v/>
          </cell>
          <cell r="X347" t="str">
            <v>Lokasi Produksi 533B</v>
          </cell>
          <cell r="Z347">
            <v>14</v>
          </cell>
          <cell r="AA347">
            <v>45908</v>
          </cell>
          <cell r="AB347">
            <v>519.59733611111005</v>
          </cell>
          <cell r="AC347">
            <v>17.319911203703668</v>
          </cell>
          <cell r="AD347">
            <v>3.3199112037036684</v>
          </cell>
          <cell r="AE347">
            <v>3.31</v>
          </cell>
          <cell r="AF347">
            <v>0</v>
          </cell>
          <cell r="AG347">
            <v>-1357.3666666666666</v>
          </cell>
          <cell r="AM347" t="str">
            <v>OK</v>
          </cell>
          <cell r="AO347">
            <v>17.111851774691363</v>
          </cell>
          <cell r="AP347">
            <v>3.1118517746913632</v>
          </cell>
          <cell r="AQ347">
            <v>45860</v>
          </cell>
          <cell r="AR347">
            <v>12.633333333333333</v>
          </cell>
          <cell r="AS347">
            <v>4.4785184413580303</v>
          </cell>
          <cell r="AT347">
            <v>45908</v>
          </cell>
          <cell r="AU347">
            <v>4.4785184413580303</v>
          </cell>
          <cell r="AV347">
            <v>379</v>
          </cell>
          <cell r="AW347">
            <v>4.4785184413580303</v>
          </cell>
          <cell r="AY347">
            <v>518.46369178241002</v>
          </cell>
          <cell r="AZ347" t="str">
            <v>F18</v>
          </cell>
          <cell r="BA347">
            <v>12.13</v>
          </cell>
          <cell r="BB347" t="str">
            <v>NSFC</v>
          </cell>
          <cell r="BC347" t="str">
            <v>F18CK</v>
          </cell>
        </row>
        <row r="348">
          <cell r="A348" t="str">
            <v>533C1</v>
          </cell>
          <cell r="B348" t="str">
            <v>3</v>
          </cell>
          <cell r="C348" t="str">
            <v>05</v>
          </cell>
          <cell r="D348">
            <v>19</v>
          </cell>
          <cell r="E348" t="str">
            <v>533C1</v>
          </cell>
          <cell r="F348">
            <v>7.18</v>
          </cell>
          <cell r="G348">
            <v>5.62</v>
          </cell>
          <cell r="H348">
            <v>5.62</v>
          </cell>
          <cell r="I348" t="str">
            <v>BK</v>
          </cell>
          <cell r="J348" t="str">
            <v>SC</v>
          </cell>
          <cell r="K348">
            <v>0</v>
          </cell>
          <cell r="L348">
            <v>45980</v>
          </cell>
          <cell r="M348">
            <v>45980</v>
          </cell>
          <cell r="N348">
            <v>14</v>
          </cell>
          <cell r="O348" t="str">
            <v>NS</v>
          </cell>
          <cell r="P348" t="str">
            <v/>
          </cell>
          <cell r="Q348">
            <v>45980</v>
          </cell>
          <cell r="R348" t="str">
            <v/>
          </cell>
          <cell r="S348" t="str">
            <v/>
          </cell>
          <cell r="T348" t="str">
            <v/>
          </cell>
          <cell r="U348">
            <v>72833</v>
          </cell>
          <cell r="V348">
            <v>51387</v>
          </cell>
          <cell r="W348">
            <v>43943</v>
          </cell>
          <cell r="X348" t="str">
            <v>Lokasi Produksi 533C1 ( pisang )</v>
          </cell>
          <cell r="Z348">
            <v>0</v>
          </cell>
          <cell r="AA348">
            <v>45980</v>
          </cell>
          <cell r="AB348">
            <v>576.59733611111005</v>
          </cell>
          <cell r="AC348">
            <v>19.219911203703667</v>
          </cell>
          <cell r="AD348">
            <v>5.219911203703667</v>
          </cell>
          <cell r="AE348">
            <v>1.57</v>
          </cell>
          <cell r="AF348">
            <v>0</v>
          </cell>
          <cell r="AG348">
            <v>-1355.4666666666667</v>
          </cell>
          <cell r="AM348" t="str">
            <v>OK</v>
          </cell>
          <cell r="AO348">
            <v>0.47851844135802823</v>
          </cell>
          <cell r="AP348">
            <v>0.47851844135802823</v>
          </cell>
          <cell r="AQ348">
            <v>0</v>
          </cell>
          <cell r="AR348">
            <v>0.47851844135802823</v>
          </cell>
          <cell r="AS348">
            <v>0</v>
          </cell>
          <cell r="AT348">
            <v>45980</v>
          </cell>
          <cell r="AU348">
            <v>0.47851844135802823</v>
          </cell>
          <cell r="AV348">
            <v>14.355553240740846</v>
          </cell>
          <cell r="AW348">
            <v>0.47851844135802823</v>
          </cell>
          <cell r="AY348">
            <v>19.463691782410024</v>
          </cell>
          <cell r="AZ348" t="str">
            <v>F18</v>
          </cell>
          <cell r="BA348">
            <v>0</v>
          </cell>
          <cell r="BB348" t="str">
            <v>NSBK</v>
          </cell>
          <cell r="BC348" t="str">
            <v>F18</v>
          </cell>
        </row>
        <row r="349">
          <cell r="A349" t="str">
            <v>533C2</v>
          </cell>
          <cell r="B349" t="str">
            <v>3</v>
          </cell>
          <cell r="C349" t="str">
            <v>05</v>
          </cell>
          <cell r="D349">
            <v>19</v>
          </cell>
          <cell r="E349" t="str">
            <v>533C2</v>
          </cell>
          <cell r="F349">
            <v>9.5299999999999994</v>
          </cell>
          <cell r="G349">
            <v>7.58</v>
          </cell>
          <cell r="H349">
            <v>7.58</v>
          </cell>
          <cell r="I349" t="str">
            <v>SC</v>
          </cell>
          <cell r="J349" t="str">
            <v>FC</v>
          </cell>
          <cell r="K349">
            <v>8</v>
          </cell>
          <cell r="L349">
            <v>45654</v>
          </cell>
          <cell r="M349">
            <v>45654</v>
          </cell>
          <cell r="N349">
            <v>340</v>
          </cell>
          <cell r="O349" t="str">
            <v>NS</v>
          </cell>
          <cell r="P349" t="str">
            <v/>
          </cell>
          <cell r="Q349">
            <v>45898</v>
          </cell>
          <cell r="R349" t="str">
            <v/>
          </cell>
          <cell r="S349" t="str">
            <v/>
          </cell>
          <cell r="T349">
            <v>45874</v>
          </cell>
          <cell r="U349">
            <v>69773</v>
          </cell>
          <cell r="V349">
            <v>51424</v>
          </cell>
          <cell r="W349" t="str">
            <v/>
          </cell>
          <cell r="X349" t="str">
            <v>Lokasi Produksi 533C2 ( pisang )</v>
          </cell>
          <cell r="Z349">
            <v>8</v>
          </cell>
          <cell r="AA349">
            <v>45898</v>
          </cell>
          <cell r="AB349">
            <v>550.59733611111005</v>
          </cell>
          <cell r="AC349">
            <v>18.353244537037003</v>
          </cell>
          <cell r="AD349">
            <v>-20</v>
          </cell>
          <cell r="AE349">
            <v>0</v>
          </cell>
          <cell r="AF349">
            <v>0</v>
          </cell>
          <cell r="AG349">
            <v>-1356.3333333333333</v>
          </cell>
          <cell r="AM349" t="str">
            <v>OK</v>
          </cell>
          <cell r="AO349">
            <v>11.345185108024696</v>
          </cell>
          <cell r="AP349">
            <v>3.3451851080246957</v>
          </cell>
          <cell r="AQ349">
            <v>45874</v>
          </cell>
          <cell r="AR349">
            <v>7.333333333333333</v>
          </cell>
          <cell r="AS349">
            <v>4.0118517746913627</v>
          </cell>
          <cell r="AT349">
            <v>45898</v>
          </cell>
          <cell r="AU349">
            <v>4.0118517746913627</v>
          </cell>
          <cell r="AV349">
            <v>220</v>
          </cell>
          <cell r="AW349">
            <v>4.0118517746913627</v>
          </cell>
          <cell r="AY349">
            <v>345.46369178241002</v>
          </cell>
          <cell r="AZ349" t="str">
            <v>F18</v>
          </cell>
          <cell r="BA349">
            <v>7.58</v>
          </cell>
          <cell r="BB349" t="str">
            <v>NSSC</v>
          </cell>
          <cell r="BC349" t="str">
            <v>F18</v>
          </cell>
        </row>
        <row r="350">
          <cell r="A350" t="str">
            <v>533D</v>
          </cell>
          <cell r="B350" t="str">
            <v>3</v>
          </cell>
          <cell r="C350" t="str">
            <v>05</v>
          </cell>
          <cell r="D350">
            <v>19</v>
          </cell>
          <cell r="E350" t="str">
            <v>533D</v>
          </cell>
          <cell r="F350">
            <v>5.46</v>
          </cell>
          <cell r="G350">
            <v>4.28</v>
          </cell>
          <cell r="H350">
            <v>4.28</v>
          </cell>
          <cell r="I350" t="str">
            <v>SC</v>
          </cell>
          <cell r="J350" t="str">
            <v>FC</v>
          </cell>
          <cell r="K350">
            <v>8</v>
          </cell>
          <cell r="L350">
            <v>45738</v>
          </cell>
          <cell r="M350">
            <v>45738</v>
          </cell>
          <cell r="N350">
            <v>256</v>
          </cell>
          <cell r="O350" t="str">
            <v>NS</v>
          </cell>
          <cell r="P350" t="str">
            <v/>
          </cell>
          <cell r="Q350">
            <v>45982</v>
          </cell>
          <cell r="R350" t="str">
            <v/>
          </cell>
          <cell r="S350" t="str">
            <v/>
          </cell>
          <cell r="T350">
            <v>45969</v>
          </cell>
          <cell r="U350">
            <v>68024</v>
          </cell>
          <cell r="V350">
            <v>70470</v>
          </cell>
          <cell r="W350">
            <v>43517</v>
          </cell>
          <cell r="X350" t="str">
            <v>Lokasi Produksi 533D</v>
          </cell>
          <cell r="Z350">
            <v>8</v>
          </cell>
          <cell r="AA350">
            <v>45982</v>
          </cell>
          <cell r="AB350">
            <v>519.59733611111005</v>
          </cell>
          <cell r="AC350">
            <v>17.319911203703668</v>
          </cell>
          <cell r="AD350">
            <v>3.3199112037036684</v>
          </cell>
          <cell r="AE350">
            <v>1.17</v>
          </cell>
          <cell r="AF350">
            <v>0</v>
          </cell>
          <cell r="AG350">
            <v>-1357.3666666666666</v>
          </cell>
          <cell r="AM350" t="str">
            <v>OK</v>
          </cell>
          <cell r="AO350">
            <v>8.545185108024695</v>
          </cell>
          <cell r="AP350">
            <v>0.545185108024695</v>
          </cell>
          <cell r="AQ350">
            <v>45969</v>
          </cell>
          <cell r="AR350">
            <v>7.7</v>
          </cell>
          <cell r="AS350">
            <v>0.84518510802469482</v>
          </cell>
          <cell r="AT350">
            <v>45982</v>
          </cell>
          <cell r="AU350">
            <v>0.84518510802469482</v>
          </cell>
          <cell r="AV350">
            <v>231</v>
          </cell>
          <cell r="AW350">
            <v>0.84518510802469482</v>
          </cell>
          <cell r="AY350">
            <v>261.46369178241002</v>
          </cell>
          <cell r="AZ350" t="str">
            <v>F18</v>
          </cell>
          <cell r="BA350">
            <v>4.28</v>
          </cell>
          <cell r="BB350" t="str">
            <v>NSSC</v>
          </cell>
          <cell r="BC350" t="str">
            <v>F18</v>
          </cell>
        </row>
        <row r="351">
          <cell r="A351" t="str">
            <v>533E1</v>
          </cell>
          <cell r="B351" t="str">
            <v>3</v>
          </cell>
          <cell r="C351" t="str">
            <v>05</v>
          </cell>
          <cell r="D351">
            <v>19</v>
          </cell>
          <cell r="E351" t="str">
            <v>533E1</v>
          </cell>
          <cell r="F351">
            <v>10.96</v>
          </cell>
          <cell r="G351">
            <v>8.73</v>
          </cell>
          <cell r="H351">
            <v>8.73</v>
          </cell>
          <cell r="I351" t="str">
            <v>BB</v>
          </cell>
          <cell r="J351" t="str">
            <v>FC</v>
          </cell>
          <cell r="K351">
            <v>0</v>
          </cell>
          <cell r="L351">
            <v>45779</v>
          </cell>
          <cell r="M351">
            <v>45779</v>
          </cell>
          <cell r="N351">
            <v>215</v>
          </cell>
          <cell r="O351" t="str">
            <v>NS</v>
          </cell>
          <cell r="P351" t="str">
            <v/>
          </cell>
          <cell r="Q351">
            <v>45779</v>
          </cell>
          <cell r="R351" t="str">
            <v/>
          </cell>
          <cell r="S351" t="str">
            <v/>
          </cell>
          <cell r="T351" t="str">
            <v/>
          </cell>
          <cell r="U351">
            <v>69635</v>
          </cell>
          <cell r="V351">
            <v>69199</v>
          </cell>
          <cell r="W351">
            <v>43924</v>
          </cell>
          <cell r="X351" t="str">
            <v>Lokasi Produksi 533E1 ( pisang )</v>
          </cell>
          <cell r="Z351">
            <v>0</v>
          </cell>
          <cell r="AA351">
            <v>45779</v>
          </cell>
          <cell r="AB351">
            <v>332.59733611111005</v>
          </cell>
          <cell r="AC351">
            <v>11.086577870370336</v>
          </cell>
          <cell r="AD351">
            <v>-20</v>
          </cell>
          <cell r="AE351">
            <v>0</v>
          </cell>
          <cell r="AF351">
            <v>0</v>
          </cell>
          <cell r="AG351">
            <v>-1363.6</v>
          </cell>
          <cell r="AM351" t="str">
            <v>OK</v>
          </cell>
          <cell r="AO351">
            <v>7.1785184413580279</v>
          </cell>
          <cell r="AP351">
            <v>7.1785184413580279</v>
          </cell>
          <cell r="AQ351">
            <v>0</v>
          </cell>
          <cell r="AR351">
            <v>7.1785184413580279</v>
          </cell>
          <cell r="AS351">
            <v>0</v>
          </cell>
          <cell r="AT351">
            <v>45779</v>
          </cell>
          <cell r="AU351">
            <v>7.1785184413580279</v>
          </cell>
          <cell r="AV351">
            <v>215.35555324074085</v>
          </cell>
          <cell r="AW351">
            <v>7.1785184413580279</v>
          </cell>
          <cell r="AY351">
            <v>220.46369178241002</v>
          </cell>
          <cell r="AZ351" t="str">
            <v>F18</v>
          </cell>
          <cell r="BA351">
            <v>0</v>
          </cell>
          <cell r="BB351" t="str">
            <v>NSBB</v>
          </cell>
          <cell r="BC351" t="str">
            <v>F18</v>
          </cell>
        </row>
        <row r="352">
          <cell r="A352" t="str">
            <v>533E2</v>
          </cell>
          <cell r="B352" t="str">
            <v>3</v>
          </cell>
          <cell r="C352" t="str">
            <v>05</v>
          </cell>
          <cell r="D352">
            <v>19</v>
          </cell>
          <cell r="E352" t="str">
            <v>533E2</v>
          </cell>
          <cell r="F352">
            <v>9.7899999999999991</v>
          </cell>
          <cell r="G352">
            <v>7.81</v>
          </cell>
          <cell r="H352">
            <v>7.81</v>
          </cell>
          <cell r="I352" t="str">
            <v>SC</v>
          </cell>
          <cell r="J352" t="str">
            <v>FC</v>
          </cell>
          <cell r="K352">
            <v>8</v>
          </cell>
          <cell r="L352">
            <v>45740</v>
          </cell>
          <cell r="M352">
            <v>45740</v>
          </cell>
          <cell r="N352">
            <v>254</v>
          </cell>
          <cell r="O352" t="str">
            <v>NS</v>
          </cell>
          <cell r="P352" t="str">
            <v/>
          </cell>
          <cell r="Q352">
            <v>45984</v>
          </cell>
          <cell r="R352" t="str">
            <v/>
          </cell>
          <cell r="S352" t="str">
            <v/>
          </cell>
          <cell r="T352">
            <v>45980</v>
          </cell>
          <cell r="U352">
            <v>70484</v>
          </cell>
          <cell r="V352">
            <v>69885</v>
          </cell>
          <cell r="W352">
            <v>45655</v>
          </cell>
          <cell r="X352" t="str">
            <v>Lokasi Produksi 533E2 ( pisang )</v>
          </cell>
          <cell r="Z352">
            <v>8</v>
          </cell>
          <cell r="AA352">
            <v>45984</v>
          </cell>
          <cell r="AB352">
            <v>153.59733611111005</v>
          </cell>
          <cell r="AC352">
            <v>5.1199112037036683</v>
          </cell>
          <cell r="AD352">
            <v>-20</v>
          </cell>
          <cell r="AE352">
            <v>0</v>
          </cell>
          <cell r="AF352">
            <v>0</v>
          </cell>
          <cell r="AG352">
            <v>-1369.5666666666666</v>
          </cell>
          <cell r="AM352" t="str">
            <v>OK</v>
          </cell>
          <cell r="AO352">
            <v>8.4785184413580286</v>
          </cell>
          <cell r="AP352">
            <v>0.47851844135802857</v>
          </cell>
          <cell r="AQ352">
            <v>45980</v>
          </cell>
          <cell r="AR352">
            <v>8</v>
          </cell>
          <cell r="AS352">
            <v>0.47851844135802857</v>
          </cell>
          <cell r="AT352">
            <v>45984</v>
          </cell>
          <cell r="AU352">
            <v>0.47851844135802857</v>
          </cell>
          <cell r="AV352">
            <v>240</v>
          </cell>
          <cell r="AW352">
            <v>0.47851844135802857</v>
          </cell>
          <cell r="AY352">
            <v>259.46369178241002</v>
          </cell>
          <cell r="AZ352" t="str">
            <v>F18</v>
          </cell>
          <cell r="BA352">
            <v>7.81</v>
          </cell>
          <cell r="BB352" t="str">
            <v>NSSC</v>
          </cell>
          <cell r="BC352" t="str">
            <v>F18</v>
          </cell>
        </row>
        <row r="353">
          <cell r="A353" t="str">
            <v>533F1</v>
          </cell>
          <cell r="B353" t="str">
            <v>3</v>
          </cell>
          <cell r="C353" t="str">
            <v>05</v>
          </cell>
          <cell r="D353">
            <v>19</v>
          </cell>
          <cell r="E353" t="str">
            <v>533F1</v>
          </cell>
          <cell r="F353">
            <v>9.07</v>
          </cell>
          <cell r="G353">
            <v>7.12</v>
          </cell>
          <cell r="H353">
            <v>7.12</v>
          </cell>
          <cell r="I353" t="str">
            <v>SC</v>
          </cell>
          <cell r="J353" t="str">
            <v>FC</v>
          </cell>
          <cell r="K353">
            <v>8</v>
          </cell>
          <cell r="L353">
            <v>45768</v>
          </cell>
          <cell r="M353">
            <v>45768</v>
          </cell>
          <cell r="N353">
            <v>226</v>
          </cell>
          <cell r="O353" t="str">
            <v>NS</v>
          </cell>
          <cell r="P353" t="str">
            <v/>
          </cell>
          <cell r="Q353">
            <v>46012</v>
          </cell>
          <cell r="R353" t="str">
            <v/>
          </cell>
          <cell r="S353" t="str">
            <v/>
          </cell>
          <cell r="T353">
            <v>45980</v>
          </cell>
          <cell r="U353">
            <v>69250</v>
          </cell>
          <cell r="V353">
            <v>70710</v>
          </cell>
          <cell r="W353">
            <v>45151</v>
          </cell>
          <cell r="X353" t="str">
            <v>Lokasi Produksi 533F1 ( pecahan 533F )</v>
          </cell>
          <cell r="Z353">
            <v>8</v>
          </cell>
          <cell r="AA353">
            <v>46012</v>
          </cell>
          <cell r="AB353">
            <v>272.59733611111005</v>
          </cell>
          <cell r="AC353">
            <v>9.0865778703703359</v>
          </cell>
          <cell r="AD353">
            <v>-20</v>
          </cell>
          <cell r="AE353">
            <v>0</v>
          </cell>
          <cell r="AF353">
            <v>0</v>
          </cell>
          <cell r="AG353">
            <v>-1365.6</v>
          </cell>
          <cell r="AM353" t="str">
            <v>OK</v>
          </cell>
          <cell r="AO353">
            <v>7.545185108024695</v>
          </cell>
          <cell r="AP353">
            <v>-0.454814891975305</v>
          </cell>
          <cell r="AQ353">
            <v>45980</v>
          </cell>
          <cell r="AR353">
            <v>7.0666666666666664</v>
          </cell>
          <cell r="AS353">
            <v>0.47851844135802857</v>
          </cell>
          <cell r="AT353">
            <v>46012</v>
          </cell>
          <cell r="AU353">
            <v>0.47851844135802857</v>
          </cell>
          <cell r="AV353">
            <v>212</v>
          </cell>
          <cell r="AW353">
            <v>0.47851844135802857</v>
          </cell>
          <cell r="AY353">
            <v>231.46369178241002</v>
          </cell>
          <cell r="AZ353" t="str">
            <v>F18</v>
          </cell>
          <cell r="BA353">
            <v>7.12</v>
          </cell>
          <cell r="BB353" t="str">
            <v>NSSC</v>
          </cell>
          <cell r="BC353" t="str">
            <v>F18</v>
          </cell>
        </row>
        <row r="354">
          <cell r="A354" t="str">
            <v>533F2</v>
          </cell>
          <cell r="B354" t="str">
            <v>3</v>
          </cell>
          <cell r="C354" t="str">
            <v>05</v>
          </cell>
          <cell r="D354">
            <v>19</v>
          </cell>
          <cell r="E354" t="str">
            <v>533F2</v>
          </cell>
          <cell r="F354">
            <v>8.59</v>
          </cell>
          <cell r="G354">
            <v>6.68</v>
          </cell>
          <cell r="H354">
            <v>6.68</v>
          </cell>
          <cell r="I354" t="str">
            <v>SC</v>
          </cell>
          <cell r="J354" t="str">
            <v>FC</v>
          </cell>
          <cell r="K354">
            <v>8</v>
          </cell>
          <cell r="L354">
            <v>45768</v>
          </cell>
          <cell r="M354">
            <v>45768</v>
          </cell>
          <cell r="N354">
            <v>226</v>
          </cell>
          <cell r="O354" t="str">
            <v>NS</v>
          </cell>
          <cell r="P354" t="str">
            <v/>
          </cell>
          <cell r="Q354">
            <v>46012</v>
          </cell>
          <cell r="R354" t="str">
            <v/>
          </cell>
          <cell r="S354" t="str">
            <v/>
          </cell>
          <cell r="T354">
            <v>45966</v>
          </cell>
          <cell r="U354">
            <v>70074</v>
          </cell>
          <cell r="V354">
            <v>69992</v>
          </cell>
          <cell r="W354">
            <v>45152</v>
          </cell>
          <cell r="X354" t="str">
            <v>Lokasi Produksi 533F2 ( pecahan 533F )</v>
          </cell>
          <cell r="Z354">
            <v>8</v>
          </cell>
          <cell r="AA354">
            <v>46012</v>
          </cell>
          <cell r="AB354">
            <v>412.59733611111005</v>
          </cell>
          <cell r="AC354">
            <v>13.753244537037002</v>
          </cell>
          <cell r="AD354">
            <v>-20</v>
          </cell>
          <cell r="AE354">
            <v>0</v>
          </cell>
          <cell r="AF354">
            <v>0</v>
          </cell>
          <cell r="AG354">
            <v>-1360.9333333333334</v>
          </cell>
          <cell r="AK354">
            <v>40318</v>
          </cell>
          <cell r="AM354" t="str">
            <v>OK</v>
          </cell>
          <cell r="AO354">
            <v>7.545185108024695</v>
          </cell>
          <cell r="AP354">
            <v>-0.454814891975305</v>
          </cell>
          <cell r="AQ354">
            <v>45966</v>
          </cell>
          <cell r="AR354">
            <v>6.6</v>
          </cell>
          <cell r="AS354">
            <v>0.94518510802469535</v>
          </cell>
          <cell r="AT354">
            <v>46012</v>
          </cell>
          <cell r="AU354">
            <v>0.94518510802469535</v>
          </cell>
          <cell r="AV354">
            <v>198</v>
          </cell>
          <cell r="AW354">
            <v>0.94518510802469535</v>
          </cell>
          <cell r="AY354">
            <v>231.46369178241002</v>
          </cell>
          <cell r="AZ354" t="str">
            <v>F18</v>
          </cell>
          <cell r="BA354">
            <v>6.68</v>
          </cell>
          <cell r="BB354" t="str">
            <v>NSSC</v>
          </cell>
          <cell r="BC354" t="str">
            <v>F18</v>
          </cell>
        </row>
        <row r="355">
          <cell r="A355" t="str">
            <v>533G1</v>
          </cell>
          <cell r="B355" t="str">
            <v>3</v>
          </cell>
          <cell r="C355" t="str">
            <v>05</v>
          </cell>
          <cell r="D355">
            <v>19</v>
          </cell>
          <cell r="E355" t="str">
            <v>533G1</v>
          </cell>
          <cell r="F355">
            <v>18.46</v>
          </cell>
          <cell r="G355">
            <v>14.7</v>
          </cell>
          <cell r="H355">
            <v>14.7</v>
          </cell>
          <cell r="I355" t="str">
            <v>SC</v>
          </cell>
          <cell r="J355" t="str">
            <v>FC</v>
          </cell>
          <cell r="K355">
            <v>8</v>
          </cell>
          <cell r="L355">
            <v>45865</v>
          </cell>
          <cell r="M355">
            <v>45865</v>
          </cell>
          <cell r="N355">
            <v>129</v>
          </cell>
          <cell r="O355" t="str">
            <v>NS</v>
          </cell>
          <cell r="P355" t="str">
            <v/>
          </cell>
          <cell r="Q355">
            <v>46109</v>
          </cell>
          <cell r="R355" t="str">
            <v/>
          </cell>
          <cell r="S355" t="str">
            <v/>
          </cell>
          <cell r="T355" t="str">
            <v/>
          </cell>
          <cell r="U355">
            <v>65596</v>
          </cell>
          <cell r="V355">
            <v>67014</v>
          </cell>
          <cell r="W355" t="str">
            <v/>
          </cell>
          <cell r="X355" t="str">
            <v>Lokasi Produksi 533G1 ( pisang )</v>
          </cell>
          <cell r="Z355">
            <v>8</v>
          </cell>
          <cell r="AA355">
            <v>46109</v>
          </cell>
          <cell r="AB355">
            <v>249.59733611111005</v>
          </cell>
          <cell r="AC355">
            <v>8.3199112037036684</v>
          </cell>
          <cell r="AD355">
            <v>-20</v>
          </cell>
          <cell r="AE355">
            <v>0</v>
          </cell>
          <cell r="AF355">
            <v>0</v>
          </cell>
          <cell r="AG355">
            <v>-1366.3666666666666</v>
          </cell>
          <cell r="AM355" t="str">
            <v>OK</v>
          </cell>
          <cell r="AO355">
            <v>4.3118517746913616</v>
          </cell>
          <cell r="AP355">
            <v>-3.6881482253086384</v>
          </cell>
          <cell r="AQ355">
            <v>0</v>
          </cell>
          <cell r="AR355">
            <v>4.3118517746913616</v>
          </cell>
          <cell r="AS355">
            <v>0</v>
          </cell>
          <cell r="AT355">
            <v>46109</v>
          </cell>
          <cell r="AU355">
            <v>-3.6881482253086384</v>
          </cell>
          <cell r="AV355">
            <v>129.35555324074085</v>
          </cell>
          <cell r="AW355">
            <v>-3.6881482253086384</v>
          </cell>
          <cell r="AY355">
            <v>134.46369178241002</v>
          </cell>
          <cell r="AZ355" t="str">
            <v>F18</v>
          </cell>
          <cell r="BA355">
            <v>14.7</v>
          </cell>
          <cell r="BB355" t="str">
            <v>NSSC</v>
          </cell>
          <cell r="BC355" t="str">
            <v>F18</v>
          </cell>
        </row>
        <row r="356">
          <cell r="A356" t="str">
            <v>533G2</v>
          </cell>
          <cell r="B356" t="str">
            <v>3</v>
          </cell>
          <cell r="C356" t="str">
            <v>05</v>
          </cell>
          <cell r="D356">
            <v>19</v>
          </cell>
          <cell r="E356" t="str">
            <v>533G2</v>
          </cell>
          <cell r="F356">
            <v>11.44</v>
          </cell>
          <cell r="G356">
            <v>8.9</v>
          </cell>
          <cell r="H356">
            <v>8.9</v>
          </cell>
          <cell r="I356" t="str">
            <v>SC</v>
          </cell>
          <cell r="J356" t="str">
            <v>FC</v>
          </cell>
          <cell r="K356">
            <v>8</v>
          </cell>
          <cell r="L356">
            <v>45884</v>
          </cell>
          <cell r="M356">
            <v>45884</v>
          </cell>
          <cell r="N356">
            <v>110</v>
          </cell>
          <cell r="O356" t="str">
            <v>NS</v>
          </cell>
          <cell r="P356" t="str">
            <v/>
          </cell>
          <cell r="Q356">
            <v>46128</v>
          </cell>
          <cell r="R356" t="str">
            <v/>
          </cell>
          <cell r="S356" t="str">
            <v/>
          </cell>
          <cell r="T356" t="str">
            <v/>
          </cell>
          <cell r="U356">
            <v>62907</v>
          </cell>
          <cell r="V356">
            <v>68426</v>
          </cell>
          <cell r="W356">
            <v>43532</v>
          </cell>
          <cell r="X356" t="str">
            <v>Lokasi Produksi 533G ( pisang )</v>
          </cell>
          <cell r="Z356">
            <v>8</v>
          </cell>
          <cell r="AA356">
            <v>46128</v>
          </cell>
          <cell r="AB356">
            <v>661.59733611111005</v>
          </cell>
          <cell r="AC356">
            <v>22.053244537037003</v>
          </cell>
          <cell r="AD356">
            <v>-20</v>
          </cell>
          <cell r="AE356">
            <v>0</v>
          </cell>
          <cell r="AF356">
            <v>0</v>
          </cell>
          <cell r="AG356">
            <v>-1352.6333333333334</v>
          </cell>
          <cell r="AM356" t="str">
            <v>OK</v>
          </cell>
          <cell r="AO356">
            <v>3.6785184413580283</v>
          </cell>
          <cell r="AP356">
            <v>-4.3214815586419721</v>
          </cell>
          <cell r="AQ356">
            <v>0</v>
          </cell>
          <cell r="AR356">
            <v>3.6785184413580283</v>
          </cell>
          <cell r="AS356">
            <v>0</v>
          </cell>
          <cell r="AT356">
            <v>46128</v>
          </cell>
          <cell r="AU356">
            <v>-4.3214815586419721</v>
          </cell>
          <cell r="AV356">
            <v>110.35555324074085</v>
          </cell>
          <cell r="AW356">
            <v>-4.3214815586419721</v>
          </cell>
          <cell r="AY356">
            <v>115.46369178241002</v>
          </cell>
          <cell r="AZ356" t="str">
            <v>F18</v>
          </cell>
          <cell r="BA356">
            <v>8.9</v>
          </cell>
          <cell r="BB356" t="str">
            <v>NSSC</v>
          </cell>
          <cell r="BC356" t="str">
            <v>F18</v>
          </cell>
        </row>
        <row r="357">
          <cell r="A357" t="str">
            <v>533H1</v>
          </cell>
          <cell r="B357" t="str">
            <v>3</v>
          </cell>
          <cell r="C357" t="str">
            <v>05</v>
          </cell>
          <cell r="D357">
            <v>19</v>
          </cell>
          <cell r="E357" t="str">
            <v>533H1</v>
          </cell>
          <cell r="F357">
            <v>9.82</v>
          </cell>
          <cell r="G357">
            <v>8.14</v>
          </cell>
          <cell r="H357">
            <v>8.14</v>
          </cell>
          <cell r="I357" t="str">
            <v>FC</v>
          </cell>
          <cell r="J357" t="str">
            <v>ST</v>
          </cell>
          <cell r="K357">
            <v>14</v>
          </cell>
          <cell r="L357">
            <v>45911</v>
          </cell>
          <cell r="M357">
            <v>45911</v>
          </cell>
          <cell r="N357">
            <v>83</v>
          </cell>
          <cell r="O357" t="str">
            <v>NS</v>
          </cell>
          <cell r="P357" t="str">
            <v>NSF18CK3</v>
          </cell>
          <cell r="Q357">
            <v>46338</v>
          </cell>
          <cell r="R357" t="str">
            <v/>
          </cell>
          <cell r="S357" t="str">
            <v/>
          </cell>
          <cell r="T357" t="str">
            <v/>
          </cell>
          <cell r="U357">
            <v>69689</v>
          </cell>
          <cell r="V357">
            <v>52541</v>
          </cell>
          <cell r="W357">
            <v>44384</v>
          </cell>
          <cell r="X357" t="str">
            <v>lokasi Produksi 533H1 ( pecahan 533H )</v>
          </cell>
          <cell r="Z357">
            <v>14</v>
          </cell>
          <cell r="AA357">
            <v>46338</v>
          </cell>
          <cell r="AB357">
            <v>1005.5973361111101</v>
          </cell>
          <cell r="AC357">
            <v>33.519911203703671</v>
          </cell>
          <cell r="AD357">
            <v>-20</v>
          </cell>
          <cell r="AE357">
            <v>0</v>
          </cell>
          <cell r="AF357">
            <v>0</v>
          </cell>
          <cell r="AG357">
            <v>-1341.1666666666667</v>
          </cell>
          <cell r="AM357" t="str">
            <v>OK</v>
          </cell>
          <cell r="AO357">
            <v>2.7785184413580284</v>
          </cell>
          <cell r="AP357">
            <v>-11.221481558641972</v>
          </cell>
          <cell r="AQ357">
            <v>0</v>
          </cell>
          <cell r="AR357">
            <v>2.7785184413580284</v>
          </cell>
          <cell r="AS357">
            <v>0</v>
          </cell>
          <cell r="AT357">
            <v>46338</v>
          </cell>
          <cell r="AU357">
            <v>-11.221481558641972</v>
          </cell>
          <cell r="AV357">
            <v>83.355553240740846</v>
          </cell>
          <cell r="AW357">
            <v>-11.221481558641972</v>
          </cell>
          <cell r="AY357">
            <v>88.463691782410024</v>
          </cell>
          <cell r="AZ357" t="str">
            <v>F18</v>
          </cell>
          <cell r="BA357">
            <v>8.14</v>
          </cell>
          <cell r="BB357" t="str">
            <v>NSFC</v>
          </cell>
          <cell r="BC357" t="str">
            <v>F18CK</v>
          </cell>
        </row>
        <row r="358">
          <cell r="A358" t="str">
            <v>533H2</v>
          </cell>
          <cell r="B358" t="str">
            <v>3</v>
          </cell>
          <cell r="C358" t="str">
            <v>05</v>
          </cell>
          <cell r="D358">
            <v>19</v>
          </cell>
          <cell r="E358" t="str">
            <v>533H2</v>
          </cell>
          <cell r="F358">
            <v>6.08</v>
          </cell>
          <cell r="G358">
            <v>5.0999999999999996</v>
          </cell>
          <cell r="H358">
            <v>5.0999999999999996</v>
          </cell>
          <cell r="I358" t="str">
            <v>FC</v>
          </cell>
          <cell r="J358" t="str">
            <v>ST</v>
          </cell>
          <cell r="K358">
            <v>12</v>
          </cell>
          <cell r="L358">
            <v>45654</v>
          </cell>
          <cell r="M358">
            <v>45654</v>
          </cell>
          <cell r="N358">
            <v>340</v>
          </cell>
          <cell r="O358" t="str">
            <v>NS</v>
          </cell>
          <cell r="P358" t="str">
            <v>NSGP3SS3</v>
          </cell>
          <cell r="Q358">
            <v>46020</v>
          </cell>
          <cell r="R358" t="str">
            <v/>
          </cell>
          <cell r="S358" t="str">
            <v/>
          </cell>
          <cell r="T358" t="str">
            <v/>
          </cell>
          <cell r="U358">
            <v>69823</v>
          </cell>
          <cell r="V358">
            <v>70811</v>
          </cell>
          <cell r="W358">
            <v>44167</v>
          </cell>
          <cell r="X358" t="str">
            <v>Lokasi Produksi 533H2 ( pecahan 533H ) "J"</v>
          </cell>
          <cell r="Z358">
            <v>12</v>
          </cell>
          <cell r="AA358">
            <v>46020</v>
          </cell>
          <cell r="AB358">
            <v>363.59733611111005</v>
          </cell>
          <cell r="AC358">
            <v>12.119911203703669</v>
          </cell>
          <cell r="AD358">
            <v>-20</v>
          </cell>
          <cell r="AE358">
            <v>0</v>
          </cell>
          <cell r="AF358">
            <v>0</v>
          </cell>
          <cell r="AG358">
            <v>-1362.5666666666666</v>
          </cell>
          <cell r="AM358" t="str">
            <v>OK</v>
          </cell>
          <cell r="AO358">
            <v>11.345185108024696</v>
          </cell>
          <cell r="AP358">
            <v>-0.65481489197530429</v>
          </cell>
          <cell r="AQ358">
            <v>0</v>
          </cell>
          <cell r="AR358">
            <v>11.345185108024696</v>
          </cell>
          <cell r="AS358">
            <v>0</v>
          </cell>
          <cell r="AT358">
            <v>46020</v>
          </cell>
          <cell r="AU358">
            <v>-0.65481489197530429</v>
          </cell>
          <cell r="AV358">
            <v>340.35555324074085</v>
          </cell>
          <cell r="AW358">
            <v>-0.65481489197530429</v>
          </cell>
          <cell r="AY358">
            <v>345.46369178241002</v>
          </cell>
          <cell r="AZ358" t="str">
            <v>GP3</v>
          </cell>
          <cell r="BA358">
            <v>5.0999999999999996</v>
          </cell>
          <cell r="BB358" t="str">
            <v>NSFC</v>
          </cell>
          <cell r="BC358" t="str">
            <v>GP3SS</v>
          </cell>
        </row>
        <row r="359">
          <cell r="A359" t="str">
            <v>533PS</v>
          </cell>
          <cell r="B359" t="str">
            <v>3</v>
          </cell>
          <cell r="C359" t="str">
            <v>05</v>
          </cell>
          <cell r="D359">
            <v>19</v>
          </cell>
          <cell r="E359" t="str">
            <v>533PS</v>
          </cell>
          <cell r="F359">
            <v>0.67</v>
          </cell>
          <cell r="G359">
            <v>0.67</v>
          </cell>
          <cell r="H359">
            <v>0.67</v>
          </cell>
          <cell r="I359" t="str">
            <v>FC</v>
          </cell>
          <cell r="J359" t="str">
            <v>ST</v>
          </cell>
          <cell r="K359">
            <v>0</v>
          </cell>
          <cell r="L359">
            <v>45876</v>
          </cell>
          <cell r="M359">
            <v>45876</v>
          </cell>
          <cell r="N359">
            <v>118</v>
          </cell>
          <cell r="O359" t="str">
            <v>SK</v>
          </cell>
          <cell r="P359" t="str">
            <v/>
          </cell>
          <cell r="Q359">
            <v>45876</v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>
            <v>45879</v>
          </cell>
          <cell r="X359" t="str">
            <v>Lokasi Produksi 533PS ( singkong )</v>
          </cell>
          <cell r="Z359">
            <v>0</v>
          </cell>
          <cell r="AA359">
            <v>45876</v>
          </cell>
          <cell r="AB359">
            <v>237.59733611111005</v>
          </cell>
          <cell r="AC359">
            <v>7.9199112037036681</v>
          </cell>
          <cell r="AD359">
            <v>-20</v>
          </cell>
          <cell r="AE359">
            <v>0</v>
          </cell>
          <cell r="AF359">
            <v>0</v>
          </cell>
          <cell r="AG359">
            <v>-1366.7666666666667</v>
          </cell>
          <cell r="AK359">
            <v>40349</v>
          </cell>
          <cell r="AM359" t="str">
            <v>OK</v>
          </cell>
          <cell r="AO359">
            <v>3.9451851080246949</v>
          </cell>
          <cell r="AP359">
            <v>3.9451851080246949</v>
          </cell>
          <cell r="AQ359">
            <v>0</v>
          </cell>
          <cell r="AR359">
            <v>3.9451851080246949</v>
          </cell>
          <cell r="AS359">
            <v>0</v>
          </cell>
          <cell r="AT359">
            <v>45876</v>
          </cell>
          <cell r="AU359">
            <v>3.9451851080246949</v>
          </cell>
          <cell r="AV359">
            <v>118.35555324074085</v>
          </cell>
          <cell r="AW359">
            <v>3.9451851080246949</v>
          </cell>
          <cell r="AY359">
            <v>123.46369178241002</v>
          </cell>
          <cell r="AZ359" t="str">
            <v>F18</v>
          </cell>
          <cell r="BA359">
            <v>0</v>
          </cell>
          <cell r="BB359" t="str">
            <v>SKFC</v>
          </cell>
          <cell r="BC359" t="str">
            <v>F18</v>
          </cell>
        </row>
        <row r="360">
          <cell r="A360" t="str">
            <v>534A1</v>
          </cell>
          <cell r="B360" t="str">
            <v>3</v>
          </cell>
          <cell r="C360" t="str">
            <v>05</v>
          </cell>
          <cell r="D360">
            <v>19</v>
          </cell>
          <cell r="E360" t="str">
            <v>534A1</v>
          </cell>
          <cell r="F360">
            <v>11.9</v>
          </cell>
          <cell r="G360">
            <v>10.029999999999999</v>
          </cell>
          <cell r="H360">
            <v>10.029999999999999</v>
          </cell>
          <cell r="I360" t="str">
            <v>FC</v>
          </cell>
          <cell r="J360" t="str">
            <v>ST</v>
          </cell>
          <cell r="K360">
            <v>14</v>
          </cell>
          <cell r="L360">
            <v>45808</v>
          </cell>
          <cell r="M360">
            <v>45808</v>
          </cell>
          <cell r="N360">
            <v>186</v>
          </cell>
          <cell r="O360" t="str">
            <v>NS</v>
          </cell>
          <cell r="P360" t="str">
            <v>NSGP3CK3</v>
          </cell>
          <cell r="Q360">
            <v>46235</v>
          </cell>
          <cell r="R360" t="str">
            <v/>
          </cell>
          <cell r="S360" t="str">
            <v/>
          </cell>
          <cell r="T360" t="str">
            <v/>
          </cell>
          <cell r="U360">
            <v>63932</v>
          </cell>
          <cell r="V360">
            <v>74168</v>
          </cell>
          <cell r="W360" t="str">
            <v/>
          </cell>
          <cell r="X360" t="str">
            <v>Lokasi Produksi 534A1 ( pecahan 534A )</v>
          </cell>
          <cell r="Z360">
            <v>14</v>
          </cell>
          <cell r="AA360">
            <v>46235</v>
          </cell>
          <cell r="AB360">
            <v>332.59733611111005</v>
          </cell>
          <cell r="AC360">
            <v>11.086577870370336</v>
          </cell>
          <cell r="AD360">
            <v>-20</v>
          </cell>
          <cell r="AE360">
            <v>0</v>
          </cell>
          <cell r="AF360">
            <v>0</v>
          </cell>
          <cell r="AG360">
            <v>-1363.6</v>
          </cell>
          <cell r="AM360" t="str">
            <v>OK</v>
          </cell>
          <cell r="AO360">
            <v>6.211851774691362</v>
          </cell>
          <cell r="AP360">
            <v>-7.788148225308638</v>
          </cell>
          <cell r="AQ360">
            <v>0</v>
          </cell>
          <cell r="AR360">
            <v>6.211851774691362</v>
          </cell>
          <cell r="AS360">
            <v>0</v>
          </cell>
          <cell r="AT360">
            <v>46235</v>
          </cell>
          <cell r="AU360">
            <v>-7.788148225308638</v>
          </cell>
          <cell r="AV360">
            <v>186.35555324074085</v>
          </cell>
          <cell r="AW360">
            <v>-7.788148225308638</v>
          </cell>
          <cell r="AY360">
            <v>191.46369178241002</v>
          </cell>
          <cell r="AZ360" t="str">
            <v>GP3</v>
          </cell>
          <cell r="BA360">
            <v>10.029999999999999</v>
          </cell>
          <cell r="BB360" t="str">
            <v>NSFC</v>
          </cell>
          <cell r="BC360" t="str">
            <v>GP3CK</v>
          </cell>
        </row>
        <row r="361">
          <cell r="A361" t="str">
            <v>534A2</v>
          </cell>
          <cell r="B361" t="str">
            <v>3</v>
          </cell>
          <cell r="C361" t="str">
            <v>05</v>
          </cell>
          <cell r="D361">
            <v>19</v>
          </cell>
          <cell r="E361" t="str">
            <v>534A2</v>
          </cell>
          <cell r="F361">
            <v>11.23</v>
          </cell>
          <cell r="G361">
            <v>9.39</v>
          </cell>
          <cell r="H361">
            <v>9.39</v>
          </cell>
          <cell r="I361" t="str">
            <v>FC</v>
          </cell>
          <cell r="J361" t="str">
            <v>ST</v>
          </cell>
          <cell r="K361">
            <v>14</v>
          </cell>
          <cell r="L361">
            <v>45804</v>
          </cell>
          <cell r="M361">
            <v>45804</v>
          </cell>
          <cell r="N361">
            <v>190</v>
          </cell>
          <cell r="O361" t="str">
            <v>NS</v>
          </cell>
          <cell r="P361" t="str">
            <v>NSGP3CK3</v>
          </cell>
          <cell r="Q361">
            <v>46231</v>
          </cell>
          <cell r="R361" t="str">
            <v/>
          </cell>
          <cell r="S361" t="str">
            <v/>
          </cell>
          <cell r="T361" t="str">
            <v/>
          </cell>
          <cell r="U361">
            <v>64104</v>
          </cell>
          <cell r="V361">
            <v>72350</v>
          </cell>
          <cell r="W361" t="str">
            <v/>
          </cell>
          <cell r="X361" t="str">
            <v>Lokasi Produksi 534A2 ( pecahan 534A )</v>
          </cell>
          <cell r="Z361">
            <v>14</v>
          </cell>
          <cell r="AA361">
            <v>46231</v>
          </cell>
          <cell r="AB361">
            <v>788.59733611111005</v>
          </cell>
          <cell r="AC361">
            <v>26.286577870370333</v>
          </cell>
          <cell r="AD361">
            <v>-20</v>
          </cell>
          <cell r="AE361">
            <v>0</v>
          </cell>
          <cell r="AF361">
            <v>0</v>
          </cell>
          <cell r="AG361">
            <v>-1348.4</v>
          </cell>
          <cell r="AK361">
            <v>40357</v>
          </cell>
          <cell r="AM361" t="str">
            <v>OK</v>
          </cell>
          <cell r="AO361">
            <v>6.3451851080246948</v>
          </cell>
          <cell r="AP361">
            <v>-7.6548148919753052</v>
          </cell>
          <cell r="AQ361">
            <v>0</v>
          </cell>
          <cell r="AR361">
            <v>6.3451851080246948</v>
          </cell>
          <cell r="AS361">
            <v>0</v>
          </cell>
          <cell r="AT361">
            <v>46231</v>
          </cell>
          <cell r="AU361">
            <v>-7.6548148919753052</v>
          </cell>
          <cell r="AV361">
            <v>190.35555324074085</v>
          </cell>
          <cell r="AW361">
            <v>-7.6548148919753052</v>
          </cell>
          <cell r="AY361">
            <v>195.46369178241002</v>
          </cell>
          <cell r="AZ361" t="str">
            <v>GP3</v>
          </cell>
          <cell r="BA361">
            <v>9.39</v>
          </cell>
          <cell r="BB361" t="str">
            <v>NSFC</v>
          </cell>
          <cell r="BC361" t="str">
            <v>GP3CK</v>
          </cell>
        </row>
        <row r="362">
          <cell r="A362" t="str">
            <v>534AS</v>
          </cell>
          <cell r="B362" t="str">
            <v>3</v>
          </cell>
          <cell r="C362" t="str">
            <v>05</v>
          </cell>
          <cell r="D362">
            <v>19</v>
          </cell>
          <cell r="E362" t="str">
            <v>534AS</v>
          </cell>
          <cell r="F362">
            <v>1.01</v>
          </cell>
          <cell r="G362">
            <v>1.01</v>
          </cell>
          <cell r="H362">
            <v>1.01</v>
          </cell>
          <cell r="I362" t="str">
            <v>FC</v>
          </cell>
          <cell r="J362" t="str">
            <v>ST</v>
          </cell>
          <cell r="K362">
            <v>0</v>
          </cell>
          <cell r="L362">
            <v>45791</v>
          </cell>
          <cell r="M362">
            <v>45791</v>
          </cell>
          <cell r="N362">
            <v>203</v>
          </cell>
          <cell r="O362" t="str">
            <v>SK</v>
          </cell>
          <cell r="P362" t="str">
            <v/>
          </cell>
          <cell r="Q362">
            <v>45791</v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>Lokasi Produksi 534AS ( singkong )</v>
          </cell>
          <cell r="Z362">
            <v>0</v>
          </cell>
          <cell r="AA362">
            <v>45791</v>
          </cell>
          <cell r="AB362">
            <v>1853.5973361111101</v>
          </cell>
          <cell r="AC362">
            <v>61.786577870370337</v>
          </cell>
          <cell r="AD362">
            <v>-20</v>
          </cell>
          <cell r="AE362">
            <v>0</v>
          </cell>
          <cell r="AF362">
            <v>0</v>
          </cell>
          <cell r="AG362">
            <v>-1312.9</v>
          </cell>
          <cell r="AM362" t="str">
            <v>OK</v>
          </cell>
          <cell r="AO362">
            <v>6.7785184413580284</v>
          </cell>
          <cell r="AP362">
            <v>6.7785184413580284</v>
          </cell>
          <cell r="AQ362">
            <v>0</v>
          </cell>
          <cell r="AR362">
            <v>6.7785184413580284</v>
          </cell>
          <cell r="AS362">
            <v>0</v>
          </cell>
          <cell r="AT362">
            <v>45791</v>
          </cell>
          <cell r="AU362">
            <v>6.7785184413580284</v>
          </cell>
          <cell r="AV362">
            <v>203.35555324074085</v>
          </cell>
          <cell r="AW362">
            <v>6.7785184413580284</v>
          </cell>
          <cell r="AY362">
            <v>208.46369178241002</v>
          </cell>
          <cell r="AZ362" t="str">
            <v>F18</v>
          </cell>
          <cell r="BA362">
            <v>0</v>
          </cell>
          <cell r="BB362" t="str">
            <v>SKFC</v>
          </cell>
          <cell r="BC362" t="str">
            <v>F18</v>
          </cell>
        </row>
        <row r="363">
          <cell r="A363" t="str">
            <v>534B</v>
          </cell>
          <cell r="B363" t="str">
            <v>3</v>
          </cell>
          <cell r="C363" t="str">
            <v>05</v>
          </cell>
          <cell r="D363">
            <v>19</v>
          </cell>
          <cell r="E363" t="str">
            <v>534B</v>
          </cell>
          <cell r="F363">
            <v>11.4</v>
          </cell>
          <cell r="G363">
            <v>8.82</v>
          </cell>
          <cell r="H363">
            <v>8.82</v>
          </cell>
          <cell r="I363" t="str">
            <v>BK</v>
          </cell>
          <cell r="J363" t="str">
            <v>SC</v>
          </cell>
          <cell r="K363">
            <v>0</v>
          </cell>
          <cell r="L363">
            <v>45989</v>
          </cell>
          <cell r="M363">
            <v>45989</v>
          </cell>
          <cell r="N363">
            <v>5</v>
          </cell>
          <cell r="O363" t="str">
            <v>NS</v>
          </cell>
          <cell r="P363" t="str">
            <v/>
          </cell>
          <cell r="Q363">
            <v>45989</v>
          </cell>
          <cell r="R363" t="str">
            <v/>
          </cell>
          <cell r="S363" t="str">
            <v/>
          </cell>
          <cell r="T363" t="str">
            <v/>
          </cell>
          <cell r="U363">
            <v>71664</v>
          </cell>
          <cell r="V363">
            <v>51637</v>
          </cell>
          <cell r="W363">
            <v>44692</v>
          </cell>
          <cell r="X363" t="str">
            <v>Lokasi Produksi 534B</v>
          </cell>
          <cell r="Z363">
            <v>0</v>
          </cell>
          <cell r="AA363">
            <v>45989</v>
          </cell>
          <cell r="AB363">
            <v>890.59733611111005</v>
          </cell>
          <cell r="AC363">
            <v>29.686577870370336</v>
          </cell>
          <cell r="AD363">
            <v>-20</v>
          </cell>
          <cell r="AE363">
            <v>0.17</v>
          </cell>
          <cell r="AF363">
            <v>0</v>
          </cell>
          <cell r="AG363">
            <v>-1345</v>
          </cell>
          <cell r="AM363" t="str">
            <v>OK</v>
          </cell>
          <cell r="AO363">
            <v>0.17851844135802822</v>
          </cell>
          <cell r="AP363">
            <v>0.17851844135802822</v>
          </cell>
          <cell r="AQ363">
            <v>0</v>
          </cell>
          <cell r="AR363">
            <v>0.17851844135802822</v>
          </cell>
          <cell r="AS363">
            <v>0</v>
          </cell>
          <cell r="AT363">
            <v>45989</v>
          </cell>
          <cell r="AU363">
            <v>0.17851844135802822</v>
          </cell>
          <cell r="AV363">
            <v>5.3555532407408464</v>
          </cell>
          <cell r="AW363">
            <v>0.17851844135802822</v>
          </cell>
          <cell r="AY363">
            <v>10.463691782410024</v>
          </cell>
          <cell r="AZ363" t="str">
            <v>F18</v>
          </cell>
          <cell r="BA363">
            <v>0</v>
          </cell>
          <cell r="BB363" t="str">
            <v>NSBK</v>
          </cell>
          <cell r="BC363" t="str">
            <v>F18</v>
          </cell>
        </row>
        <row r="364">
          <cell r="A364" t="str">
            <v>534BS</v>
          </cell>
          <cell r="B364" t="str">
            <v>3</v>
          </cell>
          <cell r="C364" t="str">
            <v>05</v>
          </cell>
          <cell r="D364">
            <v>19</v>
          </cell>
          <cell r="E364" t="str">
            <v>534BS</v>
          </cell>
          <cell r="F364">
            <v>0.26</v>
          </cell>
          <cell r="G364">
            <v>0.26</v>
          </cell>
          <cell r="H364">
            <v>0.26</v>
          </cell>
          <cell r="I364" t="str">
            <v>FC</v>
          </cell>
          <cell r="J364" t="str">
            <v>ST</v>
          </cell>
          <cell r="K364">
            <v>0</v>
          </cell>
          <cell r="L364">
            <v>45787</v>
          </cell>
          <cell r="M364">
            <v>45787</v>
          </cell>
          <cell r="N364">
            <v>207</v>
          </cell>
          <cell r="O364" t="str">
            <v>SK</v>
          </cell>
          <cell r="P364" t="str">
            <v/>
          </cell>
          <cell r="Q364">
            <v>45787</v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>Lokasi Produksi 534BS ( singkong )</v>
          </cell>
          <cell r="Z364">
            <v>0</v>
          </cell>
          <cell r="AA364">
            <v>45787</v>
          </cell>
          <cell r="AB364">
            <v>1605.5973361111101</v>
          </cell>
          <cell r="AC364">
            <v>53.519911203703671</v>
          </cell>
          <cell r="AD364">
            <v>-20</v>
          </cell>
          <cell r="AE364">
            <v>0</v>
          </cell>
          <cell r="AF364">
            <v>0</v>
          </cell>
          <cell r="AG364">
            <v>-1321.1666666666667</v>
          </cell>
          <cell r="AK364">
            <v>40298</v>
          </cell>
          <cell r="AM364" t="str">
            <v>OK</v>
          </cell>
          <cell r="AO364">
            <v>6.9118517746913612</v>
          </cell>
          <cell r="AP364">
            <v>6.9118517746913612</v>
          </cell>
          <cell r="AQ364">
            <v>0</v>
          </cell>
          <cell r="AR364">
            <v>6.9118517746913612</v>
          </cell>
          <cell r="AS364">
            <v>0</v>
          </cell>
          <cell r="AT364">
            <v>45787</v>
          </cell>
          <cell r="AU364">
            <v>6.9118517746913612</v>
          </cell>
          <cell r="AV364">
            <v>207.35555324074085</v>
          </cell>
          <cell r="AW364">
            <v>6.9118517746913612</v>
          </cell>
          <cell r="AY364">
            <v>212.46369178241002</v>
          </cell>
          <cell r="AZ364" t="str">
            <v>F18</v>
          </cell>
          <cell r="BA364">
            <v>0</v>
          </cell>
          <cell r="BB364" t="str">
            <v>SKFC</v>
          </cell>
          <cell r="BC364" t="str">
            <v>F18</v>
          </cell>
        </row>
        <row r="365">
          <cell r="A365" t="str">
            <v>534C</v>
          </cell>
          <cell r="B365" t="str">
            <v>3</v>
          </cell>
          <cell r="C365" t="str">
            <v>05</v>
          </cell>
          <cell r="D365">
            <v>19</v>
          </cell>
          <cell r="E365" t="str">
            <v>534C</v>
          </cell>
          <cell r="F365">
            <v>17.11</v>
          </cell>
          <cell r="G365">
            <v>14.24</v>
          </cell>
          <cell r="H365">
            <v>14.24</v>
          </cell>
          <cell r="I365" t="str">
            <v>FC</v>
          </cell>
          <cell r="J365" t="str">
            <v>ST</v>
          </cell>
          <cell r="K365">
            <v>14</v>
          </cell>
          <cell r="L365">
            <v>45863</v>
          </cell>
          <cell r="M365">
            <v>45863</v>
          </cell>
          <cell r="N365">
            <v>131</v>
          </cell>
          <cell r="O365" t="str">
            <v>NS</v>
          </cell>
          <cell r="P365" t="str">
            <v>NSGP3CK3</v>
          </cell>
          <cell r="Q365">
            <v>46290</v>
          </cell>
          <cell r="R365" t="str">
            <v/>
          </cell>
          <cell r="S365" t="str">
            <v/>
          </cell>
          <cell r="T365" t="str">
            <v/>
          </cell>
          <cell r="U365">
            <v>67614</v>
          </cell>
          <cell r="V365">
            <v>74647</v>
          </cell>
          <cell r="W365">
            <v>43654</v>
          </cell>
          <cell r="X365" t="str">
            <v>Lokasi Produksi 534C</v>
          </cell>
          <cell r="Z365">
            <v>14</v>
          </cell>
          <cell r="AA365">
            <v>46290</v>
          </cell>
          <cell r="AB365">
            <v>235.59733611111005</v>
          </cell>
          <cell r="AC365">
            <v>7.8532445370370016</v>
          </cell>
          <cell r="AD365">
            <v>-20</v>
          </cell>
          <cell r="AE365">
            <v>0</v>
          </cell>
          <cell r="AF365">
            <v>0</v>
          </cell>
          <cell r="AG365">
            <v>-1366.8333333333333</v>
          </cell>
          <cell r="AM365" t="str">
            <v>OK</v>
          </cell>
          <cell r="AO365">
            <v>4.378518441358028</v>
          </cell>
          <cell r="AP365">
            <v>-9.6214815586419711</v>
          </cell>
          <cell r="AQ365">
            <v>0</v>
          </cell>
          <cell r="AR365">
            <v>4.378518441358028</v>
          </cell>
          <cell r="AS365">
            <v>0</v>
          </cell>
          <cell r="AT365">
            <v>46290</v>
          </cell>
          <cell r="AU365">
            <v>-9.6214815586419711</v>
          </cell>
          <cell r="AV365">
            <v>131.35555324074085</v>
          </cell>
          <cell r="AW365">
            <v>-9.6214815586419711</v>
          </cell>
          <cell r="AY365">
            <v>136.46369178241002</v>
          </cell>
          <cell r="AZ365" t="str">
            <v>GP3</v>
          </cell>
          <cell r="BA365">
            <v>14.24</v>
          </cell>
          <cell r="BB365" t="str">
            <v>NSFC</v>
          </cell>
          <cell r="BC365" t="str">
            <v>GP3CK</v>
          </cell>
        </row>
        <row r="366">
          <cell r="A366" t="str">
            <v>534D</v>
          </cell>
          <cell r="B366" t="str">
            <v>3</v>
          </cell>
          <cell r="C366" t="str">
            <v>05</v>
          </cell>
          <cell r="D366">
            <v>19</v>
          </cell>
          <cell r="E366" t="str">
            <v>534D</v>
          </cell>
          <cell r="F366">
            <v>15.29</v>
          </cell>
          <cell r="G366">
            <v>12.01</v>
          </cell>
          <cell r="H366">
            <v>12.01</v>
          </cell>
          <cell r="I366" t="str">
            <v>SC</v>
          </cell>
          <cell r="J366" t="str">
            <v>FC</v>
          </cell>
          <cell r="K366">
            <v>8</v>
          </cell>
          <cell r="L366">
            <v>45648</v>
          </cell>
          <cell r="M366">
            <v>45648</v>
          </cell>
          <cell r="N366">
            <v>346</v>
          </cell>
          <cell r="O366" t="str">
            <v>NS</v>
          </cell>
          <cell r="P366" t="str">
            <v/>
          </cell>
          <cell r="Q366">
            <v>45892</v>
          </cell>
          <cell r="R366" t="str">
            <v/>
          </cell>
          <cell r="S366" t="str">
            <v/>
          </cell>
          <cell r="T366">
            <v>45838</v>
          </cell>
          <cell r="U366">
            <v>68629</v>
          </cell>
          <cell r="V366">
            <v>51545</v>
          </cell>
          <cell r="W366">
            <v>43976</v>
          </cell>
          <cell r="X366" t="str">
            <v>Lokasi Produksi 534D</v>
          </cell>
          <cell r="Z366">
            <v>8</v>
          </cell>
          <cell r="AA366">
            <v>45892</v>
          </cell>
          <cell r="AB366">
            <v>235.59733611111005</v>
          </cell>
          <cell r="AC366">
            <v>7.8532445370370016</v>
          </cell>
          <cell r="AD366">
            <v>-20</v>
          </cell>
          <cell r="AE366">
            <v>0</v>
          </cell>
          <cell r="AF366">
            <v>0</v>
          </cell>
          <cell r="AG366">
            <v>-1366.8333333333333</v>
          </cell>
          <cell r="AM366" t="str">
            <v>OK</v>
          </cell>
          <cell r="AO366">
            <v>11.545185108024695</v>
          </cell>
          <cell r="AP366">
            <v>3.545185108024695</v>
          </cell>
          <cell r="AQ366">
            <v>45838</v>
          </cell>
          <cell r="AR366">
            <v>6.333333333333333</v>
          </cell>
          <cell r="AS366">
            <v>5.211851774691362</v>
          </cell>
          <cell r="AT366">
            <v>45892</v>
          </cell>
          <cell r="AU366">
            <v>5.211851774691362</v>
          </cell>
          <cell r="AV366">
            <v>190</v>
          </cell>
          <cell r="AW366">
            <v>5.211851774691362</v>
          </cell>
          <cell r="AY366">
            <v>351.46369178241002</v>
          </cell>
          <cell r="AZ366" t="str">
            <v>F18</v>
          </cell>
          <cell r="BA366">
            <v>12.01</v>
          </cell>
          <cell r="BB366" t="str">
            <v>NSSC</v>
          </cell>
          <cell r="BC366" t="str">
            <v>F18</v>
          </cell>
        </row>
        <row r="367">
          <cell r="A367" t="str">
            <v>534E1</v>
          </cell>
          <cell r="B367" t="str">
            <v>3</v>
          </cell>
          <cell r="C367" t="str">
            <v>05</v>
          </cell>
          <cell r="D367">
            <v>19</v>
          </cell>
          <cell r="E367" t="str">
            <v>534E1</v>
          </cell>
          <cell r="F367">
            <v>14.15</v>
          </cell>
          <cell r="G367">
            <v>11.84</v>
          </cell>
          <cell r="H367">
            <v>11.84</v>
          </cell>
          <cell r="I367" t="str">
            <v>FC</v>
          </cell>
          <cell r="J367" t="str">
            <v>ST</v>
          </cell>
          <cell r="K367">
            <v>10</v>
          </cell>
          <cell r="L367">
            <v>45825</v>
          </cell>
          <cell r="M367">
            <v>45825</v>
          </cell>
          <cell r="N367">
            <v>169</v>
          </cell>
          <cell r="O367" t="str">
            <v>NS</v>
          </cell>
          <cell r="P367" t="str">
            <v>NSGP3SB3</v>
          </cell>
          <cell r="Q367">
            <v>46130</v>
          </cell>
          <cell r="R367" t="str">
            <v/>
          </cell>
          <cell r="S367" t="str">
            <v/>
          </cell>
          <cell r="T367" t="str">
            <v/>
          </cell>
          <cell r="U367">
            <v>70096</v>
          </cell>
          <cell r="V367">
            <v>69415</v>
          </cell>
          <cell r="W367">
            <v>45386</v>
          </cell>
          <cell r="X367" t="str">
            <v>Lokasi Produksi 534E1 (Pecahan 534E) Pisang</v>
          </cell>
          <cell r="Z367">
            <v>10</v>
          </cell>
          <cell r="AA367">
            <v>46130</v>
          </cell>
          <cell r="AB367">
            <v>235.59733611111005</v>
          </cell>
          <cell r="AC367">
            <v>7.8532445370370016</v>
          </cell>
          <cell r="AD367">
            <v>-20</v>
          </cell>
          <cell r="AE367">
            <v>0</v>
          </cell>
          <cell r="AF367">
            <v>0</v>
          </cell>
          <cell r="AG367">
            <v>-1366.8333333333333</v>
          </cell>
          <cell r="AM367" t="str">
            <v>OK</v>
          </cell>
          <cell r="AO367">
            <v>5.6451851080246946</v>
          </cell>
          <cell r="AP367">
            <v>-4.3548148919753054</v>
          </cell>
          <cell r="AQ367">
            <v>0</v>
          </cell>
          <cell r="AR367">
            <v>5.6451851080246946</v>
          </cell>
          <cell r="AS367">
            <v>0</v>
          </cell>
          <cell r="AT367">
            <v>46130</v>
          </cell>
          <cell r="AU367">
            <v>-4.3548148919753054</v>
          </cell>
          <cell r="AV367">
            <v>169.35555324074085</v>
          </cell>
          <cell r="AW367">
            <v>-4.3548148919753054</v>
          </cell>
          <cell r="AY367">
            <v>174.46369178241002</v>
          </cell>
          <cell r="AZ367" t="str">
            <v>GP3</v>
          </cell>
          <cell r="BA367">
            <v>11.84</v>
          </cell>
          <cell r="BB367" t="str">
            <v>NSFC</v>
          </cell>
          <cell r="BC367" t="str">
            <v>GP3SB</v>
          </cell>
        </row>
        <row r="368">
          <cell r="A368" t="str">
            <v>534E2A</v>
          </cell>
          <cell r="B368" t="str">
            <v>3</v>
          </cell>
          <cell r="C368" t="str">
            <v>05</v>
          </cell>
          <cell r="D368">
            <v>19</v>
          </cell>
          <cell r="E368" t="str">
            <v>534E2A</v>
          </cell>
          <cell r="F368">
            <v>3.18</v>
          </cell>
          <cell r="G368">
            <v>2.7</v>
          </cell>
          <cell r="H368">
            <v>2.7</v>
          </cell>
          <cell r="I368" t="str">
            <v>FC</v>
          </cell>
          <cell r="J368" t="str">
            <v>ST</v>
          </cell>
          <cell r="K368">
            <v>10</v>
          </cell>
          <cell r="L368">
            <v>45812</v>
          </cell>
          <cell r="M368">
            <v>45812</v>
          </cell>
          <cell r="N368">
            <v>182</v>
          </cell>
          <cell r="O368" t="str">
            <v>NS</v>
          </cell>
          <cell r="P368" t="str">
            <v>NSF18SB3</v>
          </cell>
          <cell r="Q368">
            <v>46117</v>
          </cell>
          <cell r="R368" t="str">
            <v/>
          </cell>
          <cell r="S368" t="str">
            <v/>
          </cell>
          <cell r="T368" t="str">
            <v/>
          </cell>
          <cell r="U368">
            <v>70607</v>
          </cell>
          <cell r="V368">
            <v>71455</v>
          </cell>
          <cell r="W368">
            <v>45565</v>
          </cell>
          <cell r="X368" t="str">
            <v>Lokasi Produksi 534E2A ( pecahan 534E2 )</v>
          </cell>
          <cell r="Z368">
            <v>10</v>
          </cell>
          <cell r="AA368">
            <v>46117</v>
          </cell>
          <cell r="AB368">
            <v>235.59733611111005</v>
          </cell>
          <cell r="AC368">
            <v>7.8532445370370016</v>
          </cell>
          <cell r="AD368">
            <v>-20</v>
          </cell>
          <cell r="AE368">
            <v>0</v>
          </cell>
          <cell r="AF368">
            <v>0</v>
          </cell>
          <cell r="AG368">
            <v>-1366.8333333333333</v>
          </cell>
          <cell r="AM368" t="str">
            <v>OK</v>
          </cell>
          <cell r="AO368">
            <v>6.0785184413580282</v>
          </cell>
          <cell r="AP368">
            <v>-3.9214815586419718</v>
          </cell>
          <cell r="AQ368">
            <v>0</v>
          </cell>
          <cell r="AR368">
            <v>6.0785184413580282</v>
          </cell>
          <cell r="AS368">
            <v>0</v>
          </cell>
          <cell r="AT368">
            <v>46117</v>
          </cell>
          <cell r="AU368">
            <v>-3.9214815586419718</v>
          </cell>
          <cell r="AV368">
            <v>182.35555324074085</v>
          </cell>
          <cell r="AW368">
            <v>-3.9214815586419718</v>
          </cell>
          <cell r="AY368">
            <v>187.46369178241002</v>
          </cell>
          <cell r="AZ368" t="str">
            <v>F18</v>
          </cell>
          <cell r="BA368">
            <v>2.7</v>
          </cell>
          <cell r="BB368" t="str">
            <v>NSFC</v>
          </cell>
          <cell r="BC368" t="str">
            <v>F18SB</v>
          </cell>
        </row>
        <row r="369">
          <cell r="A369" t="str">
            <v>534E2B</v>
          </cell>
          <cell r="B369" t="str">
            <v>3</v>
          </cell>
          <cell r="C369" t="str">
            <v>05</v>
          </cell>
          <cell r="D369">
            <v>19</v>
          </cell>
          <cell r="E369" t="str">
            <v>534E2B</v>
          </cell>
          <cell r="F369">
            <v>8.43</v>
          </cell>
          <cell r="G369">
            <v>7.06</v>
          </cell>
          <cell r="H369">
            <v>7.06</v>
          </cell>
          <cell r="I369" t="str">
            <v>FC</v>
          </cell>
          <cell r="J369" t="str">
            <v>ST</v>
          </cell>
          <cell r="K369">
            <v>12</v>
          </cell>
          <cell r="L369">
            <v>45839</v>
          </cell>
          <cell r="M369">
            <v>45839</v>
          </cell>
          <cell r="N369">
            <v>155</v>
          </cell>
          <cell r="O369" t="str">
            <v>NS</v>
          </cell>
          <cell r="P369" t="str">
            <v>NSF18SS3</v>
          </cell>
          <cell r="Q369">
            <v>46205</v>
          </cell>
          <cell r="R369" t="str">
            <v/>
          </cell>
          <cell r="S369" t="str">
            <v/>
          </cell>
          <cell r="T369" t="str">
            <v/>
          </cell>
          <cell r="U369">
            <v>70070</v>
          </cell>
          <cell r="V369">
            <v>73437</v>
          </cell>
          <cell r="W369">
            <v>45565</v>
          </cell>
          <cell r="X369" t="str">
            <v>Lokasi Produksi 534E2B ( pecahan 534E2 )</v>
          </cell>
          <cell r="Z369">
            <v>12</v>
          </cell>
          <cell r="AA369">
            <v>46205</v>
          </cell>
          <cell r="AB369">
            <v>235.59733611111005</v>
          </cell>
          <cell r="AC369">
            <v>7.8532445370370016</v>
          </cell>
          <cell r="AD369">
            <v>-20</v>
          </cell>
          <cell r="AE369">
            <v>0</v>
          </cell>
          <cell r="AF369">
            <v>0</v>
          </cell>
          <cell r="AG369">
            <v>-1366.8333333333333</v>
          </cell>
          <cell r="AM369" t="str">
            <v>OK</v>
          </cell>
          <cell r="AO369">
            <v>5.1785184413580279</v>
          </cell>
          <cell r="AP369">
            <v>-6.8214815586419721</v>
          </cell>
          <cell r="AQ369">
            <v>0</v>
          </cell>
          <cell r="AR369">
            <v>5.1785184413580279</v>
          </cell>
          <cell r="AS369">
            <v>0</v>
          </cell>
          <cell r="AT369">
            <v>46205</v>
          </cell>
          <cell r="AU369">
            <v>-6.8214815586419721</v>
          </cell>
          <cell r="AV369">
            <v>155.35555324074085</v>
          </cell>
          <cell r="AW369">
            <v>-6.8214815586419721</v>
          </cell>
          <cell r="AY369">
            <v>160.46369178241002</v>
          </cell>
          <cell r="AZ369" t="str">
            <v>F18</v>
          </cell>
          <cell r="BA369">
            <v>7.06</v>
          </cell>
          <cell r="BB369" t="str">
            <v>NSFC</v>
          </cell>
          <cell r="BC369" t="str">
            <v>F18SS</v>
          </cell>
        </row>
        <row r="370">
          <cell r="A370" t="str">
            <v>534F</v>
          </cell>
          <cell r="B370" t="str">
            <v>3</v>
          </cell>
          <cell r="C370" t="str">
            <v>05</v>
          </cell>
          <cell r="D370">
            <v>19</v>
          </cell>
          <cell r="E370" t="str">
            <v>534F</v>
          </cell>
          <cell r="F370">
            <v>14.04</v>
          </cell>
          <cell r="G370">
            <v>11.08</v>
          </cell>
          <cell r="H370">
            <v>11.08</v>
          </cell>
          <cell r="I370" t="str">
            <v>BK</v>
          </cell>
          <cell r="J370" t="str">
            <v>BB</v>
          </cell>
          <cell r="K370">
            <v>0</v>
          </cell>
          <cell r="L370">
            <v>45992</v>
          </cell>
          <cell r="M370">
            <v>45992</v>
          </cell>
          <cell r="N370">
            <v>2</v>
          </cell>
          <cell r="O370" t="str">
            <v>NS</v>
          </cell>
          <cell r="P370" t="str">
            <v/>
          </cell>
          <cell r="Q370">
            <v>45992</v>
          </cell>
          <cell r="R370" t="str">
            <v/>
          </cell>
          <cell r="S370" t="str">
            <v/>
          </cell>
          <cell r="T370" t="str">
            <v/>
          </cell>
          <cell r="U370">
            <v>66746</v>
          </cell>
          <cell r="V370">
            <v>73029</v>
          </cell>
          <cell r="W370">
            <v>44027</v>
          </cell>
          <cell r="X370" t="str">
            <v>Lokasi Produksi 534F</v>
          </cell>
          <cell r="Z370">
            <v>0</v>
          </cell>
          <cell r="AA370">
            <v>45992</v>
          </cell>
          <cell r="AB370">
            <v>190.59733611111005</v>
          </cell>
          <cell r="AC370">
            <v>6.3532445370370016</v>
          </cell>
          <cell r="AD370">
            <v>-20</v>
          </cell>
          <cell r="AE370">
            <v>0</v>
          </cell>
          <cell r="AF370">
            <v>0</v>
          </cell>
          <cell r="AG370">
            <v>-1368.3333333333333</v>
          </cell>
          <cell r="AM370" t="str">
            <v>OK</v>
          </cell>
          <cell r="AO370">
            <v>7.8518441358028213E-2</v>
          </cell>
          <cell r="AP370">
            <v>7.8518441358028213E-2</v>
          </cell>
          <cell r="AQ370">
            <v>0</v>
          </cell>
          <cell r="AR370">
            <v>7.8518441358028213E-2</v>
          </cell>
          <cell r="AS370">
            <v>0</v>
          </cell>
          <cell r="AT370">
            <v>45992</v>
          </cell>
          <cell r="AU370">
            <v>7.8518441358028213E-2</v>
          </cell>
          <cell r="AV370">
            <v>2.3555532407408464</v>
          </cell>
          <cell r="AW370">
            <v>7.8518441358028213E-2</v>
          </cell>
          <cell r="AY370">
            <v>7.4636917824100237</v>
          </cell>
          <cell r="AZ370" t="str">
            <v>F18</v>
          </cell>
          <cell r="BA370">
            <v>0</v>
          </cell>
          <cell r="BB370" t="str">
            <v>NSBK</v>
          </cell>
          <cell r="BC370" t="str">
            <v>F18</v>
          </cell>
        </row>
        <row r="371">
          <cell r="A371" t="str">
            <v>534G1</v>
          </cell>
          <cell r="B371" t="str">
            <v>3</v>
          </cell>
          <cell r="C371" t="str">
            <v>05</v>
          </cell>
          <cell r="D371">
            <v>19</v>
          </cell>
          <cell r="E371" t="str">
            <v>534G1</v>
          </cell>
          <cell r="F371">
            <v>7</v>
          </cell>
          <cell r="G371">
            <v>5.93</v>
          </cell>
          <cell r="H371">
            <v>5.93</v>
          </cell>
          <cell r="I371" t="str">
            <v>FC</v>
          </cell>
          <cell r="J371" t="str">
            <v>ST</v>
          </cell>
          <cell r="K371">
            <v>14</v>
          </cell>
          <cell r="L371">
            <v>45869</v>
          </cell>
          <cell r="M371">
            <v>45869</v>
          </cell>
          <cell r="N371">
            <v>125</v>
          </cell>
          <cell r="O371" t="str">
            <v>NS</v>
          </cell>
          <cell r="P371" t="str">
            <v>NSGP3CK3</v>
          </cell>
          <cell r="Q371">
            <v>46296</v>
          </cell>
          <cell r="R371" t="str">
            <v/>
          </cell>
          <cell r="S371" t="str">
            <v/>
          </cell>
          <cell r="T371" t="str">
            <v/>
          </cell>
          <cell r="U371">
            <v>61324</v>
          </cell>
          <cell r="V371">
            <v>51040</v>
          </cell>
          <cell r="W371">
            <v>44639</v>
          </cell>
          <cell r="X371" t="str">
            <v>Lokasi Produksi 534G1 ( pecahan 534G )</v>
          </cell>
          <cell r="Z371">
            <v>14</v>
          </cell>
          <cell r="AA371">
            <v>46296</v>
          </cell>
          <cell r="AB371">
            <v>190.59733611111005</v>
          </cell>
          <cell r="AC371">
            <v>6.3532445370370016</v>
          </cell>
          <cell r="AD371">
            <v>-20</v>
          </cell>
          <cell r="AE371">
            <v>0</v>
          </cell>
          <cell r="AF371">
            <v>0</v>
          </cell>
          <cell r="AG371">
            <v>-1368.3333333333333</v>
          </cell>
          <cell r="AK371">
            <v>40320</v>
          </cell>
          <cell r="AM371" t="str">
            <v>OK</v>
          </cell>
          <cell r="AO371">
            <v>4.1785184413580279</v>
          </cell>
          <cell r="AP371">
            <v>-9.8214815586419721</v>
          </cell>
          <cell r="AQ371">
            <v>0</v>
          </cell>
          <cell r="AR371">
            <v>4.1785184413580279</v>
          </cell>
          <cell r="AS371">
            <v>0</v>
          </cell>
          <cell r="AT371">
            <v>46296</v>
          </cell>
          <cell r="AU371">
            <v>-9.8214815586419721</v>
          </cell>
          <cell r="AV371">
            <v>125.35555324074083</v>
          </cell>
          <cell r="AW371">
            <v>-9.8214815586419721</v>
          </cell>
          <cell r="AY371">
            <v>130.46369178241002</v>
          </cell>
          <cell r="AZ371" t="str">
            <v>GP3</v>
          </cell>
          <cell r="BA371">
            <v>5.93</v>
          </cell>
          <cell r="BB371" t="str">
            <v>NSFC</v>
          </cell>
          <cell r="BC371" t="str">
            <v>GP3CK</v>
          </cell>
        </row>
        <row r="372">
          <cell r="A372" t="str">
            <v>534G2</v>
          </cell>
          <cell r="B372" t="str">
            <v>3</v>
          </cell>
          <cell r="C372" t="str">
            <v>05</v>
          </cell>
          <cell r="D372">
            <v>19</v>
          </cell>
          <cell r="E372" t="str">
            <v>534G2</v>
          </cell>
          <cell r="F372">
            <v>7.07</v>
          </cell>
          <cell r="G372">
            <v>5.91</v>
          </cell>
          <cell r="H372">
            <v>5.91</v>
          </cell>
          <cell r="I372" t="str">
            <v>FC</v>
          </cell>
          <cell r="J372" t="str">
            <v>ST</v>
          </cell>
          <cell r="K372">
            <v>10</v>
          </cell>
          <cell r="L372">
            <v>45838</v>
          </cell>
          <cell r="M372">
            <v>45838</v>
          </cell>
          <cell r="N372">
            <v>156</v>
          </cell>
          <cell r="O372" t="str">
            <v>NS</v>
          </cell>
          <cell r="P372" t="str">
            <v>NSGP3SB3</v>
          </cell>
          <cell r="Q372">
            <v>46143</v>
          </cell>
          <cell r="R372" t="str">
            <v/>
          </cell>
          <cell r="S372" t="str">
            <v/>
          </cell>
          <cell r="T372" t="str">
            <v/>
          </cell>
          <cell r="U372">
            <v>69208</v>
          </cell>
          <cell r="V372">
            <v>71104</v>
          </cell>
          <cell r="W372">
            <v>44370</v>
          </cell>
          <cell r="X372" t="str">
            <v>Lokasi Produksi 534G2 ( pecahan 534G )</v>
          </cell>
          <cell r="Z372">
            <v>10</v>
          </cell>
          <cell r="AA372">
            <v>46143</v>
          </cell>
          <cell r="AB372">
            <v>4750.5973361111101</v>
          </cell>
          <cell r="AC372">
            <v>158.353244537037</v>
          </cell>
          <cell r="AD372">
            <v>-20</v>
          </cell>
          <cell r="AE372">
            <v>0</v>
          </cell>
          <cell r="AF372">
            <v>0</v>
          </cell>
          <cell r="AG372">
            <v>-1216.3333333333333</v>
          </cell>
          <cell r="AM372" t="str">
            <v>OK</v>
          </cell>
          <cell r="AO372">
            <v>5.211851774691362</v>
          </cell>
          <cell r="AP372">
            <v>-4.788148225308638</v>
          </cell>
          <cell r="AQ372">
            <v>0</v>
          </cell>
          <cell r="AR372">
            <v>5.211851774691362</v>
          </cell>
          <cell r="AS372">
            <v>0</v>
          </cell>
          <cell r="AT372">
            <v>46143</v>
          </cell>
          <cell r="AU372">
            <v>-4.788148225308638</v>
          </cell>
          <cell r="AV372">
            <v>156.35555324074085</v>
          </cell>
          <cell r="AW372">
            <v>-4.788148225308638</v>
          </cell>
          <cell r="AY372">
            <v>161.46369178241002</v>
          </cell>
          <cell r="AZ372" t="str">
            <v>GP3</v>
          </cell>
          <cell r="BA372">
            <v>5.91</v>
          </cell>
          <cell r="BB372" t="str">
            <v>NSFC</v>
          </cell>
          <cell r="BC372" t="str">
            <v>GP3SB</v>
          </cell>
        </row>
        <row r="373">
          <cell r="A373" t="str">
            <v>534GS</v>
          </cell>
          <cell r="B373" t="str">
            <v>3</v>
          </cell>
          <cell r="C373" t="str">
            <v>05</v>
          </cell>
          <cell r="D373">
            <v>19</v>
          </cell>
          <cell r="E373" t="str">
            <v>534GS</v>
          </cell>
          <cell r="F373">
            <v>0.93</v>
          </cell>
          <cell r="G373">
            <v>0.93</v>
          </cell>
          <cell r="H373">
            <v>0.93</v>
          </cell>
          <cell r="I373" t="str">
            <v>FC</v>
          </cell>
          <cell r="J373" t="str">
            <v>ST</v>
          </cell>
          <cell r="K373">
            <v>0</v>
          </cell>
          <cell r="L373">
            <v>45792</v>
          </cell>
          <cell r="M373">
            <v>45792</v>
          </cell>
          <cell r="N373">
            <v>202</v>
          </cell>
          <cell r="O373" t="str">
            <v>SK</v>
          </cell>
          <cell r="P373" t="str">
            <v/>
          </cell>
          <cell r="Q373">
            <v>45792</v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>Lokasi Produksi 534GS ( singkong )</v>
          </cell>
          <cell r="Z373">
            <v>0</v>
          </cell>
          <cell r="AA373">
            <v>45792</v>
          </cell>
          <cell r="AB373">
            <v>5136.5973361111101</v>
          </cell>
          <cell r="AC373">
            <v>171.21991120370367</v>
          </cell>
          <cell r="AD373">
            <v>-20</v>
          </cell>
          <cell r="AE373">
            <v>0</v>
          </cell>
          <cell r="AF373">
            <v>0</v>
          </cell>
          <cell r="AG373">
            <v>-1203.4666666666667</v>
          </cell>
          <cell r="AK373">
            <v>40340</v>
          </cell>
          <cell r="AM373" t="str">
            <v>OK</v>
          </cell>
          <cell r="AO373">
            <v>6.7451851080246952</v>
          </cell>
          <cell r="AP373">
            <v>6.7451851080246952</v>
          </cell>
          <cell r="AQ373">
            <v>0</v>
          </cell>
          <cell r="AR373">
            <v>6.7451851080246952</v>
          </cell>
          <cell r="AS373">
            <v>0</v>
          </cell>
          <cell r="AT373">
            <v>45792</v>
          </cell>
          <cell r="AU373">
            <v>6.7451851080246952</v>
          </cell>
          <cell r="AV373">
            <v>202.35555324074085</v>
          </cell>
          <cell r="AW373">
            <v>6.7451851080246952</v>
          </cell>
          <cell r="AY373">
            <v>207.46369178241002</v>
          </cell>
          <cell r="AZ373" t="str">
            <v>F18</v>
          </cell>
          <cell r="BA373">
            <v>0</v>
          </cell>
          <cell r="BB373" t="str">
            <v>SKFC</v>
          </cell>
          <cell r="BC373" t="str">
            <v>F18</v>
          </cell>
        </row>
        <row r="374">
          <cell r="A374" t="str">
            <v>534PS</v>
          </cell>
          <cell r="B374" t="str">
            <v>3</v>
          </cell>
          <cell r="C374" t="str">
            <v>05</v>
          </cell>
          <cell r="D374">
            <v>19</v>
          </cell>
          <cell r="E374" t="str">
            <v>534PS</v>
          </cell>
          <cell r="F374">
            <v>0.74</v>
          </cell>
          <cell r="G374">
            <v>0.74</v>
          </cell>
          <cell r="H374">
            <v>0.74</v>
          </cell>
          <cell r="I374" t="str">
            <v>FC</v>
          </cell>
          <cell r="J374" t="str">
            <v>ST</v>
          </cell>
          <cell r="K374">
            <v>0</v>
          </cell>
          <cell r="L374">
            <v>45918</v>
          </cell>
          <cell r="M374">
            <v>45918</v>
          </cell>
          <cell r="N374">
            <v>76</v>
          </cell>
          <cell r="O374" t="str">
            <v>SK</v>
          </cell>
          <cell r="P374" t="str">
            <v/>
          </cell>
          <cell r="Q374">
            <v>45918</v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>Lokasi Produksi 534PS ( singkong )</v>
          </cell>
          <cell r="Z374">
            <v>0</v>
          </cell>
          <cell r="AA374">
            <v>45918</v>
          </cell>
          <cell r="AB374">
            <v>180.59733611111005</v>
          </cell>
          <cell r="AC374">
            <v>6.0199112037036686</v>
          </cell>
          <cell r="AD374">
            <v>-7.9800887962963314</v>
          </cell>
          <cell r="AE374">
            <v>19.32</v>
          </cell>
          <cell r="AF374">
            <v>0</v>
          </cell>
          <cell r="AG374">
            <v>-1368.6666666666667</v>
          </cell>
          <cell r="AM374" t="str">
            <v>OK</v>
          </cell>
          <cell r="AO374">
            <v>2.545185108024695</v>
          </cell>
          <cell r="AP374">
            <v>2.545185108024695</v>
          </cell>
          <cell r="AQ374">
            <v>0</v>
          </cell>
          <cell r="AR374">
            <v>2.545185108024695</v>
          </cell>
          <cell r="AS374">
            <v>0</v>
          </cell>
          <cell r="AT374">
            <v>45918</v>
          </cell>
          <cell r="AU374">
            <v>2.545185108024695</v>
          </cell>
          <cell r="AV374">
            <v>76.355553240740846</v>
          </cell>
          <cell r="AW374">
            <v>2.545185108024695</v>
          </cell>
          <cell r="AY374">
            <v>81.463691782410024</v>
          </cell>
          <cell r="AZ374" t="str">
            <v>F18</v>
          </cell>
          <cell r="BA374">
            <v>0</v>
          </cell>
          <cell r="BB374" t="str">
            <v>SKFC</v>
          </cell>
          <cell r="BC374" t="str">
            <v>F18</v>
          </cell>
        </row>
        <row r="375">
          <cell r="A375" t="str">
            <v>535A1</v>
          </cell>
          <cell r="B375" t="str">
            <v>3</v>
          </cell>
          <cell r="C375" t="str">
            <v>05</v>
          </cell>
          <cell r="D375">
            <v>18</v>
          </cell>
          <cell r="E375" t="str">
            <v>535A1</v>
          </cell>
          <cell r="F375">
            <v>7.02</v>
          </cell>
          <cell r="G375">
            <v>5.5</v>
          </cell>
          <cell r="H375">
            <v>5.5</v>
          </cell>
          <cell r="I375" t="str">
            <v>SC</v>
          </cell>
          <cell r="J375" t="str">
            <v>FC</v>
          </cell>
          <cell r="K375">
            <v>8</v>
          </cell>
          <cell r="L375">
            <v>45620</v>
          </cell>
          <cell r="M375">
            <v>45620</v>
          </cell>
          <cell r="N375">
            <v>374</v>
          </cell>
          <cell r="O375" t="str">
            <v>NS</v>
          </cell>
          <cell r="P375" t="str">
            <v/>
          </cell>
          <cell r="Q375">
            <v>45864</v>
          </cell>
          <cell r="R375" t="str">
            <v/>
          </cell>
          <cell r="S375" t="str">
            <v/>
          </cell>
          <cell r="T375">
            <v>45849</v>
          </cell>
          <cell r="U375">
            <v>69940</v>
          </cell>
          <cell r="V375">
            <v>51690</v>
          </cell>
          <cell r="W375" t="str">
            <v/>
          </cell>
          <cell r="X375" t="str">
            <v>Lokasi Produksi 535A1 ( pecahan 535A )</v>
          </cell>
          <cell r="Z375">
            <v>8</v>
          </cell>
          <cell r="AA375">
            <v>45864</v>
          </cell>
          <cell r="AB375">
            <v>171.59733611111005</v>
          </cell>
          <cell r="AC375">
            <v>5.7199112037036688</v>
          </cell>
          <cell r="AD375">
            <v>-8.2800887962963312</v>
          </cell>
          <cell r="AE375">
            <v>11.13</v>
          </cell>
          <cell r="AF375">
            <v>0</v>
          </cell>
          <cell r="AG375">
            <v>-1368.9666666666667</v>
          </cell>
          <cell r="AM375" t="str">
            <v>OK</v>
          </cell>
          <cell r="AO375">
            <v>12.478518441358029</v>
          </cell>
          <cell r="AP375">
            <v>4.4785184413580286</v>
          </cell>
          <cell r="AQ375">
            <v>45849</v>
          </cell>
          <cell r="AR375">
            <v>7.6333333333333337</v>
          </cell>
          <cell r="AS375">
            <v>4.8451851080246948</v>
          </cell>
          <cell r="AT375">
            <v>45864</v>
          </cell>
          <cell r="AU375">
            <v>4.8451851080246948</v>
          </cell>
          <cell r="AV375">
            <v>229</v>
          </cell>
          <cell r="AW375">
            <v>4.8451851080246948</v>
          </cell>
          <cell r="AY375">
            <v>379.46369178241002</v>
          </cell>
          <cell r="AZ375" t="str">
            <v>F18</v>
          </cell>
          <cell r="BA375">
            <v>5.5</v>
          </cell>
          <cell r="BB375" t="str">
            <v>NSSC</v>
          </cell>
          <cell r="BC375" t="str">
            <v>F18</v>
          </cell>
        </row>
        <row r="376">
          <cell r="A376" t="str">
            <v>535A2</v>
          </cell>
          <cell r="B376" t="str">
            <v>3</v>
          </cell>
          <cell r="C376" t="str">
            <v>05</v>
          </cell>
          <cell r="D376">
            <v>18</v>
          </cell>
          <cell r="E376" t="str">
            <v>535A2</v>
          </cell>
          <cell r="F376">
            <v>5.62</v>
          </cell>
          <cell r="G376">
            <v>4.41</v>
          </cell>
          <cell r="H376">
            <v>4.41</v>
          </cell>
          <cell r="I376" t="str">
            <v>SC</v>
          </cell>
          <cell r="J376" t="str">
            <v>FC</v>
          </cell>
          <cell r="K376">
            <v>8</v>
          </cell>
          <cell r="L376">
            <v>45620</v>
          </cell>
          <cell r="M376">
            <v>45620</v>
          </cell>
          <cell r="N376">
            <v>374</v>
          </cell>
          <cell r="O376" t="str">
            <v>NS</v>
          </cell>
          <cell r="P376" t="str">
            <v/>
          </cell>
          <cell r="Q376">
            <v>45864</v>
          </cell>
          <cell r="R376" t="str">
            <v/>
          </cell>
          <cell r="S376" t="str">
            <v/>
          </cell>
          <cell r="T376">
            <v>45849</v>
          </cell>
          <cell r="U376">
            <v>71028</v>
          </cell>
          <cell r="V376">
            <v>50904</v>
          </cell>
          <cell r="W376" t="str">
            <v/>
          </cell>
          <cell r="X376" t="str">
            <v>Lokasi Produksi 535A2 ( pecahan 535A )</v>
          </cell>
          <cell r="Z376">
            <v>8</v>
          </cell>
          <cell r="AA376">
            <v>45864</v>
          </cell>
          <cell r="AB376">
            <v>407.59733611111005</v>
          </cell>
          <cell r="AC376">
            <v>13.586577870370336</v>
          </cell>
          <cell r="AD376">
            <v>-20</v>
          </cell>
          <cell r="AE376">
            <v>0</v>
          </cell>
          <cell r="AF376">
            <v>0</v>
          </cell>
          <cell r="AG376">
            <v>-1361.1</v>
          </cell>
          <cell r="AM376" t="str">
            <v>OK</v>
          </cell>
          <cell r="AO376">
            <v>12.478518441358029</v>
          </cell>
          <cell r="AP376">
            <v>4.4785184413580286</v>
          </cell>
          <cell r="AQ376">
            <v>45849</v>
          </cell>
          <cell r="AR376">
            <v>7.6333333333333337</v>
          </cell>
          <cell r="AS376">
            <v>4.8451851080246948</v>
          </cell>
          <cell r="AT376">
            <v>45864</v>
          </cell>
          <cell r="AU376">
            <v>4.8451851080246948</v>
          </cell>
          <cell r="AV376">
            <v>229</v>
          </cell>
          <cell r="AW376">
            <v>4.8451851080246948</v>
          </cell>
          <cell r="AY376">
            <v>379.46369178241002</v>
          </cell>
          <cell r="AZ376" t="str">
            <v>F18</v>
          </cell>
          <cell r="BA376">
            <v>4.41</v>
          </cell>
          <cell r="BB376" t="str">
            <v>NSSC</v>
          </cell>
          <cell r="BC376" t="str">
            <v>F18</v>
          </cell>
        </row>
        <row r="377">
          <cell r="A377" t="str">
            <v>535B</v>
          </cell>
          <cell r="B377" t="str">
            <v>3</v>
          </cell>
          <cell r="C377" t="str">
            <v>05</v>
          </cell>
          <cell r="D377">
            <v>18</v>
          </cell>
          <cell r="E377" t="str">
            <v>535B</v>
          </cell>
          <cell r="F377">
            <v>15.32</v>
          </cell>
          <cell r="G377">
            <v>12.7</v>
          </cell>
          <cell r="H377">
            <v>12.7</v>
          </cell>
          <cell r="I377" t="str">
            <v>FC</v>
          </cell>
          <cell r="J377" t="str">
            <v>ST</v>
          </cell>
          <cell r="K377">
            <v>12</v>
          </cell>
          <cell r="L377">
            <v>45566</v>
          </cell>
          <cell r="M377">
            <v>45566</v>
          </cell>
          <cell r="N377">
            <v>428</v>
          </cell>
          <cell r="O377" t="str">
            <v>NS</v>
          </cell>
          <cell r="P377" t="str">
            <v>NSF18SS3</v>
          </cell>
          <cell r="Q377">
            <v>45932</v>
          </cell>
          <cell r="R377" t="str">
            <v/>
          </cell>
          <cell r="S377" t="str">
            <v/>
          </cell>
          <cell r="T377">
            <v>45909</v>
          </cell>
          <cell r="U377">
            <v>71509</v>
          </cell>
          <cell r="V377">
            <v>69640</v>
          </cell>
          <cell r="W377">
            <v>44370</v>
          </cell>
          <cell r="X377" t="str">
            <v>Lokasi Produksi 535B</v>
          </cell>
          <cell r="Z377">
            <v>12</v>
          </cell>
          <cell r="AA377">
            <v>45932</v>
          </cell>
          <cell r="AB377">
            <v>192.59733611111005</v>
          </cell>
          <cell r="AC377">
            <v>6.4199112037036681</v>
          </cell>
          <cell r="AD377">
            <v>-20</v>
          </cell>
          <cell r="AE377">
            <v>0</v>
          </cell>
          <cell r="AF377">
            <v>0</v>
          </cell>
          <cell r="AG377">
            <v>-1368.2666666666667</v>
          </cell>
          <cell r="AM377" t="str">
            <v>OK</v>
          </cell>
          <cell r="AO377">
            <v>14.278518441358028</v>
          </cell>
          <cell r="AP377">
            <v>2.2785184413580275</v>
          </cell>
          <cell r="AQ377">
            <v>45909</v>
          </cell>
          <cell r="AR377">
            <v>11.433333333333334</v>
          </cell>
          <cell r="AS377">
            <v>2.8451851080246939</v>
          </cell>
          <cell r="AT377">
            <v>45932</v>
          </cell>
          <cell r="AU377">
            <v>2.8451851080246939</v>
          </cell>
          <cell r="AV377">
            <v>343</v>
          </cell>
          <cell r="AW377">
            <v>2.8451851080246939</v>
          </cell>
          <cell r="AY377">
            <v>433.46369178241002</v>
          </cell>
          <cell r="AZ377" t="str">
            <v>F18</v>
          </cell>
          <cell r="BA377">
            <v>12.7</v>
          </cell>
          <cell r="BB377" t="str">
            <v>NSFC</v>
          </cell>
          <cell r="BC377" t="str">
            <v>F18SS</v>
          </cell>
        </row>
        <row r="378">
          <cell r="A378" t="str">
            <v>535C</v>
          </cell>
          <cell r="B378" t="str">
            <v>3</v>
          </cell>
          <cell r="C378" t="str">
            <v>05</v>
          </cell>
          <cell r="D378">
            <v>18</v>
          </cell>
          <cell r="E378" t="str">
            <v>535C</v>
          </cell>
          <cell r="F378">
            <v>10.93</v>
          </cell>
          <cell r="G378">
            <v>9.15</v>
          </cell>
          <cell r="H378">
            <v>9.15</v>
          </cell>
          <cell r="I378" t="str">
            <v>FC</v>
          </cell>
          <cell r="J378" t="str">
            <v>ST</v>
          </cell>
          <cell r="K378">
            <v>14</v>
          </cell>
          <cell r="L378">
            <v>45930</v>
          </cell>
          <cell r="M378">
            <v>45930</v>
          </cell>
          <cell r="N378">
            <v>64</v>
          </cell>
          <cell r="O378" t="str">
            <v>NS</v>
          </cell>
          <cell r="P378" t="str">
            <v>NSGP3CK3</v>
          </cell>
          <cell r="Q378">
            <v>46357</v>
          </cell>
          <cell r="R378" t="str">
            <v/>
          </cell>
          <cell r="S378" t="str">
            <v/>
          </cell>
          <cell r="T378" t="str">
            <v/>
          </cell>
          <cell r="U378">
            <v>69900</v>
          </cell>
          <cell r="V378">
            <v>50969</v>
          </cell>
          <cell r="W378">
            <v>44370</v>
          </cell>
          <cell r="X378" t="str">
            <v>Lokasi Produksi 535C</v>
          </cell>
          <cell r="Z378">
            <v>14</v>
          </cell>
          <cell r="AA378">
            <v>46357</v>
          </cell>
          <cell r="AB378">
            <v>76.597336111110053</v>
          </cell>
          <cell r="AC378">
            <v>2.5532445370370018</v>
          </cell>
          <cell r="AD378">
            <v>-7.4467554629629982</v>
          </cell>
          <cell r="AE378">
            <v>9.6999999999999993</v>
          </cell>
          <cell r="AF378">
            <v>0</v>
          </cell>
          <cell r="AG378">
            <v>-1372.1333333333334</v>
          </cell>
          <cell r="AM378" t="str">
            <v>OK</v>
          </cell>
          <cell r="AO378">
            <v>2.1451851080246951</v>
          </cell>
          <cell r="AP378">
            <v>-11.854814891975305</v>
          </cell>
          <cell r="AQ378">
            <v>0</v>
          </cell>
          <cell r="AR378">
            <v>2.1451851080246951</v>
          </cell>
          <cell r="AS378">
            <v>0</v>
          </cell>
          <cell r="AT378">
            <v>46357</v>
          </cell>
          <cell r="AU378">
            <v>-11.854814891975305</v>
          </cell>
          <cell r="AV378">
            <v>64.355553240740846</v>
          </cell>
          <cell r="AW378">
            <v>-11.854814891975305</v>
          </cell>
          <cell r="AY378">
            <v>69.463691782410024</v>
          </cell>
          <cell r="AZ378" t="str">
            <v>GP3</v>
          </cell>
          <cell r="BA378">
            <v>9.15</v>
          </cell>
          <cell r="BB378" t="str">
            <v>NSFC</v>
          </cell>
          <cell r="BC378" t="str">
            <v>GP3CK</v>
          </cell>
        </row>
        <row r="379">
          <cell r="A379" t="str">
            <v>535D</v>
          </cell>
          <cell r="B379" t="str">
            <v>3</v>
          </cell>
          <cell r="C379" t="str">
            <v>05</v>
          </cell>
          <cell r="D379">
            <v>18</v>
          </cell>
          <cell r="E379" t="str">
            <v>535D</v>
          </cell>
          <cell r="F379">
            <v>3.55</v>
          </cell>
          <cell r="G379">
            <v>2.63</v>
          </cell>
          <cell r="H379">
            <v>2.63</v>
          </cell>
          <cell r="I379" t="str">
            <v>ST</v>
          </cell>
          <cell r="J379" t="str">
            <v>BK</v>
          </cell>
          <cell r="K379">
            <v>0</v>
          </cell>
          <cell r="L379">
            <v>45990</v>
          </cell>
          <cell r="M379">
            <v>45990</v>
          </cell>
          <cell r="N379">
            <v>4</v>
          </cell>
          <cell r="O379" t="str">
            <v>SK</v>
          </cell>
          <cell r="P379" t="str">
            <v/>
          </cell>
          <cell r="Q379">
            <v>45990</v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>Lokasi Produksi 535D</v>
          </cell>
          <cell r="Z379">
            <v>0</v>
          </cell>
          <cell r="AA379">
            <v>45990</v>
          </cell>
          <cell r="AB379">
            <v>160.59733611111005</v>
          </cell>
          <cell r="AC379">
            <v>5.3532445370370016</v>
          </cell>
          <cell r="AD379">
            <v>-10.646755462962998</v>
          </cell>
          <cell r="AE379">
            <v>10.029999999999999</v>
          </cell>
          <cell r="AF379">
            <v>0</v>
          </cell>
          <cell r="AG379">
            <v>-1369.3333333333333</v>
          </cell>
          <cell r="AM379" t="str">
            <v>OK</v>
          </cell>
          <cell r="AO379">
            <v>0.14518510802469489</v>
          </cell>
          <cell r="AP379">
            <v>0.14518510802469489</v>
          </cell>
          <cell r="AQ379">
            <v>0</v>
          </cell>
          <cell r="AR379">
            <v>0.14518510802469489</v>
          </cell>
          <cell r="AS379">
            <v>0</v>
          </cell>
          <cell r="AT379">
            <v>45990</v>
          </cell>
          <cell r="AU379">
            <v>0.14518510802469489</v>
          </cell>
          <cell r="AV379">
            <v>4.3555532407408464</v>
          </cell>
          <cell r="AW379">
            <v>0.14518510802469489</v>
          </cell>
          <cell r="AY379">
            <v>9.4636917824100237</v>
          </cell>
          <cell r="AZ379" t="str">
            <v>F18</v>
          </cell>
          <cell r="BA379">
            <v>0</v>
          </cell>
          <cell r="BB379" t="str">
            <v>SKST</v>
          </cell>
          <cell r="BC379" t="str">
            <v>F18</v>
          </cell>
        </row>
        <row r="380">
          <cell r="A380" t="str">
            <v>535E</v>
          </cell>
          <cell r="B380" t="str">
            <v>3</v>
          </cell>
          <cell r="C380" t="str">
            <v>05</v>
          </cell>
          <cell r="D380">
            <v>18</v>
          </cell>
          <cell r="E380" t="str">
            <v>535E</v>
          </cell>
          <cell r="F380">
            <v>9.73</v>
          </cell>
          <cell r="G380">
            <v>8.18</v>
          </cell>
          <cell r="H380">
            <v>8.18</v>
          </cell>
          <cell r="I380" t="str">
            <v>FC</v>
          </cell>
          <cell r="J380" t="str">
            <v>ST</v>
          </cell>
          <cell r="K380">
            <v>14</v>
          </cell>
          <cell r="L380">
            <v>45796</v>
          </cell>
          <cell r="M380">
            <v>45796</v>
          </cell>
          <cell r="N380">
            <v>198</v>
          </cell>
          <cell r="O380" t="str">
            <v>NS</v>
          </cell>
          <cell r="P380" t="str">
            <v>NSGP3CK3</v>
          </cell>
          <cell r="Q380">
            <v>46223</v>
          </cell>
          <cell r="R380" t="str">
            <v/>
          </cell>
          <cell r="S380" t="str">
            <v/>
          </cell>
          <cell r="T380" t="str">
            <v/>
          </cell>
          <cell r="U380">
            <v>63251</v>
          </cell>
          <cell r="V380">
            <v>75095</v>
          </cell>
          <cell r="W380">
            <v>43721</v>
          </cell>
          <cell r="X380" t="str">
            <v>Lokasi Produksi 535E</v>
          </cell>
          <cell r="Z380">
            <v>14</v>
          </cell>
          <cell r="AA380">
            <v>46223</v>
          </cell>
          <cell r="AB380">
            <v>165.59733611111005</v>
          </cell>
          <cell r="AC380">
            <v>5.5199112037036686</v>
          </cell>
          <cell r="AD380">
            <v>-8.4800887962963323</v>
          </cell>
          <cell r="AE380">
            <v>10.82</v>
          </cell>
          <cell r="AF380">
            <v>0</v>
          </cell>
          <cell r="AG380">
            <v>-1369.1666666666667</v>
          </cell>
          <cell r="AM380" t="str">
            <v>OK</v>
          </cell>
          <cell r="AO380">
            <v>6.6118517746913614</v>
          </cell>
          <cell r="AP380">
            <v>-7.3881482253086386</v>
          </cell>
          <cell r="AQ380">
            <v>0</v>
          </cell>
          <cell r="AR380">
            <v>6.6118517746913614</v>
          </cell>
          <cell r="AS380">
            <v>0</v>
          </cell>
          <cell r="AT380">
            <v>46223</v>
          </cell>
          <cell r="AU380">
            <v>-7.3881482253086386</v>
          </cell>
          <cell r="AV380">
            <v>198.35555324074085</v>
          </cell>
          <cell r="AW380">
            <v>-7.3881482253086386</v>
          </cell>
          <cell r="AY380">
            <v>203.46369178241002</v>
          </cell>
          <cell r="AZ380" t="str">
            <v>GP3</v>
          </cell>
          <cell r="BA380">
            <v>8.18</v>
          </cell>
          <cell r="BB380" t="str">
            <v>NSFC</v>
          </cell>
          <cell r="BC380" t="str">
            <v>GP3CK</v>
          </cell>
        </row>
        <row r="381">
          <cell r="A381" t="str">
            <v>535F1</v>
          </cell>
          <cell r="B381" t="str">
            <v>3</v>
          </cell>
          <cell r="C381" t="str">
            <v>05</v>
          </cell>
          <cell r="D381">
            <v>18</v>
          </cell>
          <cell r="E381" t="str">
            <v>535F1</v>
          </cell>
          <cell r="F381">
            <v>7.02</v>
          </cell>
          <cell r="G381">
            <v>5.74</v>
          </cell>
          <cell r="H381">
            <v>5.74</v>
          </cell>
          <cell r="I381" t="str">
            <v>BK</v>
          </cell>
          <cell r="J381" t="str">
            <v>BB</v>
          </cell>
          <cell r="K381">
            <v>0</v>
          </cell>
          <cell r="L381">
            <v>45931</v>
          </cell>
          <cell r="M381">
            <v>45931</v>
          </cell>
          <cell r="N381">
            <v>63</v>
          </cell>
          <cell r="O381" t="str">
            <v>NS</v>
          </cell>
          <cell r="P381" t="str">
            <v/>
          </cell>
          <cell r="Q381">
            <v>45931</v>
          </cell>
          <cell r="R381" t="str">
            <v/>
          </cell>
          <cell r="S381" t="str">
            <v/>
          </cell>
          <cell r="T381" t="str">
            <v/>
          </cell>
          <cell r="U381">
            <v>69518</v>
          </cell>
          <cell r="V381">
            <v>73122</v>
          </cell>
          <cell r="W381">
            <v>44587</v>
          </cell>
          <cell r="X381" t="str">
            <v>Lokasi Produksi 535F1 ( pecahan 535F )</v>
          </cell>
          <cell r="Z381">
            <v>0</v>
          </cell>
          <cell r="AA381">
            <v>45931</v>
          </cell>
          <cell r="AB381">
            <v>265.59733611111005</v>
          </cell>
          <cell r="AC381">
            <v>8.8532445370370016</v>
          </cell>
          <cell r="AD381">
            <v>-20</v>
          </cell>
          <cell r="AE381">
            <v>0</v>
          </cell>
          <cell r="AF381">
            <v>0</v>
          </cell>
          <cell r="AG381">
            <v>-1365.8333333333333</v>
          </cell>
          <cell r="AM381" t="str">
            <v>OK</v>
          </cell>
          <cell r="AO381">
            <v>2.1118517746913614</v>
          </cell>
          <cell r="AP381">
            <v>2.1118517746913614</v>
          </cell>
          <cell r="AQ381">
            <v>0</v>
          </cell>
          <cell r="AR381">
            <v>2.1118517746913614</v>
          </cell>
          <cell r="AS381">
            <v>0</v>
          </cell>
          <cell r="AT381">
            <v>45931</v>
          </cell>
          <cell r="AU381">
            <v>2.1118517746913614</v>
          </cell>
          <cell r="AV381">
            <v>63.355553240740846</v>
          </cell>
          <cell r="AW381">
            <v>2.1118517746913614</v>
          </cell>
          <cell r="AY381">
            <v>68.463691782410024</v>
          </cell>
          <cell r="AZ381" t="str">
            <v>F18</v>
          </cell>
          <cell r="BA381">
            <v>0</v>
          </cell>
          <cell r="BB381" t="str">
            <v>NSBK</v>
          </cell>
          <cell r="BC381" t="str">
            <v>F18</v>
          </cell>
        </row>
        <row r="382">
          <cell r="A382" t="str">
            <v>535F2</v>
          </cell>
          <cell r="B382" t="str">
            <v>3</v>
          </cell>
          <cell r="C382" t="str">
            <v>05</v>
          </cell>
          <cell r="D382">
            <v>18</v>
          </cell>
          <cell r="E382" t="str">
            <v>535F2</v>
          </cell>
          <cell r="F382">
            <v>6.95</v>
          </cell>
          <cell r="G382">
            <v>5.56</v>
          </cell>
          <cell r="H382">
            <v>5.56</v>
          </cell>
          <cell r="I382" t="str">
            <v>BK</v>
          </cell>
          <cell r="J382" t="str">
            <v>BB</v>
          </cell>
          <cell r="K382">
            <v>0</v>
          </cell>
          <cell r="L382">
            <v>45931</v>
          </cell>
          <cell r="M382">
            <v>45931</v>
          </cell>
          <cell r="N382">
            <v>63</v>
          </cell>
          <cell r="O382" t="str">
            <v>NS</v>
          </cell>
          <cell r="P382" t="str">
            <v/>
          </cell>
          <cell r="Q382">
            <v>45931</v>
          </cell>
          <cell r="R382" t="str">
            <v/>
          </cell>
          <cell r="S382" t="str">
            <v/>
          </cell>
          <cell r="T382" t="str">
            <v/>
          </cell>
          <cell r="U382">
            <v>71775</v>
          </cell>
          <cell r="V382">
            <v>73251</v>
          </cell>
          <cell r="W382">
            <v>44587</v>
          </cell>
          <cell r="X382" t="str">
            <v>Lokasi Produksi 535F2 ( pecahan 535F )</v>
          </cell>
          <cell r="Z382">
            <v>0</v>
          </cell>
          <cell r="AA382">
            <v>45931</v>
          </cell>
          <cell r="AB382">
            <v>153.59733611111005</v>
          </cell>
          <cell r="AC382">
            <v>5.1199112037036683</v>
          </cell>
          <cell r="AD382">
            <v>-20</v>
          </cell>
          <cell r="AE382">
            <v>2.75</v>
          </cell>
          <cell r="AF382">
            <v>0</v>
          </cell>
          <cell r="AG382">
            <v>-1369.5666666666666</v>
          </cell>
          <cell r="AM382" t="str">
            <v>OK</v>
          </cell>
          <cell r="AO382">
            <v>2.1118517746913614</v>
          </cell>
          <cell r="AP382">
            <v>2.1118517746913614</v>
          </cell>
          <cell r="AQ382">
            <v>0</v>
          </cell>
          <cell r="AR382">
            <v>2.1118517746913614</v>
          </cell>
          <cell r="AS382">
            <v>0</v>
          </cell>
          <cell r="AT382">
            <v>45931</v>
          </cell>
          <cell r="AU382">
            <v>2.1118517746913614</v>
          </cell>
          <cell r="AV382">
            <v>63.355553240740846</v>
          </cell>
          <cell r="AW382">
            <v>2.1118517746913614</v>
          </cell>
          <cell r="AY382">
            <v>68.463691782410024</v>
          </cell>
          <cell r="AZ382" t="str">
            <v>F18</v>
          </cell>
          <cell r="BA382">
            <v>0</v>
          </cell>
          <cell r="BB382" t="str">
            <v>NSBK</v>
          </cell>
          <cell r="BC382" t="str">
            <v>F18</v>
          </cell>
        </row>
        <row r="383">
          <cell r="A383" t="str">
            <v>536A1</v>
          </cell>
          <cell r="B383" t="str">
            <v>3</v>
          </cell>
          <cell r="C383" t="str">
            <v>05</v>
          </cell>
          <cell r="D383">
            <v>18</v>
          </cell>
          <cell r="E383" t="str">
            <v>536A1</v>
          </cell>
          <cell r="F383">
            <v>4.7699999999999996</v>
          </cell>
          <cell r="G383">
            <v>3.76</v>
          </cell>
          <cell r="H383">
            <v>3.76</v>
          </cell>
          <cell r="I383" t="str">
            <v>SC</v>
          </cell>
          <cell r="J383" t="str">
            <v>FC</v>
          </cell>
          <cell r="K383">
            <v>8</v>
          </cell>
          <cell r="L383">
            <v>45771</v>
          </cell>
          <cell r="M383">
            <v>45771</v>
          </cell>
          <cell r="N383">
            <v>223</v>
          </cell>
          <cell r="O383" t="str">
            <v>NS</v>
          </cell>
          <cell r="P383" t="str">
            <v/>
          </cell>
          <cell r="Q383">
            <v>46015</v>
          </cell>
          <cell r="R383" t="str">
            <v/>
          </cell>
          <cell r="S383" t="str">
            <v/>
          </cell>
          <cell r="T383" t="str">
            <v/>
          </cell>
          <cell r="U383">
            <v>69485</v>
          </cell>
          <cell r="V383">
            <v>69759</v>
          </cell>
          <cell r="W383">
            <v>44897</v>
          </cell>
          <cell r="X383" t="str">
            <v>Lokasi Produksi 536A1 ( pecahan 536A )</v>
          </cell>
          <cell r="Z383">
            <v>8</v>
          </cell>
          <cell r="AA383">
            <v>46015</v>
          </cell>
          <cell r="AB383">
            <v>4806.5973361111101</v>
          </cell>
          <cell r="AC383">
            <v>160.21991120370367</v>
          </cell>
          <cell r="AD383">
            <v>-20</v>
          </cell>
          <cell r="AE383">
            <v>0</v>
          </cell>
          <cell r="AF383">
            <v>0</v>
          </cell>
          <cell r="AG383">
            <v>-1214.4666666666667</v>
          </cell>
          <cell r="AM383" t="str">
            <v>OK</v>
          </cell>
          <cell r="AO383">
            <v>7.4451851080246945</v>
          </cell>
          <cell r="AP383">
            <v>-0.55481489197530554</v>
          </cell>
          <cell r="AQ383">
            <v>0</v>
          </cell>
          <cell r="AR383">
            <v>7.4451851080246945</v>
          </cell>
          <cell r="AS383">
            <v>0</v>
          </cell>
          <cell r="AT383">
            <v>46015</v>
          </cell>
          <cell r="AU383">
            <v>-0.55481489197530554</v>
          </cell>
          <cell r="AV383">
            <v>223.35555324074085</v>
          </cell>
          <cell r="AW383">
            <v>-0.55481489197530554</v>
          </cell>
          <cell r="AY383">
            <v>228.46369178241002</v>
          </cell>
          <cell r="AZ383" t="str">
            <v>F18</v>
          </cell>
          <cell r="BA383">
            <v>3.76</v>
          </cell>
          <cell r="BB383" t="str">
            <v>NSSC</v>
          </cell>
          <cell r="BC383" t="str">
            <v>F18</v>
          </cell>
        </row>
        <row r="384">
          <cell r="A384" t="str">
            <v>536A2</v>
          </cell>
          <cell r="B384" t="str">
            <v>3</v>
          </cell>
          <cell r="C384" t="str">
            <v>05</v>
          </cell>
          <cell r="D384">
            <v>18</v>
          </cell>
          <cell r="E384" t="str">
            <v>536A2</v>
          </cell>
          <cell r="F384">
            <v>7.14</v>
          </cell>
          <cell r="G384">
            <v>5.64</v>
          </cell>
          <cell r="H384">
            <v>5.64</v>
          </cell>
          <cell r="I384" t="str">
            <v>SC</v>
          </cell>
          <cell r="J384" t="str">
            <v>FC</v>
          </cell>
          <cell r="K384">
            <v>8</v>
          </cell>
          <cell r="L384">
            <v>45774</v>
          </cell>
          <cell r="M384">
            <v>45774</v>
          </cell>
          <cell r="N384">
            <v>220</v>
          </cell>
          <cell r="O384" t="str">
            <v>NS</v>
          </cell>
          <cell r="P384" t="str">
            <v/>
          </cell>
          <cell r="Q384">
            <v>46018</v>
          </cell>
          <cell r="R384" t="str">
            <v/>
          </cell>
          <cell r="S384" t="str">
            <v/>
          </cell>
          <cell r="T384" t="str">
            <v/>
          </cell>
          <cell r="U384">
            <v>70114</v>
          </cell>
          <cell r="V384">
            <v>69176</v>
          </cell>
          <cell r="W384">
            <v>45015</v>
          </cell>
          <cell r="X384" t="str">
            <v>Lokasi Produksi 536A2 ( pecahan 536A )</v>
          </cell>
          <cell r="Z384">
            <v>8</v>
          </cell>
          <cell r="AA384">
            <v>46018</v>
          </cell>
          <cell r="AB384">
            <v>108.59733611111005</v>
          </cell>
          <cell r="AC384">
            <v>3.6199112037036683</v>
          </cell>
          <cell r="AD384">
            <v>-8.3800887962963309</v>
          </cell>
          <cell r="AE384">
            <v>7.96</v>
          </cell>
          <cell r="AF384">
            <v>0</v>
          </cell>
          <cell r="AG384">
            <v>-1371.0666666666666</v>
          </cell>
          <cell r="AK384">
            <v>40319</v>
          </cell>
          <cell r="AM384" t="str">
            <v>OK</v>
          </cell>
          <cell r="AO384">
            <v>7.3451851080246948</v>
          </cell>
          <cell r="AP384">
            <v>-0.65481489197530518</v>
          </cell>
          <cell r="AQ384">
            <v>0</v>
          </cell>
          <cell r="AR384">
            <v>7.3451851080246948</v>
          </cell>
          <cell r="AS384">
            <v>0</v>
          </cell>
          <cell r="AT384">
            <v>46018</v>
          </cell>
          <cell r="AU384">
            <v>-0.65481489197530518</v>
          </cell>
          <cell r="AV384">
            <v>220.35555324074085</v>
          </cell>
          <cell r="AW384">
            <v>-0.65481489197530518</v>
          </cell>
          <cell r="AY384">
            <v>225.46369178241002</v>
          </cell>
          <cell r="AZ384" t="str">
            <v>F18</v>
          </cell>
          <cell r="BA384">
            <v>5.64</v>
          </cell>
          <cell r="BB384" t="str">
            <v>NSSC</v>
          </cell>
          <cell r="BC384" t="str">
            <v>F18</v>
          </cell>
        </row>
        <row r="385">
          <cell r="A385" t="str">
            <v>536B</v>
          </cell>
          <cell r="B385" t="str">
            <v>3</v>
          </cell>
          <cell r="C385" t="str">
            <v>05</v>
          </cell>
          <cell r="D385">
            <v>18</v>
          </cell>
          <cell r="E385" t="str">
            <v>536B</v>
          </cell>
          <cell r="F385">
            <v>12.02</v>
          </cell>
          <cell r="G385">
            <v>10.029999999999999</v>
          </cell>
          <cell r="H385">
            <v>10.029999999999999</v>
          </cell>
          <cell r="I385" t="str">
            <v>FC</v>
          </cell>
          <cell r="J385" t="str">
            <v>ST</v>
          </cell>
          <cell r="K385">
            <v>14</v>
          </cell>
          <cell r="L385">
            <v>45796</v>
          </cell>
          <cell r="M385">
            <v>45796</v>
          </cell>
          <cell r="N385">
            <v>198</v>
          </cell>
          <cell r="O385" t="str">
            <v>NS</v>
          </cell>
          <cell r="P385" t="str">
            <v>NSGP3CK3</v>
          </cell>
          <cell r="Q385">
            <v>46223</v>
          </cell>
          <cell r="R385" t="str">
            <v/>
          </cell>
          <cell r="S385" t="str">
            <v/>
          </cell>
          <cell r="T385" t="str">
            <v/>
          </cell>
          <cell r="U385">
            <v>65910</v>
          </cell>
          <cell r="V385">
            <v>72882</v>
          </cell>
          <cell r="W385" t="str">
            <v/>
          </cell>
          <cell r="X385" t="str">
            <v>Lokasi Produksi 536B</v>
          </cell>
          <cell r="Z385">
            <v>14</v>
          </cell>
          <cell r="AA385">
            <v>46223</v>
          </cell>
          <cell r="AB385">
            <v>76.597336111110053</v>
          </cell>
          <cell r="AC385">
            <v>2.5532445370370018</v>
          </cell>
          <cell r="AD385">
            <v>-11.446755462962997</v>
          </cell>
          <cell r="AE385">
            <v>21.98</v>
          </cell>
          <cell r="AF385">
            <v>0</v>
          </cell>
          <cell r="AG385">
            <v>-1372.1333333333334</v>
          </cell>
          <cell r="AM385" t="str">
            <v>OK</v>
          </cell>
          <cell r="AO385">
            <v>6.6118517746913614</v>
          </cell>
          <cell r="AP385">
            <v>-7.3881482253086386</v>
          </cell>
          <cell r="AQ385">
            <v>0</v>
          </cell>
          <cell r="AR385">
            <v>6.6118517746913614</v>
          </cell>
          <cell r="AS385">
            <v>0</v>
          </cell>
          <cell r="AT385">
            <v>46223</v>
          </cell>
          <cell r="AU385">
            <v>-7.3881482253086386</v>
          </cell>
          <cell r="AV385">
            <v>198.35555324074085</v>
          </cell>
          <cell r="AW385">
            <v>-7.3881482253086386</v>
          </cell>
          <cell r="AY385">
            <v>203.46369178241002</v>
          </cell>
          <cell r="AZ385" t="str">
            <v>GP3</v>
          </cell>
          <cell r="BA385">
            <v>10.029999999999999</v>
          </cell>
          <cell r="BB385" t="str">
            <v>NSFC</v>
          </cell>
          <cell r="BC385" t="str">
            <v>GP3CK</v>
          </cell>
        </row>
        <row r="386">
          <cell r="A386" t="str">
            <v>536C1A</v>
          </cell>
          <cell r="B386" t="str">
            <v>3</v>
          </cell>
          <cell r="C386" t="str">
            <v>05</v>
          </cell>
          <cell r="D386">
            <v>18</v>
          </cell>
          <cell r="E386" t="str">
            <v>536C1A</v>
          </cell>
          <cell r="F386">
            <v>5.27</v>
          </cell>
          <cell r="G386">
            <v>4.46</v>
          </cell>
          <cell r="H386">
            <v>4.46</v>
          </cell>
          <cell r="I386" t="str">
            <v>FC</v>
          </cell>
          <cell r="J386" t="str">
            <v>ST</v>
          </cell>
          <cell r="K386">
            <v>12</v>
          </cell>
          <cell r="L386">
            <v>45646</v>
          </cell>
          <cell r="M386">
            <v>45646</v>
          </cell>
          <cell r="N386">
            <v>348</v>
          </cell>
          <cell r="O386" t="str">
            <v>NS</v>
          </cell>
          <cell r="P386" t="str">
            <v>NSF18SS3</v>
          </cell>
          <cell r="Q386">
            <v>46012</v>
          </cell>
          <cell r="R386" t="str">
            <v/>
          </cell>
          <cell r="S386" t="str">
            <v/>
          </cell>
          <cell r="T386" t="str">
            <v/>
          </cell>
          <cell r="U386">
            <v>63713</v>
          </cell>
          <cell r="V386">
            <v>67130</v>
          </cell>
          <cell r="W386" t="str">
            <v/>
          </cell>
          <cell r="X386" t="str">
            <v>Lokasi Produksi 536C1A ( pecahan 536C1 )</v>
          </cell>
          <cell r="Z386">
            <v>12</v>
          </cell>
          <cell r="AA386">
            <v>46012</v>
          </cell>
          <cell r="AB386">
            <v>215.59733611111005</v>
          </cell>
          <cell r="AC386">
            <v>7.1865778703703347</v>
          </cell>
          <cell r="AD386">
            <v>-20</v>
          </cell>
          <cell r="AE386">
            <v>0</v>
          </cell>
          <cell r="AF386">
            <v>0</v>
          </cell>
          <cell r="AG386">
            <v>-1367.5</v>
          </cell>
          <cell r="AM386" t="str">
            <v>OK</v>
          </cell>
          <cell r="AO386">
            <v>11.611851774691361</v>
          </cell>
          <cell r="AP386">
            <v>-0.38814822530863857</v>
          </cell>
          <cell r="AQ386">
            <v>0</v>
          </cell>
          <cell r="AR386">
            <v>11.611851774691361</v>
          </cell>
          <cell r="AS386">
            <v>0</v>
          </cell>
          <cell r="AT386">
            <v>46012</v>
          </cell>
          <cell r="AU386">
            <v>-0.38814822530863857</v>
          </cell>
          <cell r="AV386">
            <v>348.35555324074085</v>
          </cell>
          <cell r="AW386">
            <v>-0.38814822530863857</v>
          </cell>
          <cell r="AY386">
            <v>353.46369178241002</v>
          </cell>
          <cell r="AZ386" t="str">
            <v>F18</v>
          </cell>
          <cell r="BA386">
            <v>4.46</v>
          </cell>
          <cell r="BB386" t="str">
            <v>NSFC</v>
          </cell>
          <cell r="BC386" t="str">
            <v>F18SS</v>
          </cell>
        </row>
        <row r="387">
          <cell r="A387" t="str">
            <v>536C1B</v>
          </cell>
          <cell r="B387" t="str">
            <v>3</v>
          </cell>
          <cell r="C387" t="str">
            <v>05</v>
          </cell>
          <cell r="D387">
            <v>18</v>
          </cell>
          <cell r="E387" t="str">
            <v>536C1B</v>
          </cell>
          <cell r="F387">
            <v>4.87</v>
          </cell>
          <cell r="G387">
            <v>4.18</v>
          </cell>
          <cell r="H387">
            <v>4.18</v>
          </cell>
          <cell r="I387" t="str">
            <v>FC</v>
          </cell>
          <cell r="J387" t="str">
            <v>ST</v>
          </cell>
          <cell r="K387">
            <v>10</v>
          </cell>
          <cell r="L387">
            <v>45654</v>
          </cell>
          <cell r="M387">
            <v>45654</v>
          </cell>
          <cell r="N387">
            <v>340</v>
          </cell>
          <cell r="O387" t="str">
            <v>NS</v>
          </cell>
          <cell r="P387" t="str">
            <v>NSF18SB3</v>
          </cell>
          <cell r="Q387">
            <v>45959</v>
          </cell>
          <cell r="R387" t="str">
            <v/>
          </cell>
          <cell r="S387" t="str">
            <v/>
          </cell>
          <cell r="T387">
            <v>45965</v>
          </cell>
          <cell r="U387">
            <v>65086</v>
          </cell>
          <cell r="V387">
            <v>65171</v>
          </cell>
          <cell r="W387" t="str">
            <v/>
          </cell>
          <cell r="X387" t="str">
            <v>Lokasi Produksi 536C1B ( pecahan 536C1 )</v>
          </cell>
          <cell r="Z387">
            <v>10</v>
          </cell>
          <cell r="AA387">
            <v>45959</v>
          </cell>
          <cell r="AB387">
            <v>260.59733611111005</v>
          </cell>
          <cell r="AC387">
            <v>8.6865778703703356</v>
          </cell>
          <cell r="AD387">
            <v>-20</v>
          </cell>
          <cell r="AE387">
            <v>0</v>
          </cell>
          <cell r="AF387">
            <v>0</v>
          </cell>
          <cell r="AG387">
            <v>-1366</v>
          </cell>
          <cell r="AK387">
            <v>40371</v>
          </cell>
          <cell r="AM387" t="str">
            <v>OK</v>
          </cell>
          <cell r="AO387">
            <v>11.345185108024696</v>
          </cell>
          <cell r="AP387">
            <v>1.3451851080246957</v>
          </cell>
          <cell r="AQ387">
            <v>45965</v>
          </cell>
          <cell r="AR387">
            <v>10.366666666666667</v>
          </cell>
          <cell r="AS387">
            <v>0.97851844135802857</v>
          </cell>
          <cell r="AT387">
            <v>45959</v>
          </cell>
          <cell r="AU387">
            <v>0.97851844135802857</v>
          </cell>
          <cell r="AV387">
            <v>311</v>
          </cell>
          <cell r="AW387">
            <v>0.97851844135802857</v>
          </cell>
          <cell r="AY387">
            <v>345.46369178241002</v>
          </cell>
          <cell r="AZ387" t="str">
            <v>F18</v>
          </cell>
          <cell r="BA387">
            <v>4.18</v>
          </cell>
          <cell r="BB387" t="str">
            <v>NSFC</v>
          </cell>
          <cell r="BC387" t="str">
            <v>F18SB</v>
          </cell>
        </row>
        <row r="388">
          <cell r="A388" t="str">
            <v>536C1C</v>
          </cell>
          <cell r="B388" t="str">
            <v>3</v>
          </cell>
          <cell r="C388" t="str">
            <v>05</v>
          </cell>
          <cell r="D388">
            <v>18</v>
          </cell>
          <cell r="E388" t="str">
            <v>536C1C</v>
          </cell>
          <cell r="F388">
            <v>4.28</v>
          </cell>
          <cell r="G388">
            <v>3.59</v>
          </cell>
          <cell r="H388">
            <v>3.59</v>
          </cell>
          <cell r="I388" t="str">
            <v>FC</v>
          </cell>
          <cell r="J388" t="str">
            <v>ST</v>
          </cell>
          <cell r="K388">
            <v>10</v>
          </cell>
          <cell r="L388">
            <v>45654</v>
          </cell>
          <cell r="M388">
            <v>45654</v>
          </cell>
          <cell r="N388">
            <v>340</v>
          </cell>
          <cell r="O388" t="str">
            <v>NS</v>
          </cell>
          <cell r="P388" t="str">
            <v>NSF18SB3</v>
          </cell>
          <cell r="Q388">
            <v>45959</v>
          </cell>
          <cell r="R388" t="str">
            <v/>
          </cell>
          <cell r="S388" t="str">
            <v/>
          </cell>
          <cell r="T388">
            <v>45965</v>
          </cell>
          <cell r="U388">
            <v>64466</v>
          </cell>
          <cell r="V388">
            <v>64680</v>
          </cell>
          <cell r="W388" t="str">
            <v/>
          </cell>
          <cell r="X388" t="str">
            <v>Lokasi Produksi 536C1C ( pecahan 536C1 )</v>
          </cell>
          <cell r="Z388">
            <v>10</v>
          </cell>
          <cell r="AA388">
            <v>45959</v>
          </cell>
          <cell r="AB388">
            <v>76.597336111110053</v>
          </cell>
          <cell r="AC388">
            <v>2.5532445370370018</v>
          </cell>
          <cell r="AD388">
            <v>-11.446755462962997</v>
          </cell>
          <cell r="AE388">
            <v>14.74</v>
          </cell>
          <cell r="AF388">
            <v>0</v>
          </cell>
          <cell r="AG388">
            <v>-1372.1333333333334</v>
          </cell>
          <cell r="AM388" t="str">
            <v>OK</v>
          </cell>
          <cell r="AO388">
            <v>11.345185108024696</v>
          </cell>
          <cell r="AP388">
            <v>1.3451851080246957</v>
          </cell>
          <cell r="AQ388">
            <v>45965</v>
          </cell>
          <cell r="AR388">
            <v>10.366666666666667</v>
          </cell>
          <cell r="AS388">
            <v>0.97851844135802857</v>
          </cell>
          <cell r="AT388">
            <v>45959</v>
          </cell>
          <cell r="AU388">
            <v>0.97851844135802857</v>
          </cell>
          <cell r="AV388">
            <v>311</v>
          </cell>
          <cell r="AW388">
            <v>0.97851844135802857</v>
          </cell>
          <cell r="AY388">
            <v>345.46369178241002</v>
          </cell>
          <cell r="AZ388" t="str">
            <v>F18</v>
          </cell>
          <cell r="BA388">
            <v>3.59</v>
          </cell>
          <cell r="BB388" t="str">
            <v>NSFC</v>
          </cell>
          <cell r="BC388" t="str">
            <v>F18SB</v>
          </cell>
        </row>
        <row r="389">
          <cell r="A389" t="str">
            <v>536C2A</v>
          </cell>
          <cell r="B389" t="str">
            <v>3</v>
          </cell>
          <cell r="C389" t="str">
            <v>05</v>
          </cell>
          <cell r="D389">
            <v>18</v>
          </cell>
          <cell r="E389" t="str">
            <v>536C2A</v>
          </cell>
          <cell r="F389">
            <v>5.75</v>
          </cell>
          <cell r="G389">
            <v>4.93</v>
          </cell>
          <cell r="H389">
            <v>4.93</v>
          </cell>
          <cell r="I389" t="str">
            <v>FC</v>
          </cell>
          <cell r="J389" t="str">
            <v>ST</v>
          </cell>
          <cell r="K389">
            <v>12</v>
          </cell>
          <cell r="L389">
            <v>45703</v>
          </cell>
          <cell r="M389">
            <v>45703</v>
          </cell>
          <cell r="N389">
            <v>291</v>
          </cell>
          <cell r="O389" t="str">
            <v>NS</v>
          </cell>
          <cell r="P389" t="str">
            <v>NSGP3SS3</v>
          </cell>
          <cell r="Q389">
            <v>46069</v>
          </cell>
          <cell r="R389" t="str">
            <v/>
          </cell>
          <cell r="S389" t="str">
            <v/>
          </cell>
          <cell r="T389" t="str">
            <v/>
          </cell>
          <cell r="U389">
            <v>58326</v>
          </cell>
          <cell r="V389">
            <v>69091</v>
          </cell>
          <cell r="W389">
            <v>45408</v>
          </cell>
          <cell r="X389" t="str">
            <v>Lokasi Produksi 536C2A ( pecahan 536C2 )</v>
          </cell>
          <cell r="Z389">
            <v>12</v>
          </cell>
          <cell r="AA389">
            <v>46069</v>
          </cell>
          <cell r="AB389">
            <v>4806.5973361111101</v>
          </cell>
          <cell r="AC389">
            <v>160.21991120370367</v>
          </cell>
          <cell r="AD389">
            <v>-20</v>
          </cell>
          <cell r="AE389">
            <v>0</v>
          </cell>
          <cell r="AF389">
            <v>0</v>
          </cell>
          <cell r="AG389">
            <v>-1214.4666666666667</v>
          </cell>
          <cell r="AK389">
            <v>40315</v>
          </cell>
          <cell r="AM389" t="str">
            <v>OK</v>
          </cell>
          <cell r="AO389">
            <v>9.7118517746913611</v>
          </cell>
          <cell r="AP389">
            <v>-2.2881482253086389</v>
          </cell>
          <cell r="AQ389">
            <v>0</v>
          </cell>
          <cell r="AR389">
            <v>9.7118517746913611</v>
          </cell>
          <cell r="AS389">
            <v>0</v>
          </cell>
          <cell r="AT389">
            <v>46069</v>
          </cell>
          <cell r="AU389">
            <v>-2.2881482253086389</v>
          </cell>
          <cell r="AV389">
            <v>291.35555324074085</v>
          </cell>
          <cell r="AW389">
            <v>-2.2881482253086389</v>
          </cell>
          <cell r="AY389">
            <v>296.46369178241002</v>
          </cell>
          <cell r="AZ389" t="str">
            <v>GP3</v>
          </cell>
          <cell r="BA389">
            <v>4.93</v>
          </cell>
          <cell r="BB389" t="str">
            <v>NSFC</v>
          </cell>
          <cell r="BC389" t="str">
            <v>GP3SS</v>
          </cell>
        </row>
        <row r="390">
          <cell r="A390" t="str">
            <v>536C2B</v>
          </cell>
          <cell r="B390" t="str">
            <v>3</v>
          </cell>
          <cell r="C390" t="str">
            <v>05</v>
          </cell>
          <cell r="D390">
            <v>18</v>
          </cell>
          <cell r="E390" t="str">
            <v>536C2B</v>
          </cell>
          <cell r="F390">
            <v>3.95</v>
          </cell>
          <cell r="G390">
            <v>3.34</v>
          </cell>
          <cell r="H390">
            <v>3.34</v>
          </cell>
          <cell r="I390" t="str">
            <v>FC</v>
          </cell>
          <cell r="J390" t="str">
            <v>ST</v>
          </cell>
          <cell r="K390">
            <v>10</v>
          </cell>
          <cell r="L390">
            <v>45567</v>
          </cell>
          <cell r="M390">
            <v>45567</v>
          </cell>
          <cell r="N390">
            <v>427</v>
          </cell>
          <cell r="O390" t="str">
            <v>NS</v>
          </cell>
          <cell r="P390" t="str">
            <v>NSGP3SB3</v>
          </cell>
          <cell r="Q390">
            <v>45872</v>
          </cell>
          <cell r="R390" t="str">
            <v/>
          </cell>
          <cell r="S390" t="str">
            <v/>
          </cell>
          <cell r="T390">
            <v>45849</v>
          </cell>
          <cell r="U390">
            <v>70455</v>
          </cell>
          <cell r="V390">
            <v>69169</v>
          </cell>
          <cell r="W390">
            <v>45214</v>
          </cell>
          <cell r="X390" t="str">
            <v>Lokasi Produksi 536C2B ( pecahan 536C2 )</v>
          </cell>
          <cell r="Z390">
            <v>10</v>
          </cell>
          <cell r="AA390">
            <v>45872</v>
          </cell>
          <cell r="AB390">
            <v>159.59733611111005</v>
          </cell>
          <cell r="AC390">
            <v>5.3199112037036684</v>
          </cell>
          <cell r="AD390">
            <v>-6.6800887962963316</v>
          </cell>
          <cell r="AE390">
            <v>10.199999999999999</v>
          </cell>
          <cell r="AF390">
            <v>0</v>
          </cell>
          <cell r="AG390">
            <v>-1369.3666666666666</v>
          </cell>
          <cell r="AK390">
            <v>40443</v>
          </cell>
          <cell r="AM390" t="str">
            <v>OK</v>
          </cell>
          <cell r="AO390">
            <v>14.245185108024694</v>
          </cell>
          <cell r="AP390">
            <v>4.2451851080246943</v>
          </cell>
          <cell r="AQ390">
            <v>45849</v>
          </cell>
          <cell r="AR390">
            <v>9.4</v>
          </cell>
          <cell r="AS390">
            <v>4.8451851080246939</v>
          </cell>
          <cell r="AT390">
            <v>45872</v>
          </cell>
          <cell r="AU390">
            <v>4.8451851080246939</v>
          </cell>
          <cell r="AV390">
            <v>282</v>
          </cell>
          <cell r="AW390">
            <v>4.8451851080246939</v>
          </cell>
          <cell r="AY390">
            <v>432.46369178241002</v>
          </cell>
          <cell r="AZ390" t="str">
            <v>GP3</v>
          </cell>
          <cell r="BA390">
            <v>3.34</v>
          </cell>
          <cell r="BB390" t="str">
            <v>NSFC</v>
          </cell>
          <cell r="BC390" t="str">
            <v>GP3SB</v>
          </cell>
        </row>
        <row r="391">
          <cell r="A391" t="str">
            <v>536C2C</v>
          </cell>
          <cell r="B391" t="str">
            <v>3</v>
          </cell>
          <cell r="C391" t="str">
            <v>05</v>
          </cell>
          <cell r="D391">
            <v>18</v>
          </cell>
          <cell r="E391" t="str">
            <v>536C2C</v>
          </cell>
          <cell r="F391">
            <v>2.85</v>
          </cell>
          <cell r="G391">
            <v>2.38</v>
          </cell>
          <cell r="H391">
            <v>2.38</v>
          </cell>
          <cell r="I391" t="str">
            <v>FC</v>
          </cell>
          <cell r="J391" t="str">
            <v>ST</v>
          </cell>
          <cell r="K391">
            <v>10</v>
          </cell>
          <cell r="L391">
            <v>45567</v>
          </cell>
          <cell r="M391">
            <v>45567</v>
          </cell>
          <cell r="N391">
            <v>427</v>
          </cell>
          <cell r="O391" t="str">
            <v>NS</v>
          </cell>
          <cell r="P391" t="str">
            <v>NSGP3SB3</v>
          </cell>
          <cell r="Q391">
            <v>45872</v>
          </cell>
          <cell r="R391" t="str">
            <v/>
          </cell>
          <cell r="S391" t="str">
            <v/>
          </cell>
          <cell r="T391">
            <v>45849</v>
          </cell>
          <cell r="U391">
            <v>70488</v>
          </cell>
          <cell r="V391">
            <v>70740</v>
          </cell>
          <cell r="W391">
            <v>45214</v>
          </cell>
          <cell r="X391" t="str">
            <v>Lokasi Produksi 536C2C ( pecahan 536C2 )</v>
          </cell>
          <cell r="Z391">
            <v>10</v>
          </cell>
          <cell r="AA391">
            <v>45872</v>
          </cell>
          <cell r="AB391">
            <v>386.59733611111005</v>
          </cell>
          <cell r="AC391">
            <v>12.886577870370335</v>
          </cell>
          <cell r="AD391">
            <v>4.8865778703703349</v>
          </cell>
          <cell r="AE391">
            <v>11.96</v>
          </cell>
          <cell r="AF391">
            <v>0</v>
          </cell>
          <cell r="AG391">
            <v>-1361.8</v>
          </cell>
          <cell r="AM391" t="str">
            <v>OK</v>
          </cell>
          <cell r="AO391">
            <v>14.245185108024694</v>
          </cell>
          <cell r="AP391">
            <v>4.2451851080246943</v>
          </cell>
          <cell r="AQ391">
            <v>45849</v>
          </cell>
          <cell r="AR391">
            <v>9.4</v>
          </cell>
          <cell r="AS391">
            <v>4.8451851080246939</v>
          </cell>
          <cell r="AT391">
            <v>45872</v>
          </cell>
          <cell r="AU391">
            <v>4.8451851080246939</v>
          </cell>
          <cell r="AV391">
            <v>282</v>
          </cell>
          <cell r="AW391">
            <v>4.8451851080246939</v>
          </cell>
          <cell r="AY391">
            <v>432.46369178241002</v>
          </cell>
          <cell r="AZ391" t="str">
            <v>GP3</v>
          </cell>
          <cell r="BA391">
            <v>2.38</v>
          </cell>
          <cell r="BB391" t="str">
            <v>NSFC</v>
          </cell>
          <cell r="BC391" t="str">
            <v>GP3SB</v>
          </cell>
        </row>
        <row r="392">
          <cell r="A392" t="str">
            <v>536D1</v>
          </cell>
          <cell r="B392" t="str">
            <v>3</v>
          </cell>
          <cell r="C392" t="str">
            <v>05</v>
          </cell>
          <cell r="D392">
            <v>18</v>
          </cell>
          <cell r="E392" t="str">
            <v>536D1</v>
          </cell>
          <cell r="F392">
            <v>12</v>
          </cell>
          <cell r="G392">
            <v>10.039999999999999</v>
          </cell>
          <cell r="H392">
            <v>10.039999999999999</v>
          </cell>
          <cell r="I392" t="str">
            <v>FC</v>
          </cell>
          <cell r="J392" t="str">
            <v>ST</v>
          </cell>
          <cell r="K392">
            <v>12</v>
          </cell>
          <cell r="L392">
            <v>45736</v>
          </cell>
          <cell r="M392">
            <v>45736</v>
          </cell>
          <cell r="N392">
            <v>258</v>
          </cell>
          <cell r="O392" t="str">
            <v>NS</v>
          </cell>
          <cell r="P392" t="str">
            <v>NSF18SS3</v>
          </cell>
          <cell r="Q392">
            <v>46102</v>
          </cell>
          <cell r="R392" t="str">
            <v/>
          </cell>
          <cell r="S392" t="str">
            <v/>
          </cell>
          <cell r="T392" t="str">
            <v/>
          </cell>
          <cell r="U392">
            <v>69835</v>
          </cell>
          <cell r="V392">
            <v>73503</v>
          </cell>
          <cell r="W392" t="str">
            <v/>
          </cell>
          <cell r="X392" t="str">
            <v>Lokasi Produksi 536D1 ( pecahan 536D )</v>
          </cell>
          <cell r="Z392">
            <v>12</v>
          </cell>
          <cell r="AA392">
            <v>46102</v>
          </cell>
          <cell r="AB392">
            <v>76.597336111110053</v>
          </cell>
          <cell r="AC392">
            <v>2.5532445370370018</v>
          </cell>
          <cell r="AD392">
            <v>-11.446755462962997</v>
          </cell>
          <cell r="AE392">
            <v>15.34</v>
          </cell>
          <cell r="AF392">
            <v>0</v>
          </cell>
          <cell r="AG392">
            <v>-1372.1333333333334</v>
          </cell>
          <cell r="AM392" t="str">
            <v>OK</v>
          </cell>
          <cell r="AO392">
            <v>8.6118517746913614</v>
          </cell>
          <cell r="AP392">
            <v>-3.3881482253086386</v>
          </cell>
          <cell r="AQ392">
            <v>0</v>
          </cell>
          <cell r="AR392">
            <v>8.6118517746913614</v>
          </cell>
          <cell r="AS392">
            <v>0</v>
          </cell>
          <cell r="AT392">
            <v>46102</v>
          </cell>
          <cell r="AU392">
            <v>-3.3881482253086386</v>
          </cell>
          <cell r="AV392">
            <v>258.35555324074085</v>
          </cell>
          <cell r="AW392">
            <v>-3.3881482253086386</v>
          </cell>
          <cell r="AY392">
            <v>263.46369178241002</v>
          </cell>
          <cell r="AZ392" t="str">
            <v>F18</v>
          </cell>
          <cell r="BA392">
            <v>10.039999999999999</v>
          </cell>
          <cell r="BB392" t="str">
            <v>NSFC</v>
          </cell>
          <cell r="BC392" t="str">
            <v>F18SS</v>
          </cell>
        </row>
        <row r="393">
          <cell r="A393" t="str">
            <v>536D2</v>
          </cell>
          <cell r="B393" t="str">
            <v>3</v>
          </cell>
          <cell r="C393" t="str">
            <v>05</v>
          </cell>
          <cell r="D393">
            <v>18</v>
          </cell>
          <cell r="E393" t="str">
            <v>536D2</v>
          </cell>
          <cell r="F393">
            <v>7.84</v>
          </cell>
          <cell r="G393">
            <v>6.54</v>
          </cell>
          <cell r="H393">
            <v>6.54</v>
          </cell>
          <cell r="I393" t="str">
            <v>FC</v>
          </cell>
          <cell r="J393" t="str">
            <v>ST</v>
          </cell>
          <cell r="K393">
            <v>10</v>
          </cell>
          <cell r="L393">
            <v>45740</v>
          </cell>
          <cell r="M393">
            <v>45740</v>
          </cell>
          <cell r="N393">
            <v>254</v>
          </cell>
          <cell r="O393" t="str">
            <v>NS</v>
          </cell>
          <cell r="P393" t="str">
            <v>NSF18SB3</v>
          </cell>
          <cell r="Q393">
            <v>46045</v>
          </cell>
          <cell r="R393" t="str">
            <v/>
          </cell>
          <cell r="S393" t="str">
            <v/>
          </cell>
          <cell r="T393" t="str">
            <v/>
          </cell>
          <cell r="U393">
            <v>70163</v>
          </cell>
          <cell r="V393">
            <v>72436</v>
          </cell>
          <cell r="W393">
            <v>44189</v>
          </cell>
          <cell r="X393" t="str">
            <v>Lokasi Produksi 536D2 ( pecahan 536D )</v>
          </cell>
          <cell r="Z393">
            <v>10</v>
          </cell>
          <cell r="AA393">
            <v>46045</v>
          </cell>
          <cell r="AB393">
            <v>257.59733611111005</v>
          </cell>
          <cell r="AC393">
            <v>8.5865778703703359</v>
          </cell>
          <cell r="AD393">
            <v>-5.4134221296296641</v>
          </cell>
          <cell r="AE393">
            <v>15.38</v>
          </cell>
          <cell r="AF393">
            <v>0</v>
          </cell>
          <cell r="AG393">
            <v>-1366.1</v>
          </cell>
          <cell r="AM393" t="str">
            <v>OK</v>
          </cell>
          <cell r="AO393">
            <v>8.4785184413580286</v>
          </cell>
          <cell r="AP393">
            <v>-1.5214815586419714</v>
          </cell>
          <cell r="AQ393">
            <v>0</v>
          </cell>
          <cell r="AR393">
            <v>8.4785184413580286</v>
          </cell>
          <cell r="AS393">
            <v>0</v>
          </cell>
          <cell r="AT393">
            <v>46045</v>
          </cell>
          <cell r="AU393">
            <v>-1.5214815586419714</v>
          </cell>
          <cell r="AV393">
            <v>254.35555324074085</v>
          </cell>
          <cell r="AW393">
            <v>-1.5214815586419714</v>
          </cell>
          <cell r="AY393">
            <v>259.46369178241002</v>
          </cell>
          <cell r="AZ393" t="str">
            <v>F18</v>
          </cell>
          <cell r="BA393">
            <v>6.54</v>
          </cell>
          <cell r="BB393" t="str">
            <v>NSFC</v>
          </cell>
          <cell r="BC393" t="str">
            <v>F18SB</v>
          </cell>
        </row>
        <row r="394">
          <cell r="A394" t="str">
            <v>536E3</v>
          </cell>
          <cell r="B394" t="str">
            <v>3</v>
          </cell>
          <cell r="C394" t="str">
            <v>05</v>
          </cell>
          <cell r="D394">
            <v>18</v>
          </cell>
          <cell r="E394" t="str">
            <v>536E3</v>
          </cell>
          <cell r="F394">
            <v>5.09</v>
          </cell>
          <cell r="G394">
            <v>4.16</v>
          </cell>
          <cell r="H394">
            <v>4.16</v>
          </cell>
          <cell r="I394" t="str">
            <v>SC</v>
          </cell>
          <cell r="J394" t="str">
            <v>FC</v>
          </cell>
          <cell r="K394">
            <v>8</v>
          </cell>
          <cell r="L394">
            <v>45703</v>
          </cell>
          <cell r="M394">
            <v>45703</v>
          </cell>
          <cell r="N394">
            <v>291</v>
          </cell>
          <cell r="O394" t="str">
            <v>NS</v>
          </cell>
          <cell r="P394" t="str">
            <v/>
          </cell>
          <cell r="Q394">
            <v>45947</v>
          </cell>
          <cell r="R394" t="str">
            <v/>
          </cell>
          <cell r="S394" t="str">
            <v/>
          </cell>
          <cell r="T394">
            <v>45924</v>
          </cell>
          <cell r="U394">
            <v>70402</v>
          </cell>
          <cell r="V394">
            <v>52040</v>
          </cell>
          <cell r="W394">
            <v>45015</v>
          </cell>
          <cell r="X394" t="str">
            <v>Lokasi Produksi 536E3 ( pecahan 536E )</v>
          </cell>
          <cell r="Z394">
            <v>8</v>
          </cell>
          <cell r="AA394">
            <v>45947</v>
          </cell>
          <cell r="AB394">
            <v>186.59733611111005</v>
          </cell>
          <cell r="AC394">
            <v>6.2199112037036688</v>
          </cell>
          <cell r="AD394">
            <v>-5.7800887962963312</v>
          </cell>
          <cell r="AE394">
            <v>9.32</v>
          </cell>
          <cell r="AF394">
            <v>0</v>
          </cell>
          <cell r="AG394">
            <v>-1368.4666666666667</v>
          </cell>
          <cell r="AM394" t="str">
            <v>OK</v>
          </cell>
          <cell r="AO394">
            <v>9.7118517746913611</v>
          </cell>
          <cell r="AP394">
            <v>1.7118517746913611</v>
          </cell>
          <cell r="AQ394">
            <v>45924</v>
          </cell>
          <cell r="AR394">
            <v>7.3666666666666663</v>
          </cell>
          <cell r="AS394">
            <v>2.3451851080246948</v>
          </cell>
          <cell r="AT394">
            <v>45947</v>
          </cell>
          <cell r="AU394">
            <v>2.3451851080246948</v>
          </cell>
          <cell r="AV394">
            <v>221</v>
          </cell>
          <cell r="AW394">
            <v>2.3451851080246948</v>
          </cell>
          <cell r="AY394">
            <v>296.46369178241002</v>
          </cell>
          <cell r="AZ394" t="str">
            <v>F18</v>
          </cell>
          <cell r="BA394">
            <v>4.16</v>
          </cell>
          <cell r="BB394" t="str">
            <v>NSSC</v>
          </cell>
          <cell r="BC394" t="str">
            <v>F18</v>
          </cell>
        </row>
        <row r="395">
          <cell r="A395" t="str">
            <v>536E3S</v>
          </cell>
          <cell r="B395" t="str">
            <v>3</v>
          </cell>
          <cell r="C395" t="str">
            <v>05</v>
          </cell>
          <cell r="D395">
            <v>18</v>
          </cell>
          <cell r="E395" t="str">
            <v>536E3S</v>
          </cell>
          <cell r="F395">
            <v>2.57</v>
          </cell>
          <cell r="G395">
            <v>2.44</v>
          </cell>
          <cell r="H395">
            <v>2.44</v>
          </cell>
          <cell r="I395" t="str">
            <v>BK</v>
          </cell>
          <cell r="J395" t="str">
            <v>FC</v>
          </cell>
          <cell r="K395">
            <v>0</v>
          </cell>
          <cell r="L395">
            <v>45953</v>
          </cell>
          <cell r="M395">
            <v>45953</v>
          </cell>
          <cell r="N395">
            <v>41</v>
          </cell>
          <cell r="O395" t="str">
            <v>SK</v>
          </cell>
          <cell r="P395" t="str">
            <v/>
          </cell>
          <cell r="Q395">
            <v>45953</v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>Lokasi Produksi 536E3S ( singkong )</v>
          </cell>
          <cell r="Z395">
            <v>0</v>
          </cell>
          <cell r="AA395">
            <v>45953</v>
          </cell>
          <cell r="AB395">
            <v>162.59733611111005</v>
          </cell>
          <cell r="AC395">
            <v>5.4199112037036681</v>
          </cell>
          <cell r="AD395">
            <v>-8.5800887962963319</v>
          </cell>
          <cell r="AE395">
            <v>16.52</v>
          </cell>
          <cell r="AF395">
            <v>0</v>
          </cell>
          <cell r="AG395">
            <v>-1369.2666666666667</v>
          </cell>
          <cell r="AM395" t="str">
            <v>OK</v>
          </cell>
          <cell r="AO395">
            <v>1.3785184413580283</v>
          </cell>
          <cell r="AP395">
            <v>1.3785184413580283</v>
          </cell>
          <cell r="AQ395">
            <v>0</v>
          </cell>
          <cell r="AR395">
            <v>1.3785184413580283</v>
          </cell>
          <cell r="AS395">
            <v>0</v>
          </cell>
          <cell r="AT395">
            <v>45953</v>
          </cell>
          <cell r="AU395">
            <v>1.3785184413580283</v>
          </cell>
          <cell r="AV395">
            <v>41.355553240740846</v>
          </cell>
          <cell r="AW395">
            <v>1.3785184413580283</v>
          </cell>
          <cell r="AY395">
            <v>46.463691782410024</v>
          </cell>
          <cell r="AZ395" t="str">
            <v>F18</v>
          </cell>
          <cell r="BA395">
            <v>0</v>
          </cell>
          <cell r="BB395" t="str">
            <v>SKBK</v>
          </cell>
          <cell r="BC395" t="str">
            <v>F18</v>
          </cell>
        </row>
        <row r="396">
          <cell r="A396" t="str">
            <v>536E4</v>
          </cell>
          <cell r="B396" t="str">
            <v>3</v>
          </cell>
          <cell r="C396" t="str">
            <v>05</v>
          </cell>
          <cell r="D396">
            <v>18</v>
          </cell>
          <cell r="E396" t="str">
            <v>536E4</v>
          </cell>
          <cell r="F396">
            <v>4.57</v>
          </cell>
          <cell r="G396">
            <v>3.74</v>
          </cell>
          <cell r="H396">
            <v>3.74</v>
          </cell>
          <cell r="I396" t="str">
            <v>SC</v>
          </cell>
          <cell r="J396" t="str">
            <v>FC</v>
          </cell>
          <cell r="K396">
            <v>8</v>
          </cell>
          <cell r="L396">
            <v>45703</v>
          </cell>
          <cell r="M396">
            <v>45703</v>
          </cell>
          <cell r="N396">
            <v>291</v>
          </cell>
          <cell r="O396" t="str">
            <v>NS</v>
          </cell>
          <cell r="P396" t="str">
            <v/>
          </cell>
          <cell r="Q396">
            <v>45947</v>
          </cell>
          <cell r="R396" t="str">
            <v/>
          </cell>
          <cell r="S396" t="str">
            <v/>
          </cell>
          <cell r="T396">
            <v>45924</v>
          </cell>
          <cell r="U396">
            <v>68948</v>
          </cell>
          <cell r="V396">
            <v>52354</v>
          </cell>
          <cell r="W396">
            <v>44897</v>
          </cell>
          <cell r="X396" t="str">
            <v>Lokasi Produksi 536E3 ( pecahan 536E )</v>
          </cell>
          <cell r="Z396">
            <v>8</v>
          </cell>
          <cell r="AA396">
            <v>45947</v>
          </cell>
          <cell r="AB396">
            <v>176.59733611111005</v>
          </cell>
          <cell r="AC396">
            <v>5.8865778703703349</v>
          </cell>
          <cell r="AD396">
            <v>-8.1134221296296651</v>
          </cell>
          <cell r="AE396">
            <v>15.27</v>
          </cell>
          <cell r="AF396">
            <v>0</v>
          </cell>
          <cell r="AG396">
            <v>-1368.8</v>
          </cell>
          <cell r="AM396" t="str">
            <v>OK</v>
          </cell>
          <cell r="AO396">
            <v>9.7118517746913611</v>
          </cell>
          <cell r="AP396">
            <v>1.7118517746913611</v>
          </cell>
          <cell r="AQ396">
            <v>45924</v>
          </cell>
          <cell r="AR396">
            <v>7.3666666666666663</v>
          </cell>
          <cell r="AS396">
            <v>2.3451851080246948</v>
          </cell>
          <cell r="AT396">
            <v>45947</v>
          </cell>
          <cell r="AU396">
            <v>2.3451851080246948</v>
          </cell>
          <cell r="AV396">
            <v>221</v>
          </cell>
          <cell r="AW396">
            <v>2.3451851080246948</v>
          </cell>
          <cell r="AY396">
            <v>296.46369178241002</v>
          </cell>
          <cell r="AZ396" t="str">
            <v>F18</v>
          </cell>
          <cell r="BA396">
            <v>3.74</v>
          </cell>
          <cell r="BB396" t="str">
            <v>NSSC</v>
          </cell>
          <cell r="BC396" t="str">
            <v>F18</v>
          </cell>
        </row>
        <row r="397">
          <cell r="A397" t="str">
            <v>537A</v>
          </cell>
          <cell r="B397" t="str">
            <v>3</v>
          </cell>
          <cell r="C397" t="str">
            <v>05</v>
          </cell>
          <cell r="D397">
            <v>18</v>
          </cell>
          <cell r="E397" t="str">
            <v>537A</v>
          </cell>
          <cell r="F397">
            <v>10.26</v>
          </cell>
          <cell r="G397">
            <v>8.4700000000000006</v>
          </cell>
          <cell r="H397">
            <v>8.4700000000000006</v>
          </cell>
          <cell r="I397" t="str">
            <v>FC</v>
          </cell>
          <cell r="J397" t="str">
            <v>ST</v>
          </cell>
          <cell r="K397">
            <v>14</v>
          </cell>
          <cell r="L397">
            <v>45565</v>
          </cell>
          <cell r="M397">
            <v>45565</v>
          </cell>
          <cell r="N397">
            <v>429</v>
          </cell>
          <cell r="O397" t="str">
            <v>NS</v>
          </cell>
          <cell r="P397" t="str">
            <v>NSF18CK3</v>
          </cell>
          <cell r="Q397">
            <v>45992</v>
          </cell>
          <cell r="R397" t="str">
            <v/>
          </cell>
          <cell r="S397" t="str">
            <v/>
          </cell>
          <cell r="T397">
            <v>45972</v>
          </cell>
          <cell r="U397">
            <v>64676</v>
          </cell>
          <cell r="V397">
            <v>65010</v>
          </cell>
          <cell r="W397">
            <v>44342</v>
          </cell>
          <cell r="X397" t="str">
            <v>Lokasi Produksi 537A</v>
          </cell>
          <cell r="Z397">
            <v>14</v>
          </cell>
          <cell r="AA397">
            <v>45992</v>
          </cell>
          <cell r="AB397">
            <v>169.59733611111005</v>
          </cell>
          <cell r="AC397">
            <v>5.6532445370370015</v>
          </cell>
          <cell r="AD397">
            <v>-10.346755462962999</v>
          </cell>
          <cell r="AE397">
            <v>17.059999999999999</v>
          </cell>
          <cell r="AF397">
            <v>0</v>
          </cell>
          <cell r="AG397">
            <v>-1369.0333333333333</v>
          </cell>
          <cell r="AM397" t="str">
            <v>OK</v>
          </cell>
          <cell r="AO397">
            <v>14.311851774691361</v>
          </cell>
          <cell r="AP397">
            <v>0.31185177469136072</v>
          </cell>
          <cell r="AQ397">
            <v>45972</v>
          </cell>
          <cell r="AR397">
            <v>13.566666666666666</v>
          </cell>
          <cell r="AS397">
            <v>0.74518510802469429</v>
          </cell>
          <cell r="AT397">
            <v>45992</v>
          </cell>
          <cell r="AU397">
            <v>0.74518510802469429</v>
          </cell>
          <cell r="AV397">
            <v>407</v>
          </cell>
          <cell r="AW397">
            <v>0.74518510802469429</v>
          </cell>
          <cell r="AY397">
            <v>434.46369178241002</v>
          </cell>
          <cell r="AZ397" t="str">
            <v>F18</v>
          </cell>
          <cell r="BA397">
            <v>8.4700000000000006</v>
          </cell>
          <cell r="BB397" t="str">
            <v>NSFC</v>
          </cell>
          <cell r="BC397" t="str">
            <v>F18CK</v>
          </cell>
        </row>
        <row r="398">
          <cell r="A398" t="str">
            <v>537B1</v>
          </cell>
          <cell r="B398" t="str">
            <v>3</v>
          </cell>
          <cell r="C398" t="str">
            <v>05</v>
          </cell>
          <cell r="D398">
            <v>18</v>
          </cell>
          <cell r="E398" t="str">
            <v>537B1</v>
          </cell>
          <cell r="F398">
            <v>14.27</v>
          </cell>
          <cell r="G398">
            <v>11.83</v>
          </cell>
          <cell r="H398">
            <v>11.83</v>
          </cell>
          <cell r="I398" t="str">
            <v>BB</v>
          </cell>
          <cell r="J398" t="str">
            <v>FC</v>
          </cell>
          <cell r="K398">
            <v>0</v>
          </cell>
          <cell r="L398">
            <v>45898</v>
          </cell>
          <cell r="M398">
            <v>45898</v>
          </cell>
          <cell r="N398">
            <v>96</v>
          </cell>
          <cell r="O398" t="str">
            <v>NS</v>
          </cell>
          <cell r="P398" t="str">
            <v/>
          </cell>
          <cell r="Q398">
            <v>45898</v>
          </cell>
          <cell r="R398" t="str">
            <v/>
          </cell>
          <cell r="S398" t="str">
            <v/>
          </cell>
          <cell r="T398" t="str">
            <v/>
          </cell>
          <cell r="U398">
            <v>69806</v>
          </cell>
          <cell r="V398">
            <v>69758</v>
          </cell>
          <cell r="W398">
            <v>45410</v>
          </cell>
          <cell r="X398" t="str">
            <v>Lokasi Produksi 537B1 (Pecahan 537B &amp;537D)</v>
          </cell>
          <cell r="Z398">
            <v>0</v>
          </cell>
          <cell r="AA398">
            <v>45898</v>
          </cell>
          <cell r="AB398">
            <v>5097.5973361111101</v>
          </cell>
          <cell r="AC398">
            <v>169.91991120370366</v>
          </cell>
          <cell r="AD398">
            <v>-20</v>
          </cell>
          <cell r="AE398">
            <v>0</v>
          </cell>
          <cell r="AF398">
            <v>0</v>
          </cell>
          <cell r="AG398">
            <v>-1204.7666666666667</v>
          </cell>
          <cell r="AM398" t="str">
            <v>OK</v>
          </cell>
          <cell r="AO398">
            <v>3.2118517746913615</v>
          </cell>
          <cell r="AP398">
            <v>3.2118517746913615</v>
          </cell>
          <cell r="AQ398">
            <v>0</v>
          </cell>
          <cell r="AR398">
            <v>3.2118517746913615</v>
          </cell>
          <cell r="AS398">
            <v>0</v>
          </cell>
          <cell r="AT398">
            <v>45898</v>
          </cell>
          <cell r="AU398">
            <v>3.2118517746913615</v>
          </cell>
          <cell r="AV398">
            <v>96.355553240740846</v>
          </cell>
          <cell r="AW398">
            <v>3.2118517746913615</v>
          </cell>
          <cell r="AY398">
            <v>101.46369178241002</v>
          </cell>
          <cell r="AZ398" t="str">
            <v>F18</v>
          </cell>
          <cell r="BA398">
            <v>0</v>
          </cell>
          <cell r="BB398" t="str">
            <v>NSBB</v>
          </cell>
          <cell r="BC398" t="str">
            <v>F18</v>
          </cell>
        </row>
        <row r="399">
          <cell r="A399" t="str">
            <v>537B2</v>
          </cell>
          <cell r="B399" t="str">
            <v>3</v>
          </cell>
          <cell r="C399" t="str">
            <v>05</v>
          </cell>
          <cell r="D399">
            <v>18</v>
          </cell>
          <cell r="E399" t="str">
            <v>537B2</v>
          </cell>
          <cell r="F399">
            <v>12.54</v>
          </cell>
          <cell r="G399">
            <v>10.51</v>
          </cell>
          <cell r="H399">
            <v>10.51</v>
          </cell>
          <cell r="I399" t="str">
            <v>FC</v>
          </cell>
          <cell r="J399" t="str">
            <v>ST</v>
          </cell>
          <cell r="K399">
            <v>12</v>
          </cell>
          <cell r="L399">
            <v>45700</v>
          </cell>
          <cell r="M399">
            <v>45700</v>
          </cell>
          <cell r="N399">
            <v>294</v>
          </cell>
          <cell r="O399" t="str">
            <v>NS</v>
          </cell>
          <cell r="P399" t="str">
            <v>NSGP3SS3</v>
          </cell>
          <cell r="Q399">
            <v>46066</v>
          </cell>
          <cell r="R399" t="str">
            <v/>
          </cell>
          <cell r="S399" t="str">
            <v/>
          </cell>
          <cell r="T399" t="str">
            <v/>
          </cell>
          <cell r="U399">
            <v>65733</v>
          </cell>
          <cell r="V399">
            <v>71605</v>
          </cell>
          <cell r="W399">
            <v>44219</v>
          </cell>
          <cell r="X399" t="str">
            <v>Lokasi Produksi 537B2</v>
          </cell>
          <cell r="Z399">
            <v>12</v>
          </cell>
          <cell r="AA399">
            <v>46066</v>
          </cell>
          <cell r="AB399">
            <v>190.59733611111005</v>
          </cell>
          <cell r="AC399">
            <v>6.3532445370370016</v>
          </cell>
          <cell r="AD399">
            <v>-20</v>
          </cell>
          <cell r="AE399">
            <v>0</v>
          </cell>
          <cell r="AF399">
            <v>0</v>
          </cell>
          <cell r="AG399">
            <v>-1368.3333333333333</v>
          </cell>
          <cell r="AM399" t="str">
            <v>OK</v>
          </cell>
          <cell r="AO399">
            <v>9.8118517746913607</v>
          </cell>
          <cell r="AP399">
            <v>-2.1881482253086393</v>
          </cell>
          <cell r="AQ399">
            <v>0</v>
          </cell>
          <cell r="AR399">
            <v>9.8118517746913607</v>
          </cell>
          <cell r="AS399">
            <v>0</v>
          </cell>
          <cell r="AT399">
            <v>46066</v>
          </cell>
          <cell r="AU399">
            <v>-2.1881482253086393</v>
          </cell>
          <cell r="AV399">
            <v>294.35555324074085</v>
          </cell>
          <cell r="AW399">
            <v>-2.1881482253086393</v>
          </cell>
          <cell r="AY399">
            <v>299.46369178241002</v>
          </cell>
          <cell r="AZ399" t="str">
            <v>GP3</v>
          </cell>
          <cell r="BA399">
            <v>10.51</v>
          </cell>
          <cell r="BB399" t="str">
            <v>NSFC</v>
          </cell>
          <cell r="BC399" t="str">
            <v>GP3SS</v>
          </cell>
        </row>
        <row r="400">
          <cell r="A400" t="str">
            <v>537C</v>
          </cell>
          <cell r="B400" t="str">
            <v>3</v>
          </cell>
          <cell r="C400" t="str">
            <v>05</v>
          </cell>
          <cell r="D400">
            <v>18</v>
          </cell>
          <cell r="E400" t="str">
            <v>537C</v>
          </cell>
          <cell r="F400">
            <v>11.05</v>
          </cell>
          <cell r="G400">
            <v>9.1999999999999993</v>
          </cell>
          <cell r="H400">
            <v>9.1999999999999993</v>
          </cell>
          <cell r="I400" t="str">
            <v>SC</v>
          </cell>
          <cell r="J400" t="str">
            <v>FC</v>
          </cell>
          <cell r="K400">
            <v>8</v>
          </cell>
          <cell r="L400">
            <v>45957</v>
          </cell>
          <cell r="M400">
            <v>45957</v>
          </cell>
          <cell r="N400">
            <v>37</v>
          </cell>
          <cell r="O400" t="str">
            <v>NS</v>
          </cell>
          <cell r="P400" t="str">
            <v/>
          </cell>
          <cell r="Q400">
            <v>46201</v>
          </cell>
          <cell r="R400" t="str">
            <v/>
          </cell>
          <cell r="S400" t="str">
            <v/>
          </cell>
          <cell r="T400" t="str">
            <v/>
          </cell>
          <cell r="U400">
            <v>68522</v>
          </cell>
          <cell r="V400">
            <v>70617</v>
          </cell>
          <cell r="W400" t="str">
            <v/>
          </cell>
          <cell r="X400" t="str">
            <v>Lokasi Produksi 537C</v>
          </cell>
          <cell r="Z400">
            <v>8</v>
          </cell>
          <cell r="AA400">
            <v>46201</v>
          </cell>
          <cell r="AB400">
            <v>585.59733611111005</v>
          </cell>
          <cell r="AC400">
            <v>19.519911203703668</v>
          </cell>
          <cell r="AD400">
            <v>-20</v>
          </cell>
          <cell r="AE400">
            <v>0</v>
          </cell>
          <cell r="AF400">
            <v>0</v>
          </cell>
          <cell r="AG400">
            <v>-1355.1666666666667</v>
          </cell>
          <cell r="AM400" t="str">
            <v>OK</v>
          </cell>
          <cell r="AO400">
            <v>1.245185108024695</v>
          </cell>
          <cell r="AP400">
            <v>-6.7548148919753048</v>
          </cell>
          <cell r="AQ400">
            <v>0</v>
          </cell>
          <cell r="AR400">
            <v>1.245185108024695</v>
          </cell>
          <cell r="AS400">
            <v>0</v>
          </cell>
          <cell r="AT400">
            <v>46201</v>
          </cell>
          <cell r="AU400">
            <v>-6.7548148919753048</v>
          </cell>
          <cell r="AV400">
            <v>37.355553240740846</v>
          </cell>
          <cell r="AW400">
            <v>-6.7548148919753048</v>
          </cell>
          <cell r="AY400">
            <v>42.463691782410024</v>
          </cell>
          <cell r="AZ400" t="str">
            <v>F18</v>
          </cell>
          <cell r="BA400">
            <v>9.1999999999999993</v>
          </cell>
          <cell r="BB400" t="str">
            <v>NSSC</v>
          </cell>
          <cell r="BC400" t="str">
            <v>F18</v>
          </cell>
        </row>
        <row r="401">
          <cell r="A401" t="str">
            <v>537D2</v>
          </cell>
          <cell r="B401" t="str">
            <v>3</v>
          </cell>
          <cell r="C401" t="str">
            <v>05</v>
          </cell>
          <cell r="D401">
            <v>18</v>
          </cell>
          <cell r="E401" t="str">
            <v>537D2</v>
          </cell>
          <cell r="F401">
            <v>17.649999999999999</v>
          </cell>
          <cell r="G401">
            <v>13.99</v>
          </cell>
          <cell r="H401">
            <v>13.99</v>
          </cell>
          <cell r="I401" t="str">
            <v>SC</v>
          </cell>
          <cell r="J401" t="str">
            <v>BB</v>
          </cell>
          <cell r="K401">
            <v>8</v>
          </cell>
          <cell r="L401">
            <v>45988</v>
          </cell>
          <cell r="M401">
            <v>45988</v>
          </cell>
          <cell r="N401">
            <v>6</v>
          </cell>
          <cell r="O401" t="str">
            <v>NS</v>
          </cell>
          <cell r="P401" t="str">
            <v/>
          </cell>
          <cell r="Q401">
            <v>46232</v>
          </cell>
          <cell r="R401" t="str">
            <v/>
          </cell>
          <cell r="S401" t="str">
            <v/>
          </cell>
          <cell r="T401" t="str">
            <v/>
          </cell>
          <cell r="U401">
            <v>68811</v>
          </cell>
          <cell r="V401">
            <v>69777</v>
          </cell>
          <cell r="W401" t="str">
            <v/>
          </cell>
          <cell r="X401" t="str">
            <v>Lokasi Produksi 537D2</v>
          </cell>
          <cell r="Z401">
            <v>8</v>
          </cell>
          <cell r="AA401">
            <v>46232</v>
          </cell>
          <cell r="AB401">
            <v>5099.5973361111101</v>
          </cell>
          <cell r="AC401">
            <v>169.98657787037033</v>
          </cell>
          <cell r="AD401">
            <v>-20</v>
          </cell>
          <cell r="AE401">
            <v>0</v>
          </cell>
          <cell r="AF401">
            <v>0</v>
          </cell>
          <cell r="AG401">
            <v>-1204.7</v>
          </cell>
          <cell r="AM401" t="str">
            <v>OK</v>
          </cell>
          <cell r="AO401">
            <v>0.21185177469136154</v>
          </cell>
          <cell r="AP401">
            <v>-7.788148225308638</v>
          </cell>
          <cell r="AQ401">
            <v>0</v>
          </cell>
          <cell r="AR401">
            <v>0.21185177469136154</v>
          </cell>
          <cell r="AS401">
            <v>0</v>
          </cell>
          <cell r="AT401">
            <v>46232</v>
          </cell>
          <cell r="AU401">
            <v>-7.788148225308638</v>
          </cell>
          <cell r="AV401">
            <v>6.3555532407408464</v>
          </cell>
          <cell r="AW401">
            <v>-7.788148225308638</v>
          </cell>
          <cell r="AY401">
            <v>11.463691782410024</v>
          </cell>
          <cell r="AZ401" t="str">
            <v>F18</v>
          </cell>
          <cell r="BA401">
            <v>13.99</v>
          </cell>
          <cell r="BB401" t="str">
            <v>NSSC</v>
          </cell>
          <cell r="BC401" t="str">
            <v>F18</v>
          </cell>
        </row>
        <row r="402">
          <cell r="A402" t="str">
            <v>537SS</v>
          </cell>
          <cell r="B402" t="str">
            <v>3</v>
          </cell>
          <cell r="C402" t="str">
            <v>05</v>
          </cell>
          <cell r="D402">
            <v>18</v>
          </cell>
          <cell r="E402" t="str">
            <v>537SS</v>
          </cell>
          <cell r="F402">
            <v>0.86</v>
          </cell>
          <cell r="G402">
            <v>0.84</v>
          </cell>
          <cell r="H402">
            <v>0.84</v>
          </cell>
          <cell r="I402" t="str">
            <v>FC</v>
          </cell>
          <cell r="J402" t="str">
            <v>ST</v>
          </cell>
          <cell r="K402">
            <v>0</v>
          </cell>
          <cell r="L402">
            <v>45957</v>
          </cell>
          <cell r="M402">
            <v>45957</v>
          </cell>
          <cell r="N402">
            <v>37</v>
          </cell>
          <cell r="O402" t="str">
            <v>SK</v>
          </cell>
          <cell r="P402" t="str">
            <v/>
          </cell>
          <cell r="Q402">
            <v>45957</v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>Lokasi Produksi 537SS ( singkong )</v>
          </cell>
          <cell r="Z402">
            <v>0</v>
          </cell>
          <cell r="AA402">
            <v>45957</v>
          </cell>
          <cell r="AB402">
            <v>198.59733611111005</v>
          </cell>
          <cell r="AC402">
            <v>6.6199112037036683</v>
          </cell>
          <cell r="AD402">
            <v>-1.3800887962963317</v>
          </cell>
          <cell r="AE402">
            <v>5.62</v>
          </cell>
          <cell r="AF402">
            <v>0</v>
          </cell>
          <cell r="AG402">
            <v>-1368.0666666666666</v>
          </cell>
          <cell r="AK402">
            <v>40443</v>
          </cell>
          <cell r="AM402" t="str">
            <v>OK</v>
          </cell>
          <cell r="AO402">
            <v>1.245185108024695</v>
          </cell>
          <cell r="AP402">
            <v>1.245185108024695</v>
          </cell>
          <cell r="AQ402">
            <v>0</v>
          </cell>
          <cell r="AR402">
            <v>1.245185108024695</v>
          </cell>
          <cell r="AS402">
            <v>0</v>
          </cell>
          <cell r="AT402">
            <v>45957</v>
          </cell>
          <cell r="AU402">
            <v>1.245185108024695</v>
          </cell>
          <cell r="AV402">
            <v>37.355553240740846</v>
          </cell>
          <cell r="AW402">
            <v>1.245185108024695</v>
          </cell>
          <cell r="AY402">
            <v>42.463691782410024</v>
          </cell>
          <cell r="AZ402" t="str">
            <v>F18</v>
          </cell>
          <cell r="BA402">
            <v>0</v>
          </cell>
          <cell r="BB402" t="str">
            <v>SKFC</v>
          </cell>
          <cell r="BC402" t="str">
            <v>F18</v>
          </cell>
        </row>
        <row r="403">
          <cell r="A403" t="str">
            <v>538A1</v>
          </cell>
          <cell r="B403" t="str">
            <v>3</v>
          </cell>
          <cell r="C403" t="str">
            <v>06</v>
          </cell>
          <cell r="D403">
            <v>20</v>
          </cell>
          <cell r="E403" t="str">
            <v>538A1</v>
          </cell>
          <cell r="F403">
            <v>10.74</v>
          </cell>
          <cell r="G403">
            <v>8.9600000000000009</v>
          </cell>
          <cell r="H403">
            <v>8.9600000000000009</v>
          </cell>
          <cell r="I403" t="str">
            <v>FC</v>
          </cell>
          <cell r="J403" t="str">
            <v>ST</v>
          </cell>
          <cell r="K403">
            <v>10</v>
          </cell>
          <cell r="L403">
            <v>45714</v>
          </cell>
          <cell r="M403">
            <v>45714</v>
          </cell>
          <cell r="N403">
            <v>280</v>
          </cell>
          <cell r="O403" t="str">
            <v>NS</v>
          </cell>
          <cell r="P403" t="str">
            <v>NSF18SB3</v>
          </cell>
          <cell r="Q403">
            <v>46019</v>
          </cell>
          <cell r="R403" t="str">
            <v/>
          </cell>
          <cell r="S403" t="str">
            <v/>
          </cell>
          <cell r="T403" t="str">
            <v/>
          </cell>
          <cell r="U403">
            <v>69896</v>
          </cell>
          <cell r="V403">
            <v>71626</v>
          </cell>
          <cell r="W403">
            <v>44555</v>
          </cell>
          <cell r="X403" t="str">
            <v>Lokasi Produksi 538A1 ( pecahan 538A )</v>
          </cell>
          <cell r="Z403">
            <v>10</v>
          </cell>
          <cell r="AA403">
            <v>46019</v>
          </cell>
          <cell r="AB403">
            <v>253.59733611111005</v>
          </cell>
          <cell r="AC403">
            <v>8.4532445370370013</v>
          </cell>
          <cell r="AD403">
            <v>-5.5467554629629987</v>
          </cell>
          <cell r="AE403">
            <v>21.37</v>
          </cell>
          <cell r="AF403">
            <v>0</v>
          </cell>
          <cell r="AG403">
            <v>-1366.2333333333333</v>
          </cell>
          <cell r="AM403" t="str">
            <v>OK</v>
          </cell>
          <cell r="AO403">
            <v>9.3451851080246957</v>
          </cell>
          <cell r="AP403">
            <v>-0.65481489197530429</v>
          </cell>
          <cell r="AQ403">
            <v>0</v>
          </cell>
          <cell r="AR403">
            <v>9.3451851080246957</v>
          </cell>
          <cell r="AS403">
            <v>0</v>
          </cell>
          <cell r="AT403">
            <v>46019</v>
          </cell>
          <cell r="AU403">
            <v>-0.65481489197530429</v>
          </cell>
          <cell r="AV403">
            <v>280.35555324074085</v>
          </cell>
          <cell r="AW403">
            <v>-0.65481489197530429</v>
          </cell>
          <cell r="AY403">
            <v>285.46369178241002</v>
          </cell>
          <cell r="AZ403" t="str">
            <v>F18</v>
          </cell>
          <cell r="BA403">
            <v>8.9600000000000009</v>
          </cell>
          <cell r="BB403" t="str">
            <v>NSFC</v>
          </cell>
          <cell r="BC403" t="str">
            <v>F18SB</v>
          </cell>
        </row>
        <row r="404">
          <cell r="A404" t="str">
            <v>538A2</v>
          </cell>
          <cell r="B404" t="str">
            <v>3</v>
          </cell>
          <cell r="C404" t="str">
            <v>06</v>
          </cell>
          <cell r="D404">
            <v>20</v>
          </cell>
          <cell r="E404" t="str">
            <v>538A2</v>
          </cell>
          <cell r="F404">
            <v>6.39</v>
          </cell>
          <cell r="G404">
            <v>5.32</v>
          </cell>
          <cell r="H404">
            <v>5.32</v>
          </cell>
          <cell r="I404" t="str">
            <v>FC</v>
          </cell>
          <cell r="J404" t="str">
            <v>ST</v>
          </cell>
          <cell r="K404">
            <v>14</v>
          </cell>
          <cell r="L404">
            <v>45604</v>
          </cell>
          <cell r="M404">
            <v>45604</v>
          </cell>
          <cell r="N404">
            <v>390</v>
          </cell>
          <cell r="O404" t="str">
            <v>NS</v>
          </cell>
          <cell r="P404" t="str">
            <v>NSGP3CK3</v>
          </cell>
          <cell r="Q404">
            <v>46031</v>
          </cell>
          <cell r="R404" t="str">
            <v/>
          </cell>
          <cell r="S404" t="str">
            <v/>
          </cell>
          <cell r="T404" t="str">
            <v/>
          </cell>
          <cell r="U404">
            <v>66223</v>
          </cell>
          <cell r="V404">
            <v>64652</v>
          </cell>
          <cell r="W404">
            <v>44555</v>
          </cell>
          <cell r="X404" t="str">
            <v>Lokasi Produksi 538A2 ( pecahan 538A )</v>
          </cell>
          <cell r="Z404">
            <v>14</v>
          </cell>
          <cell r="AA404">
            <v>46031</v>
          </cell>
          <cell r="AB404">
            <v>382.59733611111005</v>
          </cell>
          <cell r="AC404">
            <v>12.753244537037002</v>
          </cell>
          <cell r="AD404">
            <v>-20</v>
          </cell>
          <cell r="AE404">
            <v>0</v>
          </cell>
          <cell r="AF404">
            <v>0</v>
          </cell>
          <cell r="AG404">
            <v>-1361.9333333333334</v>
          </cell>
          <cell r="AM404" t="str">
            <v>OK</v>
          </cell>
          <cell r="AO404">
            <v>13.011851774691362</v>
          </cell>
          <cell r="AP404">
            <v>-0.98814822530863822</v>
          </cell>
          <cell r="AQ404">
            <v>0</v>
          </cell>
          <cell r="AR404">
            <v>13.011851774691362</v>
          </cell>
          <cell r="AS404">
            <v>0</v>
          </cell>
          <cell r="AT404">
            <v>46031</v>
          </cell>
          <cell r="AU404">
            <v>-0.98814822530863822</v>
          </cell>
          <cell r="AV404">
            <v>390.35555324074085</v>
          </cell>
          <cell r="AW404">
            <v>-0.98814822530863822</v>
          </cell>
          <cell r="AY404">
            <v>395.46369178241002</v>
          </cell>
          <cell r="AZ404" t="str">
            <v>GP3</v>
          </cell>
          <cell r="BA404">
            <v>5.32</v>
          </cell>
          <cell r="BB404" t="str">
            <v>NSFC</v>
          </cell>
          <cell r="BC404" t="str">
            <v>GP3CK</v>
          </cell>
        </row>
        <row r="405">
          <cell r="A405" t="str">
            <v>538A3</v>
          </cell>
          <cell r="B405" t="str">
            <v>3</v>
          </cell>
          <cell r="C405" t="str">
            <v>06</v>
          </cell>
          <cell r="D405">
            <v>20</v>
          </cell>
          <cell r="E405" t="str">
            <v>538A3</v>
          </cell>
          <cell r="F405">
            <v>6.43</v>
          </cell>
          <cell r="G405">
            <v>5.37</v>
          </cell>
          <cell r="H405">
            <v>5.37</v>
          </cell>
          <cell r="I405" t="str">
            <v>FC</v>
          </cell>
          <cell r="J405" t="str">
            <v>ST</v>
          </cell>
          <cell r="K405">
            <v>14</v>
          </cell>
          <cell r="L405">
            <v>45605</v>
          </cell>
          <cell r="M405">
            <v>45605</v>
          </cell>
          <cell r="N405">
            <v>389</v>
          </cell>
          <cell r="O405" t="str">
            <v>NS</v>
          </cell>
          <cell r="P405" t="str">
            <v>NSGP3CK3</v>
          </cell>
          <cell r="Q405">
            <v>46032</v>
          </cell>
          <cell r="R405" t="str">
            <v/>
          </cell>
          <cell r="S405" t="str">
            <v/>
          </cell>
          <cell r="T405" t="str">
            <v/>
          </cell>
          <cell r="U405">
            <v>60682</v>
          </cell>
          <cell r="V405">
            <v>64075</v>
          </cell>
          <cell r="W405">
            <v>45651</v>
          </cell>
          <cell r="X405" t="str">
            <v>Lokasi Produksi 538A3 ( pecahan 538A )</v>
          </cell>
          <cell r="Z405">
            <v>14</v>
          </cell>
          <cell r="AA405">
            <v>46032</v>
          </cell>
          <cell r="AB405">
            <v>482.59733611111005</v>
          </cell>
          <cell r="AC405">
            <v>16.086577870370334</v>
          </cell>
          <cell r="AD405">
            <v>2.0865778703703342</v>
          </cell>
          <cell r="AE405">
            <v>10.27</v>
          </cell>
          <cell r="AF405">
            <v>0</v>
          </cell>
          <cell r="AG405">
            <v>-1358.6</v>
          </cell>
          <cell r="AM405" t="str">
            <v>OK</v>
          </cell>
          <cell r="AO405">
            <v>12.978518441358029</v>
          </cell>
          <cell r="AP405">
            <v>-1.0214815586419714</v>
          </cell>
          <cell r="AQ405">
            <v>0</v>
          </cell>
          <cell r="AR405">
            <v>12.978518441358029</v>
          </cell>
          <cell r="AS405">
            <v>0</v>
          </cell>
          <cell r="AT405">
            <v>46032</v>
          </cell>
          <cell r="AU405">
            <v>-1.0214815586419714</v>
          </cell>
          <cell r="AV405">
            <v>389.35555324074085</v>
          </cell>
          <cell r="AW405">
            <v>-1.0214815586419714</v>
          </cell>
          <cell r="AY405">
            <v>394.46369178241002</v>
          </cell>
          <cell r="AZ405" t="str">
            <v>GP3</v>
          </cell>
          <cell r="BA405">
            <v>5.37</v>
          </cell>
          <cell r="BB405" t="str">
            <v>NSFC</v>
          </cell>
          <cell r="BC405" t="str">
            <v>GP3CK</v>
          </cell>
        </row>
        <row r="406">
          <cell r="A406" t="str">
            <v>538B</v>
          </cell>
          <cell r="B406" t="str">
            <v>3</v>
          </cell>
          <cell r="C406" t="str">
            <v>06</v>
          </cell>
          <cell r="D406">
            <v>20</v>
          </cell>
          <cell r="E406" t="str">
            <v>538B</v>
          </cell>
          <cell r="F406">
            <v>17.190000000000001</v>
          </cell>
          <cell r="G406">
            <v>14.27</v>
          </cell>
          <cell r="H406">
            <v>14.27</v>
          </cell>
          <cell r="I406" t="str">
            <v>FC</v>
          </cell>
          <cell r="J406" t="str">
            <v>ST</v>
          </cell>
          <cell r="K406">
            <v>14</v>
          </cell>
          <cell r="L406">
            <v>45553</v>
          </cell>
          <cell r="M406">
            <v>45553</v>
          </cell>
          <cell r="N406">
            <v>441</v>
          </cell>
          <cell r="O406" t="str">
            <v>NS</v>
          </cell>
          <cell r="P406" t="str">
            <v>NSF18CK3</v>
          </cell>
          <cell r="Q406">
            <v>45980</v>
          </cell>
          <cell r="R406" t="str">
            <v/>
          </cell>
          <cell r="S406" t="str">
            <v/>
          </cell>
          <cell r="T406">
            <v>45988</v>
          </cell>
          <cell r="U406">
            <v>64185</v>
          </cell>
          <cell r="V406">
            <v>65240</v>
          </cell>
          <cell r="W406" t="str">
            <v/>
          </cell>
          <cell r="X406" t="str">
            <v>Lokasi Produksi 538B</v>
          </cell>
          <cell r="Z406">
            <v>14</v>
          </cell>
          <cell r="AA406">
            <v>45980</v>
          </cell>
          <cell r="AB406">
            <v>84.597336111110053</v>
          </cell>
          <cell r="AC406">
            <v>2.8199112037036684</v>
          </cell>
          <cell r="AD406">
            <v>-5.1800887962963316</v>
          </cell>
          <cell r="AE406">
            <v>11.29</v>
          </cell>
          <cell r="AF406">
            <v>0</v>
          </cell>
          <cell r="AG406">
            <v>-1371.8666666666666</v>
          </cell>
          <cell r="AM406" t="str">
            <v>OK</v>
          </cell>
          <cell r="AO406">
            <v>14.711851774691361</v>
          </cell>
          <cell r="AP406">
            <v>0.71185177469136107</v>
          </cell>
          <cell r="AQ406">
            <v>45988</v>
          </cell>
          <cell r="AR406">
            <v>14.5</v>
          </cell>
          <cell r="AS406">
            <v>0.21185177469136107</v>
          </cell>
          <cell r="AT406">
            <v>45980</v>
          </cell>
          <cell r="AU406">
            <v>0.21185177469136107</v>
          </cell>
          <cell r="AV406">
            <v>435</v>
          </cell>
          <cell r="AW406">
            <v>0.21185177469136107</v>
          </cell>
          <cell r="AY406">
            <v>446.46369178241002</v>
          </cell>
          <cell r="AZ406" t="str">
            <v>F18</v>
          </cell>
          <cell r="BA406">
            <v>14.27</v>
          </cell>
          <cell r="BB406" t="str">
            <v>NSFC</v>
          </cell>
          <cell r="BC406" t="str">
            <v>F18CK</v>
          </cell>
        </row>
        <row r="407">
          <cell r="A407" t="str">
            <v>538C1</v>
          </cell>
          <cell r="B407" t="str">
            <v>3</v>
          </cell>
          <cell r="C407" t="str">
            <v>06</v>
          </cell>
          <cell r="D407">
            <v>20</v>
          </cell>
          <cell r="E407" t="str">
            <v>538C1</v>
          </cell>
          <cell r="F407">
            <v>5.94</v>
          </cell>
          <cell r="G407">
            <v>5.01</v>
          </cell>
          <cell r="H407">
            <v>5.01</v>
          </cell>
          <cell r="I407" t="str">
            <v>SC</v>
          </cell>
          <cell r="J407" t="str">
            <v>FC</v>
          </cell>
          <cell r="K407">
            <v>8</v>
          </cell>
          <cell r="L407">
            <v>45973</v>
          </cell>
          <cell r="M407">
            <v>45973</v>
          </cell>
          <cell r="N407">
            <v>21</v>
          </cell>
          <cell r="O407" t="str">
            <v>NS</v>
          </cell>
          <cell r="P407" t="str">
            <v/>
          </cell>
          <cell r="Q407">
            <v>46217</v>
          </cell>
          <cell r="R407" t="str">
            <v/>
          </cell>
          <cell r="S407" t="str">
            <v/>
          </cell>
          <cell r="T407" t="str">
            <v/>
          </cell>
          <cell r="U407">
            <v>70323</v>
          </cell>
          <cell r="V407">
            <v>71028</v>
          </cell>
          <cell r="W407">
            <v>45519</v>
          </cell>
          <cell r="X407" t="str">
            <v>Lokasi Produksi 538C1 ( pecahan 538C )</v>
          </cell>
          <cell r="Z407">
            <v>8</v>
          </cell>
          <cell r="AA407">
            <v>46217</v>
          </cell>
          <cell r="AB407">
            <v>4944.5973361111101</v>
          </cell>
          <cell r="AC407">
            <v>164.81991120370367</v>
          </cell>
          <cell r="AD407">
            <v>-20</v>
          </cell>
          <cell r="AE407">
            <v>0</v>
          </cell>
          <cell r="AF407">
            <v>0</v>
          </cell>
          <cell r="AG407">
            <v>-1209.8666666666666</v>
          </cell>
          <cell r="AM407" t="str">
            <v>OK</v>
          </cell>
          <cell r="AO407">
            <v>0.71185177469136152</v>
          </cell>
          <cell r="AP407">
            <v>-7.2881482253086389</v>
          </cell>
          <cell r="AQ407">
            <v>0</v>
          </cell>
          <cell r="AR407">
            <v>0.71185177469136152</v>
          </cell>
          <cell r="AS407">
            <v>0</v>
          </cell>
          <cell r="AT407">
            <v>46217</v>
          </cell>
          <cell r="AU407">
            <v>-7.2881482253086389</v>
          </cell>
          <cell r="AV407">
            <v>21.355553240740846</v>
          </cell>
          <cell r="AW407">
            <v>-7.2881482253086389</v>
          </cell>
          <cell r="AY407">
            <v>26.463691782410024</v>
          </cell>
          <cell r="AZ407" t="str">
            <v>F18</v>
          </cell>
          <cell r="BA407">
            <v>5.01</v>
          </cell>
          <cell r="BB407" t="str">
            <v>NSSC</v>
          </cell>
          <cell r="BC407" t="str">
            <v>F18</v>
          </cell>
        </row>
        <row r="408">
          <cell r="A408" t="str">
            <v>538C2</v>
          </cell>
          <cell r="B408" t="str">
            <v>3</v>
          </cell>
          <cell r="C408" t="str">
            <v>06</v>
          </cell>
          <cell r="D408">
            <v>20</v>
          </cell>
          <cell r="E408" t="str">
            <v>538C2</v>
          </cell>
          <cell r="F408">
            <v>12.21</v>
          </cell>
          <cell r="G408">
            <v>10.41</v>
          </cell>
          <cell r="H408">
            <v>10.41</v>
          </cell>
          <cell r="I408" t="str">
            <v>FC</v>
          </cell>
          <cell r="J408" t="str">
            <v>ST</v>
          </cell>
          <cell r="K408">
            <v>12</v>
          </cell>
          <cell r="L408">
            <v>45558</v>
          </cell>
          <cell r="M408">
            <v>45558</v>
          </cell>
          <cell r="N408">
            <v>436</v>
          </cell>
          <cell r="O408" t="str">
            <v>NS</v>
          </cell>
          <cell r="P408" t="str">
            <v>NSF18SS3</v>
          </cell>
          <cell r="Q408">
            <v>45924</v>
          </cell>
          <cell r="R408" t="str">
            <v/>
          </cell>
          <cell r="S408" t="str">
            <v/>
          </cell>
          <cell r="T408">
            <v>45885</v>
          </cell>
          <cell r="U408">
            <v>70688</v>
          </cell>
          <cell r="V408">
            <v>71778</v>
          </cell>
          <cell r="W408">
            <v>45519</v>
          </cell>
          <cell r="X408" t="str">
            <v>Lokasi Produksi 538C2 ( pecahan 538C )</v>
          </cell>
          <cell r="Z408">
            <v>12</v>
          </cell>
          <cell r="AA408">
            <v>45924</v>
          </cell>
          <cell r="AB408">
            <v>272.59733611111005</v>
          </cell>
          <cell r="AC408">
            <v>9.0865778703703359</v>
          </cell>
          <cell r="AD408">
            <v>-4.9134221296296641</v>
          </cell>
          <cell r="AE408">
            <v>10.96</v>
          </cell>
          <cell r="AF408">
            <v>0</v>
          </cell>
          <cell r="AG408">
            <v>-1365.6</v>
          </cell>
          <cell r="AM408" t="str">
            <v>OK</v>
          </cell>
          <cell r="AO408">
            <v>14.545185108024695</v>
          </cell>
          <cell r="AP408">
            <v>2.545185108024695</v>
          </cell>
          <cell r="AQ408">
            <v>45885</v>
          </cell>
          <cell r="AR408">
            <v>10.9</v>
          </cell>
          <cell r="AS408">
            <v>3.6451851080246946</v>
          </cell>
          <cell r="AT408">
            <v>45924</v>
          </cell>
          <cell r="AU408">
            <v>3.6451851080246946</v>
          </cell>
          <cell r="AV408">
            <v>327</v>
          </cell>
          <cell r="AW408">
            <v>3.6451851080246946</v>
          </cell>
          <cell r="AY408">
            <v>441.46369178241002</v>
          </cell>
          <cell r="AZ408" t="str">
            <v>F18</v>
          </cell>
          <cell r="BA408">
            <v>10.41</v>
          </cell>
          <cell r="BB408" t="str">
            <v>NSFC</v>
          </cell>
          <cell r="BC408" t="str">
            <v>F18SS</v>
          </cell>
        </row>
        <row r="409">
          <cell r="A409" t="str">
            <v>538D1</v>
          </cell>
          <cell r="B409" t="str">
            <v>3</v>
          </cell>
          <cell r="C409" t="str">
            <v>06</v>
          </cell>
          <cell r="D409">
            <v>20</v>
          </cell>
          <cell r="E409" t="str">
            <v>538D1</v>
          </cell>
          <cell r="F409">
            <v>13.84</v>
          </cell>
          <cell r="G409">
            <v>10.81</v>
          </cell>
          <cell r="H409">
            <v>10.81</v>
          </cell>
          <cell r="I409" t="str">
            <v>BK</v>
          </cell>
          <cell r="J409" t="str">
            <v>SC</v>
          </cell>
          <cell r="K409">
            <v>0</v>
          </cell>
          <cell r="L409">
            <v>45928</v>
          </cell>
          <cell r="M409">
            <v>45928</v>
          </cell>
          <cell r="N409">
            <v>66</v>
          </cell>
          <cell r="O409" t="str">
            <v>NS</v>
          </cell>
          <cell r="P409" t="str">
            <v/>
          </cell>
          <cell r="Q409">
            <v>45928</v>
          </cell>
          <cell r="R409" t="str">
            <v/>
          </cell>
          <cell r="S409" t="str">
            <v/>
          </cell>
          <cell r="T409" t="str">
            <v/>
          </cell>
          <cell r="U409">
            <v>70560</v>
          </cell>
          <cell r="V409">
            <v>52554</v>
          </cell>
          <cell r="W409">
            <v>43720</v>
          </cell>
          <cell r="X409" t="str">
            <v>Lokasi Produksi 538D1</v>
          </cell>
          <cell r="Z409">
            <v>0</v>
          </cell>
          <cell r="AA409">
            <v>45928</v>
          </cell>
          <cell r="AB409">
            <v>483.59733611111005</v>
          </cell>
          <cell r="AC409">
            <v>16.119911203703669</v>
          </cell>
          <cell r="AD409">
            <v>0.11991120370366914</v>
          </cell>
          <cell r="AE409">
            <v>8.6999999999999993</v>
          </cell>
          <cell r="AF409">
            <v>0</v>
          </cell>
          <cell r="AG409">
            <v>-1358.5666666666666</v>
          </cell>
          <cell r="AK409">
            <v>40388</v>
          </cell>
          <cell r="AM409" t="str">
            <v>OK</v>
          </cell>
          <cell r="AO409">
            <v>2.2118517746913615</v>
          </cell>
          <cell r="AP409">
            <v>2.2118517746913615</v>
          </cell>
          <cell r="AQ409">
            <v>0</v>
          </cell>
          <cell r="AR409">
            <v>2.2118517746913615</v>
          </cell>
          <cell r="AS409">
            <v>0</v>
          </cell>
          <cell r="AT409">
            <v>45928</v>
          </cell>
          <cell r="AU409">
            <v>2.2118517746913615</v>
          </cell>
          <cell r="AV409">
            <v>66.355553240740846</v>
          </cell>
          <cell r="AW409">
            <v>2.2118517746913615</v>
          </cell>
          <cell r="AY409">
            <v>71.463691782410024</v>
          </cell>
          <cell r="AZ409" t="str">
            <v>F18</v>
          </cell>
          <cell r="BA409">
            <v>0</v>
          </cell>
          <cell r="BB409" t="str">
            <v>NSBK</v>
          </cell>
          <cell r="BC409" t="str">
            <v>F18</v>
          </cell>
        </row>
        <row r="410">
          <cell r="A410" t="str">
            <v>538D2</v>
          </cell>
          <cell r="B410" t="str">
            <v>3</v>
          </cell>
          <cell r="C410" t="str">
            <v>06</v>
          </cell>
          <cell r="D410">
            <v>20</v>
          </cell>
          <cell r="E410" t="str">
            <v>538D2</v>
          </cell>
          <cell r="F410">
            <v>14.68</v>
          </cell>
          <cell r="G410">
            <v>11.42</v>
          </cell>
          <cell r="H410">
            <v>11.42</v>
          </cell>
          <cell r="I410" t="str">
            <v>BK</v>
          </cell>
          <cell r="J410" t="str">
            <v>SC</v>
          </cell>
          <cell r="K410">
            <v>0</v>
          </cell>
          <cell r="L410">
            <v>45930</v>
          </cell>
          <cell r="M410">
            <v>45930</v>
          </cell>
          <cell r="N410">
            <v>64</v>
          </cell>
          <cell r="O410" t="str">
            <v>NS</v>
          </cell>
          <cell r="P410" t="str">
            <v/>
          </cell>
          <cell r="Q410">
            <v>45930</v>
          </cell>
          <cell r="R410" t="str">
            <v/>
          </cell>
          <cell r="S410" t="str">
            <v/>
          </cell>
          <cell r="T410" t="str">
            <v/>
          </cell>
          <cell r="U410">
            <v>69889</v>
          </cell>
          <cell r="V410">
            <v>52747</v>
          </cell>
          <cell r="W410">
            <v>43433</v>
          </cell>
          <cell r="X410" t="str">
            <v>Lokasi Produksi 538D2</v>
          </cell>
          <cell r="Z410">
            <v>0</v>
          </cell>
          <cell r="AA410">
            <v>45930</v>
          </cell>
          <cell r="AB410">
            <v>356.59733611111005</v>
          </cell>
          <cell r="AC410">
            <v>11.886577870370335</v>
          </cell>
          <cell r="AD410">
            <v>-0.11342212962966514</v>
          </cell>
          <cell r="AE410">
            <v>19.73</v>
          </cell>
          <cell r="AF410">
            <v>0</v>
          </cell>
          <cell r="AG410">
            <v>-1362.8</v>
          </cell>
          <cell r="AM410" t="str">
            <v>OK</v>
          </cell>
          <cell r="AO410">
            <v>2.1451851080246951</v>
          </cell>
          <cell r="AP410">
            <v>2.1451851080246951</v>
          </cell>
          <cell r="AQ410">
            <v>0</v>
          </cell>
          <cell r="AR410">
            <v>2.1451851080246951</v>
          </cell>
          <cell r="AS410">
            <v>0</v>
          </cell>
          <cell r="AT410">
            <v>45930</v>
          </cell>
          <cell r="AU410">
            <v>2.1451851080246951</v>
          </cell>
          <cell r="AV410">
            <v>64.355553240740846</v>
          </cell>
          <cell r="AW410">
            <v>2.1451851080246951</v>
          </cell>
          <cell r="AY410">
            <v>69.463691782410024</v>
          </cell>
          <cell r="AZ410" t="str">
            <v>F18</v>
          </cell>
          <cell r="BA410">
            <v>0</v>
          </cell>
          <cell r="BB410" t="str">
            <v>NSBK</v>
          </cell>
          <cell r="BC410" t="str">
            <v>F18</v>
          </cell>
        </row>
        <row r="411">
          <cell r="A411" t="str">
            <v>538E</v>
          </cell>
          <cell r="B411" t="str">
            <v>3</v>
          </cell>
          <cell r="C411" t="str">
            <v>06</v>
          </cell>
          <cell r="D411">
            <v>20</v>
          </cell>
          <cell r="E411" t="str">
            <v>538E</v>
          </cell>
          <cell r="F411">
            <v>9.09</v>
          </cell>
          <cell r="G411">
            <v>7.06</v>
          </cell>
          <cell r="H411">
            <v>7.06</v>
          </cell>
          <cell r="I411" t="str">
            <v>SC</v>
          </cell>
          <cell r="J411" t="str">
            <v>FC</v>
          </cell>
          <cell r="K411">
            <v>8</v>
          </cell>
          <cell r="L411">
            <v>45641</v>
          </cell>
          <cell r="M411">
            <v>45641</v>
          </cell>
          <cell r="N411">
            <v>353</v>
          </cell>
          <cell r="O411" t="str">
            <v>NS</v>
          </cell>
          <cell r="P411" t="str">
            <v/>
          </cell>
          <cell r="Q411">
            <v>45885</v>
          </cell>
          <cell r="R411" t="str">
            <v/>
          </cell>
          <cell r="S411" t="str">
            <v/>
          </cell>
          <cell r="T411">
            <v>45850</v>
          </cell>
          <cell r="U411">
            <v>69786</v>
          </cell>
          <cell r="V411">
            <v>51757</v>
          </cell>
          <cell r="W411">
            <v>43989</v>
          </cell>
          <cell r="X411" t="str">
            <v>Lokasi Produksi 538E</v>
          </cell>
          <cell r="Z411">
            <v>8</v>
          </cell>
          <cell r="AA411">
            <v>45885</v>
          </cell>
          <cell r="AB411">
            <v>5130.5973361111101</v>
          </cell>
          <cell r="AC411">
            <v>171.01991120370366</v>
          </cell>
          <cell r="AD411">
            <v>-20</v>
          </cell>
          <cell r="AE411">
            <v>0</v>
          </cell>
          <cell r="AF411">
            <v>0</v>
          </cell>
          <cell r="AG411">
            <v>-1203.6666666666667</v>
          </cell>
          <cell r="AM411" t="str">
            <v>OK</v>
          </cell>
          <cell r="AO411">
            <v>11.778518441358028</v>
          </cell>
          <cell r="AP411">
            <v>3.7785184413580275</v>
          </cell>
          <cell r="AQ411">
            <v>45850</v>
          </cell>
          <cell r="AR411">
            <v>6.9666666666666668</v>
          </cell>
          <cell r="AS411">
            <v>4.8118517746913607</v>
          </cell>
          <cell r="AT411">
            <v>45885</v>
          </cell>
          <cell r="AU411">
            <v>4.8118517746913607</v>
          </cell>
          <cell r="AV411">
            <v>209</v>
          </cell>
          <cell r="AW411">
            <v>4.8118517746913607</v>
          </cell>
          <cell r="AY411">
            <v>358.46369178241002</v>
          </cell>
          <cell r="AZ411" t="str">
            <v>F18</v>
          </cell>
          <cell r="BA411">
            <v>7.06</v>
          </cell>
          <cell r="BB411" t="str">
            <v>NSSC</v>
          </cell>
          <cell r="BC411" t="str">
            <v>F18</v>
          </cell>
        </row>
        <row r="412">
          <cell r="A412" t="str">
            <v>538F</v>
          </cell>
          <cell r="B412" t="str">
            <v>3</v>
          </cell>
          <cell r="C412" t="str">
            <v>06</v>
          </cell>
          <cell r="D412">
            <v>20</v>
          </cell>
          <cell r="E412" t="str">
            <v>538F</v>
          </cell>
          <cell r="F412">
            <v>12.2</v>
          </cell>
          <cell r="G412">
            <v>9.5299999999999994</v>
          </cell>
          <cell r="H412">
            <v>9.5299999999999994</v>
          </cell>
          <cell r="I412" t="str">
            <v>BK</v>
          </cell>
          <cell r="J412" t="str">
            <v>BB</v>
          </cell>
          <cell r="K412">
            <v>0</v>
          </cell>
          <cell r="L412">
            <v>45953</v>
          </cell>
          <cell r="M412">
            <v>45953</v>
          </cell>
          <cell r="N412">
            <v>41</v>
          </cell>
          <cell r="O412" t="str">
            <v>NS</v>
          </cell>
          <cell r="P412" t="str">
            <v/>
          </cell>
          <cell r="Q412">
            <v>45953</v>
          </cell>
          <cell r="R412" t="str">
            <v/>
          </cell>
          <cell r="S412" t="str">
            <v/>
          </cell>
          <cell r="T412" t="str">
            <v/>
          </cell>
          <cell r="U412">
            <v>71749</v>
          </cell>
          <cell r="V412">
            <v>74492</v>
          </cell>
          <cell r="W412">
            <v>43223</v>
          </cell>
          <cell r="X412" t="str">
            <v>Lokasi Produksi 538F</v>
          </cell>
          <cell r="Z412">
            <v>0</v>
          </cell>
          <cell r="AA412">
            <v>45953</v>
          </cell>
          <cell r="AB412">
            <v>676.59733611111005</v>
          </cell>
          <cell r="AC412">
            <v>22.553244537037003</v>
          </cell>
          <cell r="AD412">
            <v>6.5532445370370027</v>
          </cell>
          <cell r="AE412">
            <v>14.61</v>
          </cell>
          <cell r="AF412">
            <v>0</v>
          </cell>
          <cell r="AG412">
            <v>-1352.1333333333334</v>
          </cell>
          <cell r="AM412" t="str">
            <v>OK</v>
          </cell>
          <cell r="AO412">
            <v>1.3785184413580283</v>
          </cell>
          <cell r="AP412">
            <v>1.3785184413580283</v>
          </cell>
          <cell r="AQ412">
            <v>0</v>
          </cell>
          <cell r="AR412">
            <v>1.3785184413580283</v>
          </cell>
          <cell r="AS412">
            <v>0</v>
          </cell>
          <cell r="AT412">
            <v>45953</v>
          </cell>
          <cell r="AU412">
            <v>1.3785184413580283</v>
          </cell>
          <cell r="AV412">
            <v>41.355553240740846</v>
          </cell>
          <cell r="AW412">
            <v>1.3785184413580283</v>
          </cell>
          <cell r="AY412">
            <v>46.463691782410024</v>
          </cell>
          <cell r="AZ412" t="str">
            <v>F18</v>
          </cell>
          <cell r="BA412">
            <v>0</v>
          </cell>
          <cell r="BB412" t="str">
            <v>NSBK</v>
          </cell>
          <cell r="BC412" t="str">
            <v>F18</v>
          </cell>
        </row>
        <row r="413">
          <cell r="A413" t="str">
            <v>538G</v>
          </cell>
          <cell r="B413" t="str">
            <v>3</v>
          </cell>
          <cell r="C413" t="str">
            <v>06</v>
          </cell>
          <cell r="D413">
            <v>20</v>
          </cell>
          <cell r="E413" t="str">
            <v>538G</v>
          </cell>
          <cell r="F413">
            <v>13.33</v>
          </cell>
          <cell r="G413">
            <v>11.23</v>
          </cell>
          <cell r="H413">
            <v>11.23</v>
          </cell>
          <cell r="I413" t="str">
            <v>FC</v>
          </cell>
          <cell r="J413" t="str">
            <v>ST</v>
          </cell>
          <cell r="K413">
            <v>14</v>
          </cell>
          <cell r="L413">
            <v>45908</v>
          </cell>
          <cell r="M413">
            <v>45908</v>
          </cell>
          <cell r="N413">
            <v>86</v>
          </cell>
          <cell r="O413" t="str">
            <v>NS</v>
          </cell>
          <cell r="P413" t="str">
            <v>NSF18CK3</v>
          </cell>
          <cell r="Q413">
            <v>46335</v>
          </cell>
          <cell r="R413" t="str">
            <v/>
          </cell>
          <cell r="S413" t="str">
            <v/>
          </cell>
          <cell r="T413" t="str">
            <v/>
          </cell>
          <cell r="U413">
            <v>68341</v>
          </cell>
          <cell r="V413">
            <v>51452</v>
          </cell>
          <cell r="W413" t="str">
            <v/>
          </cell>
          <cell r="X413" t="str">
            <v>Lokasi Produksi 538G</v>
          </cell>
          <cell r="Z413">
            <v>14</v>
          </cell>
          <cell r="AA413">
            <v>46335</v>
          </cell>
          <cell r="AB413">
            <v>679.59733611111005</v>
          </cell>
          <cell r="AC413">
            <v>22.653244537037001</v>
          </cell>
          <cell r="AD413">
            <v>6.6532445370370006</v>
          </cell>
          <cell r="AE413">
            <v>12.39</v>
          </cell>
          <cell r="AF413">
            <v>0</v>
          </cell>
          <cell r="AG413">
            <v>-1352.0333333333333</v>
          </cell>
          <cell r="AM413" t="str">
            <v>OK</v>
          </cell>
          <cell r="AO413">
            <v>2.878518441358028</v>
          </cell>
          <cell r="AP413">
            <v>-11.121481558641971</v>
          </cell>
          <cell r="AQ413">
            <v>0</v>
          </cell>
          <cell r="AR413">
            <v>2.878518441358028</v>
          </cell>
          <cell r="AS413">
            <v>0</v>
          </cell>
          <cell r="AT413">
            <v>46335</v>
          </cell>
          <cell r="AU413">
            <v>-11.121481558641971</v>
          </cell>
          <cell r="AV413">
            <v>86.355553240740846</v>
          </cell>
          <cell r="AW413">
            <v>-11.121481558641971</v>
          </cell>
          <cell r="AY413">
            <v>91.463691782410024</v>
          </cell>
          <cell r="AZ413" t="str">
            <v>F18</v>
          </cell>
          <cell r="BA413">
            <v>11.23</v>
          </cell>
          <cell r="BB413" t="str">
            <v>NSFC</v>
          </cell>
          <cell r="BC413" t="str">
            <v>F18CK</v>
          </cell>
        </row>
        <row r="414">
          <cell r="A414" t="str">
            <v>538H1</v>
          </cell>
          <cell r="B414" t="str">
            <v>3</v>
          </cell>
          <cell r="C414" t="str">
            <v>06</v>
          </cell>
          <cell r="D414">
            <v>20</v>
          </cell>
          <cell r="E414" t="str">
            <v>538H1</v>
          </cell>
          <cell r="F414">
            <v>8.3800000000000008</v>
          </cell>
          <cell r="G414">
            <v>6.21</v>
          </cell>
          <cell r="H414">
            <v>6.21</v>
          </cell>
          <cell r="I414" t="str">
            <v>SR</v>
          </cell>
          <cell r="J414" t="str">
            <v>SC</v>
          </cell>
          <cell r="K414">
            <v>0</v>
          </cell>
          <cell r="L414">
            <v>45644</v>
          </cell>
          <cell r="M414">
            <v>45644</v>
          </cell>
          <cell r="N414">
            <v>350</v>
          </cell>
          <cell r="O414" t="str">
            <v>PS</v>
          </cell>
          <cell r="P414" t="str">
            <v/>
          </cell>
          <cell r="Q414">
            <v>45644</v>
          </cell>
          <cell r="R414" t="str">
            <v/>
          </cell>
          <cell r="S414" t="str">
            <v/>
          </cell>
          <cell r="T414" t="str">
            <v/>
          </cell>
          <cell r="U414">
            <v>16890</v>
          </cell>
          <cell r="V414">
            <v>67742</v>
          </cell>
          <cell r="W414">
            <v>45644</v>
          </cell>
          <cell r="X414" t="str">
            <v>Lokasi Produksi 538H1 ( pecahan 538H )</v>
          </cell>
          <cell r="Z414">
            <v>0</v>
          </cell>
          <cell r="AA414">
            <v>45644</v>
          </cell>
          <cell r="AB414">
            <v>4440.5973361111101</v>
          </cell>
          <cell r="AC414">
            <v>148.01991120370366</v>
          </cell>
          <cell r="AD414">
            <v>-20</v>
          </cell>
          <cell r="AE414">
            <v>0</v>
          </cell>
          <cell r="AF414">
            <v>0</v>
          </cell>
          <cell r="AG414">
            <v>-1226.6666666666667</v>
          </cell>
          <cell r="AK414">
            <v>40313</v>
          </cell>
          <cell r="AM414" t="str">
            <v>OK</v>
          </cell>
          <cell r="AO414">
            <v>11.678518441358028</v>
          </cell>
          <cell r="AP414">
            <v>11.678518441358028</v>
          </cell>
          <cell r="AQ414">
            <v>0</v>
          </cell>
          <cell r="AR414">
            <v>11.678518441358028</v>
          </cell>
          <cell r="AS414">
            <v>0</v>
          </cell>
          <cell r="AT414">
            <v>45644</v>
          </cell>
          <cell r="AU414">
            <v>11.678518441358028</v>
          </cell>
          <cell r="AV414">
            <v>350.35555324074085</v>
          </cell>
          <cell r="AW414">
            <v>11.678518441358028</v>
          </cell>
          <cell r="AY414">
            <v>355.46369178241002</v>
          </cell>
          <cell r="AZ414" t="str">
            <v>F18</v>
          </cell>
          <cell r="BA414">
            <v>0</v>
          </cell>
          <cell r="BB414" t="str">
            <v>PSSR</v>
          </cell>
          <cell r="BC414" t="str">
            <v>F18</v>
          </cell>
        </row>
        <row r="415">
          <cell r="A415" t="str">
            <v>538H2</v>
          </cell>
          <cell r="B415" t="str">
            <v>3</v>
          </cell>
          <cell r="C415" t="str">
            <v>06</v>
          </cell>
          <cell r="D415">
            <v>20</v>
          </cell>
          <cell r="E415" t="str">
            <v>538H2</v>
          </cell>
          <cell r="F415">
            <v>9.75</v>
          </cell>
          <cell r="G415">
            <v>7.21</v>
          </cell>
          <cell r="H415">
            <v>7.21</v>
          </cell>
          <cell r="I415" t="str">
            <v>SR</v>
          </cell>
          <cell r="J415" t="str">
            <v>SC</v>
          </cell>
          <cell r="K415">
            <v>0</v>
          </cell>
          <cell r="L415">
            <v>45618</v>
          </cell>
          <cell r="M415">
            <v>45618</v>
          </cell>
          <cell r="N415">
            <v>376</v>
          </cell>
          <cell r="O415" t="str">
            <v>PS</v>
          </cell>
          <cell r="P415" t="str">
            <v/>
          </cell>
          <cell r="Q415">
            <v>45618</v>
          </cell>
          <cell r="R415" t="str">
            <v/>
          </cell>
          <cell r="S415" t="str">
            <v/>
          </cell>
          <cell r="T415" t="str">
            <v/>
          </cell>
          <cell r="U415">
            <v>20044</v>
          </cell>
          <cell r="V415">
            <v>66342</v>
          </cell>
          <cell r="W415">
            <v>45618</v>
          </cell>
          <cell r="X415" t="str">
            <v>Lokasi Produksi 538H2 ( pecahan 538H )</v>
          </cell>
          <cell r="Z415">
            <v>0</v>
          </cell>
          <cell r="AA415">
            <v>45618</v>
          </cell>
          <cell r="AB415">
            <v>82.597336111110053</v>
          </cell>
          <cell r="AC415">
            <v>2.7532445370370016</v>
          </cell>
          <cell r="AD415">
            <v>-5.246755462962998</v>
          </cell>
          <cell r="AE415">
            <v>18.97</v>
          </cell>
          <cell r="AF415">
            <v>0</v>
          </cell>
          <cell r="AG415">
            <v>-1371.9333333333334</v>
          </cell>
          <cell r="AM415" t="str">
            <v>OK</v>
          </cell>
          <cell r="AO415">
            <v>12.545185108024695</v>
          </cell>
          <cell r="AP415">
            <v>12.545185108024695</v>
          </cell>
          <cell r="AQ415">
            <v>0</v>
          </cell>
          <cell r="AR415">
            <v>12.545185108024695</v>
          </cell>
          <cell r="AS415">
            <v>0</v>
          </cell>
          <cell r="AT415">
            <v>45618</v>
          </cell>
          <cell r="AU415">
            <v>12.545185108024695</v>
          </cell>
          <cell r="AV415">
            <v>376.35555324074085</v>
          </cell>
          <cell r="AW415">
            <v>12.545185108024695</v>
          </cell>
          <cell r="AY415">
            <v>381.46369178241002</v>
          </cell>
          <cell r="AZ415" t="str">
            <v>F18</v>
          </cell>
          <cell r="BA415">
            <v>0</v>
          </cell>
          <cell r="BB415" t="str">
            <v>PSSR</v>
          </cell>
          <cell r="BC415" t="str">
            <v>F18</v>
          </cell>
        </row>
        <row r="416">
          <cell r="A416" t="str">
            <v>539A</v>
          </cell>
          <cell r="B416" t="str">
            <v>3</v>
          </cell>
          <cell r="C416" t="str">
            <v>06</v>
          </cell>
          <cell r="D416">
            <v>20</v>
          </cell>
          <cell r="E416" t="str">
            <v>539A</v>
          </cell>
          <cell r="F416">
            <v>9.7100000000000009</v>
          </cell>
          <cell r="G416">
            <v>8.17</v>
          </cell>
          <cell r="H416">
            <v>8.17</v>
          </cell>
          <cell r="I416" t="str">
            <v>FC</v>
          </cell>
          <cell r="J416" t="str">
            <v>ST</v>
          </cell>
          <cell r="K416">
            <v>14</v>
          </cell>
          <cell r="L416">
            <v>45796</v>
          </cell>
          <cell r="M416">
            <v>45796</v>
          </cell>
          <cell r="N416">
            <v>198</v>
          </cell>
          <cell r="O416" t="str">
            <v>NS</v>
          </cell>
          <cell r="P416" t="str">
            <v>NSGP3CK3</v>
          </cell>
          <cell r="Q416">
            <v>46223</v>
          </cell>
          <cell r="R416" t="str">
            <v/>
          </cell>
          <cell r="S416" t="str">
            <v/>
          </cell>
          <cell r="T416" t="str">
            <v/>
          </cell>
          <cell r="U416">
            <v>64054</v>
          </cell>
          <cell r="V416">
            <v>75810</v>
          </cell>
          <cell r="W416">
            <v>43642</v>
          </cell>
          <cell r="X416" t="str">
            <v>Lokasi Produksi 539A</v>
          </cell>
          <cell r="Z416">
            <v>14</v>
          </cell>
          <cell r="AA416">
            <v>46223</v>
          </cell>
          <cell r="AB416">
            <v>103.59733611111005</v>
          </cell>
          <cell r="AC416">
            <v>3.4532445370370017</v>
          </cell>
          <cell r="AD416">
            <v>-10.546755462962999</v>
          </cell>
          <cell r="AE416">
            <v>16.309999999999999</v>
          </cell>
          <cell r="AF416">
            <v>0</v>
          </cell>
          <cell r="AG416">
            <v>-1371.2333333333333</v>
          </cell>
          <cell r="AM416" t="str">
            <v>OK</v>
          </cell>
          <cell r="AO416">
            <v>6.6118517746913614</v>
          </cell>
          <cell r="AP416">
            <v>-7.3881482253086386</v>
          </cell>
          <cell r="AQ416">
            <v>0</v>
          </cell>
          <cell r="AR416">
            <v>6.6118517746913614</v>
          </cell>
          <cell r="AS416">
            <v>0</v>
          </cell>
          <cell r="AT416">
            <v>46223</v>
          </cell>
          <cell r="AU416">
            <v>-7.3881482253086386</v>
          </cell>
          <cell r="AV416">
            <v>198.35555324074085</v>
          </cell>
          <cell r="AW416">
            <v>-7.3881482253086386</v>
          </cell>
          <cell r="AY416">
            <v>203.46369178241002</v>
          </cell>
          <cell r="AZ416" t="str">
            <v>GP3</v>
          </cell>
          <cell r="BA416">
            <v>8.17</v>
          </cell>
          <cell r="BB416" t="str">
            <v>NSFC</v>
          </cell>
          <cell r="BC416" t="str">
            <v>GP3CK</v>
          </cell>
        </row>
        <row r="417">
          <cell r="A417" t="str">
            <v>539B1A</v>
          </cell>
          <cell r="B417" t="str">
            <v>3</v>
          </cell>
          <cell r="C417" t="str">
            <v>06</v>
          </cell>
          <cell r="D417">
            <v>20</v>
          </cell>
          <cell r="E417" t="str">
            <v>539B1A</v>
          </cell>
          <cell r="F417">
            <v>6.45</v>
          </cell>
          <cell r="G417">
            <v>4.62</v>
          </cell>
          <cell r="H417">
            <v>4.62</v>
          </cell>
          <cell r="I417" t="str">
            <v>Y2</v>
          </cell>
          <cell r="J417" t="str">
            <v>FC</v>
          </cell>
          <cell r="K417">
            <v>0</v>
          </cell>
          <cell r="L417">
            <v>45535</v>
          </cell>
          <cell r="M417">
            <v>45535</v>
          </cell>
          <cell r="N417">
            <v>459</v>
          </cell>
          <cell r="O417" t="str">
            <v>PS</v>
          </cell>
          <cell r="P417" t="str">
            <v/>
          </cell>
          <cell r="Q417">
            <v>45535</v>
          </cell>
          <cell r="R417" t="str">
            <v/>
          </cell>
          <cell r="S417" t="str">
            <v/>
          </cell>
          <cell r="T417" t="str">
            <v/>
          </cell>
          <cell r="U417">
            <v>12547</v>
          </cell>
          <cell r="V417" t="str">
            <v/>
          </cell>
          <cell r="W417">
            <v>45740</v>
          </cell>
          <cell r="X417" t="str">
            <v>Lokasi Produksi 539B1A ( pecahan 539B1 )</v>
          </cell>
          <cell r="Z417">
            <v>0</v>
          </cell>
          <cell r="AA417">
            <v>45535</v>
          </cell>
          <cell r="AB417">
            <v>153.59733611111005</v>
          </cell>
          <cell r="AC417">
            <v>5.1199112037036683</v>
          </cell>
          <cell r="AD417">
            <v>-20</v>
          </cell>
          <cell r="AE417">
            <v>0</v>
          </cell>
          <cell r="AF417">
            <v>0</v>
          </cell>
          <cell r="AG417">
            <v>-1369.5666666666666</v>
          </cell>
          <cell r="AM417" t="str">
            <v>OK</v>
          </cell>
          <cell r="AO417">
            <v>15.311851774691361</v>
          </cell>
          <cell r="AP417">
            <v>15.311851774691361</v>
          </cell>
          <cell r="AQ417">
            <v>0</v>
          </cell>
          <cell r="AR417">
            <v>15.311851774691361</v>
          </cell>
          <cell r="AS417">
            <v>0</v>
          </cell>
          <cell r="AT417">
            <v>45535</v>
          </cell>
          <cell r="AU417">
            <v>15.311851774691361</v>
          </cell>
          <cell r="AV417">
            <v>459.35555324074085</v>
          </cell>
          <cell r="AW417">
            <v>15.311851774691361</v>
          </cell>
          <cell r="AY417">
            <v>464.46369178241002</v>
          </cell>
          <cell r="AZ417" t="str">
            <v>F18</v>
          </cell>
          <cell r="BA417">
            <v>0</v>
          </cell>
          <cell r="BB417" t="str">
            <v>PSY2</v>
          </cell>
          <cell r="BC417" t="str">
            <v>F18</v>
          </cell>
        </row>
        <row r="418">
          <cell r="A418" t="str">
            <v>539B1B</v>
          </cell>
          <cell r="B418" t="str">
            <v>3</v>
          </cell>
          <cell r="C418" t="str">
            <v>06</v>
          </cell>
          <cell r="D418">
            <v>20</v>
          </cell>
          <cell r="E418" t="str">
            <v>539B1B</v>
          </cell>
          <cell r="F418">
            <v>7.14</v>
          </cell>
          <cell r="G418">
            <v>5.25</v>
          </cell>
          <cell r="H418">
            <v>5.25</v>
          </cell>
          <cell r="I418" t="str">
            <v>Y2</v>
          </cell>
          <cell r="J418" t="str">
            <v>FC</v>
          </cell>
          <cell r="K418">
            <v>0</v>
          </cell>
          <cell r="L418">
            <v>45535</v>
          </cell>
          <cell r="M418">
            <v>45535</v>
          </cell>
          <cell r="N418">
            <v>459</v>
          </cell>
          <cell r="O418" t="str">
            <v>PS</v>
          </cell>
          <cell r="P418" t="str">
            <v/>
          </cell>
          <cell r="Q418">
            <v>45535</v>
          </cell>
          <cell r="R418" t="str">
            <v/>
          </cell>
          <cell r="S418" t="str">
            <v/>
          </cell>
          <cell r="T418" t="str">
            <v/>
          </cell>
          <cell r="U418">
            <v>13874</v>
          </cell>
          <cell r="V418" t="str">
            <v/>
          </cell>
          <cell r="W418">
            <v>45740</v>
          </cell>
          <cell r="X418" t="str">
            <v>Lokasi Produksi 539B1B ( pecahan 539B1 )</v>
          </cell>
          <cell r="Z418">
            <v>0</v>
          </cell>
          <cell r="AA418">
            <v>45535</v>
          </cell>
          <cell r="AB418">
            <v>75.597336111110053</v>
          </cell>
          <cell r="AC418">
            <v>2.5199112037036686</v>
          </cell>
          <cell r="AD418">
            <v>-5.4800887962963314</v>
          </cell>
          <cell r="AE418">
            <v>6.98</v>
          </cell>
          <cell r="AF418">
            <v>0</v>
          </cell>
          <cell r="AG418">
            <v>-1372.1666666666667</v>
          </cell>
          <cell r="AM418" t="str">
            <v>OK</v>
          </cell>
          <cell r="AO418">
            <v>15.311851774691361</v>
          </cell>
          <cell r="AP418">
            <v>15.311851774691361</v>
          </cell>
          <cell r="AQ418">
            <v>0</v>
          </cell>
          <cell r="AR418">
            <v>15.311851774691361</v>
          </cell>
          <cell r="AS418">
            <v>0</v>
          </cell>
          <cell r="AT418">
            <v>45535</v>
          </cell>
          <cell r="AU418">
            <v>15.311851774691361</v>
          </cell>
          <cell r="AV418">
            <v>459.35555324074085</v>
          </cell>
          <cell r="AW418">
            <v>15.311851774691361</v>
          </cell>
          <cell r="AY418">
            <v>464.46369178241002</v>
          </cell>
          <cell r="AZ418" t="str">
            <v>F18</v>
          </cell>
          <cell r="BA418">
            <v>0</v>
          </cell>
          <cell r="BB418" t="str">
            <v>PSY2</v>
          </cell>
          <cell r="BC418" t="str">
            <v>F18</v>
          </cell>
        </row>
        <row r="419">
          <cell r="A419" t="str">
            <v>539B2</v>
          </cell>
          <cell r="B419" t="str">
            <v>3</v>
          </cell>
          <cell r="C419" t="str">
            <v>06</v>
          </cell>
          <cell r="D419">
            <v>20</v>
          </cell>
          <cell r="E419" t="str">
            <v>539B2</v>
          </cell>
          <cell r="F419">
            <v>13.78</v>
          </cell>
          <cell r="G419">
            <v>11.16</v>
          </cell>
          <cell r="H419">
            <v>11.16</v>
          </cell>
          <cell r="I419" t="str">
            <v>BB</v>
          </cell>
          <cell r="J419" t="str">
            <v>FC</v>
          </cell>
          <cell r="K419">
            <v>0</v>
          </cell>
          <cell r="L419">
            <v>45924</v>
          </cell>
          <cell r="M419">
            <v>45924</v>
          </cell>
          <cell r="N419">
            <v>70</v>
          </cell>
          <cell r="O419" t="str">
            <v>NS</v>
          </cell>
          <cell r="P419" t="str">
            <v/>
          </cell>
          <cell r="Q419">
            <v>45924</v>
          </cell>
          <cell r="R419" t="str">
            <v/>
          </cell>
          <cell r="S419" t="str">
            <v/>
          </cell>
          <cell r="T419" t="str">
            <v/>
          </cell>
          <cell r="U419">
            <v>68504</v>
          </cell>
          <cell r="V419">
            <v>67609</v>
          </cell>
          <cell r="W419" t="str">
            <v/>
          </cell>
          <cell r="X419" t="str">
            <v>Lokasi Produksi 539B2 ( pecahan 539B )</v>
          </cell>
          <cell r="Z419">
            <v>0</v>
          </cell>
          <cell r="AA419">
            <v>45924</v>
          </cell>
          <cell r="AB419">
            <v>5313.5973361111101</v>
          </cell>
          <cell r="AC419">
            <v>177.11991120370368</v>
          </cell>
          <cell r="AD419">
            <v>-20</v>
          </cell>
          <cell r="AE419">
            <v>0</v>
          </cell>
          <cell r="AF419">
            <v>0</v>
          </cell>
          <cell r="AG419">
            <v>-1197.5666666666666</v>
          </cell>
          <cell r="AM419" t="str">
            <v>OK</v>
          </cell>
          <cell r="AO419">
            <v>2.3451851080246948</v>
          </cell>
          <cell r="AP419">
            <v>2.3451851080246948</v>
          </cell>
          <cell r="AQ419">
            <v>0</v>
          </cell>
          <cell r="AR419">
            <v>2.3451851080246948</v>
          </cell>
          <cell r="AS419">
            <v>0</v>
          </cell>
          <cell r="AT419">
            <v>45924</v>
          </cell>
          <cell r="AU419">
            <v>2.3451851080246948</v>
          </cell>
          <cell r="AV419">
            <v>70.355553240740846</v>
          </cell>
          <cell r="AW419">
            <v>2.3451851080246948</v>
          </cell>
          <cell r="AY419">
            <v>75.463691782410024</v>
          </cell>
          <cell r="AZ419" t="str">
            <v>F18</v>
          </cell>
          <cell r="BA419">
            <v>0</v>
          </cell>
          <cell r="BB419" t="str">
            <v>NSBB</v>
          </cell>
          <cell r="BC419" t="str">
            <v>F18</v>
          </cell>
        </row>
        <row r="420">
          <cell r="A420" t="str">
            <v>539C</v>
          </cell>
          <cell r="B420" t="str">
            <v>3</v>
          </cell>
          <cell r="C420" t="str">
            <v>06</v>
          </cell>
          <cell r="D420">
            <v>20</v>
          </cell>
          <cell r="E420" t="str">
            <v>539C</v>
          </cell>
          <cell r="F420">
            <v>11.76</v>
          </cell>
          <cell r="G420">
            <v>9.3699999999999992</v>
          </cell>
          <cell r="H420">
            <v>9.3699999999999992</v>
          </cell>
          <cell r="I420" t="str">
            <v>FC</v>
          </cell>
          <cell r="J420" t="str">
            <v>ST</v>
          </cell>
          <cell r="K420">
            <v>14</v>
          </cell>
          <cell r="L420">
            <v>45603</v>
          </cell>
          <cell r="M420">
            <v>45603</v>
          </cell>
          <cell r="N420">
            <v>391</v>
          </cell>
          <cell r="O420" t="str">
            <v>NS</v>
          </cell>
          <cell r="P420" t="str">
            <v>NSGP3CK3</v>
          </cell>
          <cell r="Q420">
            <v>46030</v>
          </cell>
          <cell r="R420" t="str">
            <v/>
          </cell>
          <cell r="S420" t="str">
            <v/>
          </cell>
          <cell r="T420" t="str">
            <v/>
          </cell>
          <cell r="U420">
            <v>67041</v>
          </cell>
          <cell r="V420">
            <v>63637</v>
          </cell>
          <cell r="W420">
            <v>43503</v>
          </cell>
          <cell r="X420" t="str">
            <v>Lokasi Produksi 539C</v>
          </cell>
          <cell r="Z420">
            <v>14</v>
          </cell>
          <cell r="AA420">
            <v>46030</v>
          </cell>
          <cell r="AB420">
            <v>547.59733611111005</v>
          </cell>
          <cell r="AC420">
            <v>18.253244537037002</v>
          </cell>
          <cell r="AD420">
            <v>4.253244537037002</v>
          </cell>
          <cell r="AE420">
            <v>8.9499999999999993</v>
          </cell>
          <cell r="AF420">
            <v>0</v>
          </cell>
          <cell r="AG420">
            <v>-1356.4333333333334</v>
          </cell>
          <cell r="AM420" t="str">
            <v>OK</v>
          </cell>
          <cell r="AO420">
            <v>13.045185108024695</v>
          </cell>
          <cell r="AP420">
            <v>-0.954814891975305</v>
          </cell>
          <cell r="AQ420">
            <v>0</v>
          </cell>
          <cell r="AR420">
            <v>13.045185108024695</v>
          </cell>
          <cell r="AS420">
            <v>0</v>
          </cell>
          <cell r="AT420">
            <v>46030</v>
          </cell>
          <cell r="AU420">
            <v>-0.954814891975305</v>
          </cell>
          <cell r="AV420">
            <v>391.35555324074085</v>
          </cell>
          <cell r="AW420">
            <v>-0.954814891975305</v>
          </cell>
          <cell r="AY420">
            <v>396.46369178241002</v>
          </cell>
          <cell r="AZ420" t="str">
            <v>GP3</v>
          </cell>
          <cell r="BA420">
            <v>9.3699999999999992</v>
          </cell>
          <cell r="BB420" t="str">
            <v>NSFC</v>
          </cell>
          <cell r="BC420" t="str">
            <v>GP3CK</v>
          </cell>
        </row>
        <row r="421">
          <cell r="A421" t="str">
            <v>539D1</v>
          </cell>
          <cell r="B421" t="str">
            <v>3</v>
          </cell>
          <cell r="C421" t="str">
            <v>06</v>
          </cell>
          <cell r="D421">
            <v>20</v>
          </cell>
          <cell r="E421" t="str">
            <v>539D1</v>
          </cell>
          <cell r="F421">
            <v>5.42</v>
          </cell>
          <cell r="G421">
            <v>4.51</v>
          </cell>
          <cell r="H421">
            <v>4.51</v>
          </cell>
          <cell r="I421" t="str">
            <v>BK</v>
          </cell>
          <cell r="J421" t="str">
            <v>SR</v>
          </cell>
          <cell r="K421">
            <v>0</v>
          </cell>
          <cell r="L421">
            <v>45981</v>
          </cell>
          <cell r="M421">
            <v>45981</v>
          </cell>
          <cell r="N421">
            <v>13</v>
          </cell>
          <cell r="O421" t="str">
            <v>PS</v>
          </cell>
          <cell r="P421" t="str">
            <v/>
          </cell>
          <cell r="Q421">
            <v>45981</v>
          </cell>
          <cell r="R421" t="str">
            <v/>
          </cell>
          <cell r="S421" t="str">
            <v/>
          </cell>
          <cell r="T421" t="str">
            <v/>
          </cell>
          <cell r="U421">
            <v>11687</v>
          </cell>
          <cell r="V421">
            <v>12594</v>
          </cell>
          <cell r="W421">
            <v>46265</v>
          </cell>
          <cell r="X421" t="str">
            <v>Lokasi Produksi 539D1 ( pecahan 539D )</v>
          </cell>
          <cell r="Z421">
            <v>0</v>
          </cell>
          <cell r="AA421">
            <v>45981</v>
          </cell>
          <cell r="AB421">
            <v>533.59733611111005</v>
          </cell>
          <cell r="AC421">
            <v>17.786577870370333</v>
          </cell>
          <cell r="AD421">
            <v>3.7865778703703334</v>
          </cell>
          <cell r="AE421">
            <v>12.15</v>
          </cell>
          <cell r="AF421">
            <v>0</v>
          </cell>
          <cell r="AG421">
            <v>-1356.9</v>
          </cell>
          <cell r="AM421" t="str">
            <v>OK</v>
          </cell>
          <cell r="AO421">
            <v>0.44518510802469485</v>
          </cell>
          <cell r="AP421">
            <v>0.44518510802469485</v>
          </cell>
          <cell r="AQ421">
            <v>0</v>
          </cell>
          <cell r="AR421">
            <v>0.44518510802469485</v>
          </cell>
          <cell r="AS421">
            <v>0</v>
          </cell>
          <cell r="AT421">
            <v>45981</v>
          </cell>
          <cell r="AU421">
            <v>0.44518510802469485</v>
          </cell>
          <cell r="AV421">
            <v>13.355553240740846</v>
          </cell>
          <cell r="AW421">
            <v>0.44518510802469485</v>
          </cell>
          <cell r="AY421">
            <v>18.463691782410024</v>
          </cell>
          <cell r="AZ421" t="str">
            <v>F18</v>
          </cell>
          <cell r="BA421">
            <v>0</v>
          </cell>
          <cell r="BB421" t="str">
            <v>PSBK</v>
          </cell>
          <cell r="BC421" t="str">
            <v>F18</v>
          </cell>
        </row>
        <row r="422">
          <cell r="A422" t="str">
            <v>539D2</v>
          </cell>
          <cell r="B422" t="str">
            <v>3</v>
          </cell>
          <cell r="C422" t="str">
            <v>06</v>
          </cell>
          <cell r="D422">
            <v>20</v>
          </cell>
          <cell r="E422" t="str">
            <v>539D2</v>
          </cell>
          <cell r="F422">
            <v>4.3600000000000003</v>
          </cell>
          <cell r="G422">
            <v>3.62</v>
          </cell>
          <cell r="H422">
            <v>3.62</v>
          </cell>
          <cell r="I422" t="str">
            <v>BK</v>
          </cell>
          <cell r="J422" t="str">
            <v>SR</v>
          </cell>
          <cell r="K422">
            <v>0</v>
          </cell>
          <cell r="L422">
            <v>45981</v>
          </cell>
          <cell r="M422">
            <v>45981</v>
          </cell>
          <cell r="N422">
            <v>13</v>
          </cell>
          <cell r="O422" t="str">
            <v>PS</v>
          </cell>
          <cell r="P422" t="str">
            <v/>
          </cell>
          <cell r="Q422">
            <v>45981</v>
          </cell>
          <cell r="R422" t="str">
            <v/>
          </cell>
          <cell r="S422" t="str">
            <v/>
          </cell>
          <cell r="T422" t="str">
            <v/>
          </cell>
          <cell r="U422">
            <v>9521</v>
          </cell>
          <cell r="V422">
            <v>10145</v>
          </cell>
          <cell r="W422">
            <v>46265</v>
          </cell>
          <cell r="X422" t="str">
            <v>Lokasi Produksi 539D2 ( pecahan 539D )</v>
          </cell>
          <cell r="Z422">
            <v>0</v>
          </cell>
          <cell r="AA422">
            <v>45981</v>
          </cell>
          <cell r="AB422">
            <v>4465.5973361111101</v>
          </cell>
          <cell r="AC422">
            <v>148.853244537037</v>
          </cell>
          <cell r="AD422">
            <v>-20</v>
          </cell>
          <cell r="AE422">
            <v>0</v>
          </cell>
          <cell r="AF422">
            <v>0</v>
          </cell>
          <cell r="AG422">
            <v>-1225.8333333333333</v>
          </cell>
          <cell r="AM422" t="str">
            <v>OK</v>
          </cell>
          <cell r="AO422">
            <v>0.44518510802469485</v>
          </cell>
          <cell r="AP422">
            <v>0.44518510802469485</v>
          </cell>
          <cell r="AQ422">
            <v>0</v>
          </cell>
          <cell r="AR422">
            <v>0.44518510802469485</v>
          </cell>
          <cell r="AS422">
            <v>0</v>
          </cell>
          <cell r="AT422">
            <v>45981</v>
          </cell>
          <cell r="AU422">
            <v>0.44518510802469485</v>
          </cell>
          <cell r="AV422">
            <v>13.355553240740846</v>
          </cell>
          <cell r="AW422">
            <v>0.44518510802469485</v>
          </cell>
          <cell r="AY422">
            <v>18.463691782410024</v>
          </cell>
          <cell r="AZ422" t="str">
            <v>F18</v>
          </cell>
          <cell r="BA422">
            <v>0</v>
          </cell>
          <cell r="BB422" t="str">
            <v>PSBK</v>
          </cell>
          <cell r="BC422" t="str">
            <v>F18</v>
          </cell>
        </row>
        <row r="423">
          <cell r="A423" t="str">
            <v>539D3</v>
          </cell>
          <cell r="B423" t="str">
            <v>3</v>
          </cell>
          <cell r="C423" t="str">
            <v>06</v>
          </cell>
          <cell r="D423">
            <v>20</v>
          </cell>
          <cell r="E423" t="str">
            <v>539D3</v>
          </cell>
          <cell r="F423">
            <v>4.17</v>
          </cell>
          <cell r="G423">
            <v>3.35</v>
          </cell>
          <cell r="H423">
            <v>3.35</v>
          </cell>
          <cell r="I423" t="str">
            <v>BK</v>
          </cell>
          <cell r="J423" t="str">
            <v>SR</v>
          </cell>
          <cell r="K423">
            <v>0</v>
          </cell>
          <cell r="L423">
            <v>45981</v>
          </cell>
          <cell r="M423">
            <v>45981</v>
          </cell>
          <cell r="N423">
            <v>13</v>
          </cell>
          <cell r="O423" t="str">
            <v>PS</v>
          </cell>
          <cell r="P423" t="str">
            <v/>
          </cell>
          <cell r="Q423">
            <v>45981</v>
          </cell>
          <cell r="R423" t="str">
            <v/>
          </cell>
          <cell r="S423" t="str">
            <v/>
          </cell>
          <cell r="T423" t="str">
            <v/>
          </cell>
          <cell r="U423">
            <v>8442</v>
          </cell>
          <cell r="V423">
            <v>8040</v>
          </cell>
          <cell r="W423">
            <v>46265</v>
          </cell>
          <cell r="X423" t="str">
            <v>Lokasi Produksi 539D3 ( pecahan 539D )</v>
          </cell>
          <cell r="Z423">
            <v>0</v>
          </cell>
          <cell r="AA423">
            <v>45981</v>
          </cell>
          <cell r="AB423">
            <v>469.59733611111005</v>
          </cell>
          <cell r="AC423">
            <v>15.653244537037002</v>
          </cell>
          <cell r="AD423">
            <v>1.6532445370370024</v>
          </cell>
          <cell r="AE423">
            <v>13.97</v>
          </cell>
          <cell r="AF423">
            <v>0</v>
          </cell>
          <cell r="AG423">
            <v>-1359.0333333333333</v>
          </cell>
          <cell r="AK423">
            <v>40312</v>
          </cell>
          <cell r="AM423" t="str">
            <v>OK</v>
          </cell>
          <cell r="AO423">
            <v>0.44518510802469485</v>
          </cell>
          <cell r="AP423">
            <v>0.44518510802469485</v>
          </cell>
          <cell r="AQ423">
            <v>0</v>
          </cell>
          <cell r="AR423">
            <v>0.44518510802469485</v>
          </cell>
          <cell r="AS423">
            <v>0</v>
          </cell>
          <cell r="AT423">
            <v>45981</v>
          </cell>
          <cell r="AU423">
            <v>0.44518510802469485</v>
          </cell>
          <cell r="AV423">
            <v>13.355553240740846</v>
          </cell>
          <cell r="AW423">
            <v>0.44518510802469485</v>
          </cell>
          <cell r="AY423">
            <v>18.463691782410024</v>
          </cell>
          <cell r="AZ423" t="str">
            <v>F18</v>
          </cell>
          <cell r="BA423">
            <v>0</v>
          </cell>
          <cell r="BB423" t="str">
            <v>PSBK</v>
          </cell>
          <cell r="BC423" t="str">
            <v>F18</v>
          </cell>
        </row>
        <row r="424">
          <cell r="A424" t="str">
            <v>539E</v>
          </cell>
          <cell r="B424" t="str">
            <v>3</v>
          </cell>
          <cell r="C424" t="str">
            <v>06</v>
          </cell>
          <cell r="D424">
            <v>20</v>
          </cell>
          <cell r="E424" t="str">
            <v>539E</v>
          </cell>
          <cell r="F424">
            <v>17.649999999999999</v>
          </cell>
          <cell r="G424">
            <v>14.05</v>
          </cell>
          <cell r="H424">
            <v>14.05</v>
          </cell>
          <cell r="I424" t="str">
            <v>BB</v>
          </cell>
          <cell r="J424" t="str">
            <v>SC</v>
          </cell>
          <cell r="K424">
            <v>0</v>
          </cell>
          <cell r="L424">
            <v>45709</v>
          </cell>
          <cell r="M424">
            <v>45709</v>
          </cell>
          <cell r="N424">
            <v>285</v>
          </cell>
          <cell r="O424" t="str">
            <v>NS</v>
          </cell>
          <cell r="P424" t="str">
            <v/>
          </cell>
          <cell r="Q424">
            <v>45709</v>
          </cell>
          <cell r="R424" t="str">
            <v/>
          </cell>
          <cell r="S424" t="str">
            <v/>
          </cell>
          <cell r="T424" t="str">
            <v/>
          </cell>
          <cell r="U424">
            <v>73055</v>
          </cell>
          <cell r="V424">
            <v>72838</v>
          </cell>
          <cell r="W424">
            <v>44278</v>
          </cell>
          <cell r="X424" t="str">
            <v>Lokasi Produksi 539E</v>
          </cell>
          <cell r="Z424">
            <v>0</v>
          </cell>
          <cell r="AA424">
            <v>45709</v>
          </cell>
          <cell r="AB424">
            <v>242.59733611111005</v>
          </cell>
          <cell r="AC424">
            <v>8.0865778703703359</v>
          </cell>
          <cell r="AD424">
            <v>-3.9134221296296641</v>
          </cell>
          <cell r="AE424">
            <v>15.09</v>
          </cell>
          <cell r="AF424">
            <v>0</v>
          </cell>
          <cell r="AG424">
            <v>-1366.6</v>
          </cell>
          <cell r="AM424" t="str">
            <v>OK</v>
          </cell>
          <cell r="AO424">
            <v>9.5118517746913618</v>
          </cell>
          <cell r="AP424">
            <v>9.5118517746913618</v>
          </cell>
          <cell r="AQ424">
            <v>0</v>
          </cell>
          <cell r="AR424">
            <v>9.5118517746913618</v>
          </cell>
          <cell r="AS424">
            <v>0</v>
          </cell>
          <cell r="AT424">
            <v>45709</v>
          </cell>
          <cell r="AU424">
            <v>9.5118517746913618</v>
          </cell>
          <cell r="AV424">
            <v>285.35555324074085</v>
          </cell>
          <cell r="AW424">
            <v>9.5118517746913618</v>
          </cell>
          <cell r="AY424">
            <v>290.46369178241002</v>
          </cell>
          <cell r="AZ424" t="str">
            <v>F18</v>
          </cell>
          <cell r="BA424">
            <v>0</v>
          </cell>
          <cell r="BB424" t="str">
            <v>NSBB</v>
          </cell>
          <cell r="BC424" t="str">
            <v>F18</v>
          </cell>
        </row>
        <row r="425">
          <cell r="A425" t="str">
            <v>540A</v>
          </cell>
          <cell r="B425" t="str">
            <v>3</v>
          </cell>
          <cell r="C425" t="str">
            <v>05</v>
          </cell>
          <cell r="D425">
            <v>18</v>
          </cell>
          <cell r="E425" t="str">
            <v>540A</v>
          </cell>
          <cell r="F425">
            <v>18.04</v>
          </cell>
          <cell r="G425">
            <v>14.88</v>
          </cell>
          <cell r="H425">
            <v>14.88</v>
          </cell>
          <cell r="I425" t="str">
            <v>FC</v>
          </cell>
          <cell r="J425" t="str">
            <v>ST</v>
          </cell>
          <cell r="K425">
            <v>14</v>
          </cell>
          <cell r="L425">
            <v>45796</v>
          </cell>
          <cell r="M425">
            <v>45796</v>
          </cell>
          <cell r="N425">
            <v>198</v>
          </cell>
          <cell r="O425" t="str">
            <v>NS</v>
          </cell>
          <cell r="P425" t="str">
            <v>NSF18CK3</v>
          </cell>
          <cell r="Q425">
            <v>46223</v>
          </cell>
          <cell r="R425" t="str">
            <v/>
          </cell>
          <cell r="S425" t="str">
            <v/>
          </cell>
          <cell r="T425" t="str">
            <v/>
          </cell>
          <cell r="U425">
            <v>66449</v>
          </cell>
          <cell r="V425">
            <v>74661</v>
          </cell>
          <cell r="W425">
            <v>44208</v>
          </cell>
          <cell r="X425" t="str">
            <v>Lokasi Produksi 540A</v>
          </cell>
          <cell r="Z425">
            <v>14</v>
          </cell>
          <cell r="AA425">
            <v>46223</v>
          </cell>
          <cell r="AB425">
            <v>466.59733611111005</v>
          </cell>
          <cell r="AC425">
            <v>15.553244537037001</v>
          </cell>
          <cell r="AD425">
            <v>3.5532445370370009</v>
          </cell>
          <cell r="AE425">
            <v>15.57</v>
          </cell>
          <cell r="AF425">
            <v>0</v>
          </cell>
          <cell r="AG425">
            <v>-1359.1333333333334</v>
          </cell>
          <cell r="AM425" t="str">
            <v>OK</v>
          </cell>
          <cell r="AO425">
            <v>6.6118517746913614</v>
          </cell>
          <cell r="AP425">
            <v>-7.3881482253086386</v>
          </cell>
          <cell r="AQ425">
            <v>0</v>
          </cell>
          <cell r="AR425">
            <v>6.6118517746913614</v>
          </cell>
          <cell r="AS425">
            <v>0</v>
          </cell>
          <cell r="AT425">
            <v>46223</v>
          </cell>
          <cell r="AU425">
            <v>-7.3881482253086386</v>
          </cell>
          <cell r="AV425">
            <v>198.35555324074085</v>
          </cell>
          <cell r="AW425">
            <v>-7.3881482253086386</v>
          </cell>
          <cell r="AY425">
            <v>203.46369178241002</v>
          </cell>
          <cell r="AZ425" t="str">
            <v>F18</v>
          </cell>
          <cell r="BA425">
            <v>14.88</v>
          </cell>
          <cell r="BB425" t="str">
            <v>NSFC</v>
          </cell>
          <cell r="BC425" t="str">
            <v>F18CK</v>
          </cell>
        </row>
        <row r="426">
          <cell r="A426" t="str">
            <v>540B1</v>
          </cell>
          <cell r="B426" t="str">
            <v>3</v>
          </cell>
          <cell r="C426" t="str">
            <v>05</v>
          </cell>
          <cell r="D426">
            <v>18</v>
          </cell>
          <cell r="E426" t="str">
            <v>540B1</v>
          </cell>
          <cell r="F426">
            <v>11.14</v>
          </cell>
          <cell r="G426">
            <v>9.1</v>
          </cell>
          <cell r="H426">
            <v>9.1</v>
          </cell>
          <cell r="I426" t="str">
            <v>FC</v>
          </cell>
          <cell r="J426" t="str">
            <v>ST</v>
          </cell>
          <cell r="K426">
            <v>14</v>
          </cell>
          <cell r="L426">
            <v>45610</v>
          </cell>
          <cell r="M426">
            <v>45610</v>
          </cell>
          <cell r="N426">
            <v>384</v>
          </cell>
          <cell r="O426" t="str">
            <v>NS</v>
          </cell>
          <cell r="P426" t="str">
            <v>NSF18CK3</v>
          </cell>
          <cell r="Q426">
            <v>46037</v>
          </cell>
          <cell r="R426" t="str">
            <v/>
          </cell>
          <cell r="S426" t="str">
            <v/>
          </cell>
          <cell r="T426" t="str">
            <v/>
          </cell>
          <cell r="U426">
            <v>63410</v>
          </cell>
          <cell r="V426">
            <v>66316</v>
          </cell>
          <cell r="W426">
            <v>45519</v>
          </cell>
          <cell r="X426" t="str">
            <v>Lokasi Produksi 540B1 ( pecahan 540B )</v>
          </cell>
          <cell r="Z426">
            <v>14</v>
          </cell>
          <cell r="AA426">
            <v>46037</v>
          </cell>
          <cell r="AB426">
            <v>180.59733611111005</v>
          </cell>
          <cell r="AC426">
            <v>6.0199112037036686</v>
          </cell>
          <cell r="AD426">
            <v>-20</v>
          </cell>
          <cell r="AE426">
            <v>0</v>
          </cell>
          <cell r="AF426">
            <v>0</v>
          </cell>
          <cell r="AG426">
            <v>-1368.6666666666667</v>
          </cell>
          <cell r="AM426" t="str">
            <v>OK</v>
          </cell>
          <cell r="AO426">
            <v>12.811851774691361</v>
          </cell>
          <cell r="AP426">
            <v>-1.1881482253086393</v>
          </cell>
          <cell r="AQ426">
            <v>0</v>
          </cell>
          <cell r="AR426">
            <v>12.811851774691361</v>
          </cell>
          <cell r="AS426">
            <v>0</v>
          </cell>
          <cell r="AT426">
            <v>46037</v>
          </cell>
          <cell r="AU426">
            <v>-1.1881482253086393</v>
          </cell>
          <cell r="AV426">
            <v>384.35555324074085</v>
          </cell>
          <cell r="AW426">
            <v>-1.1881482253086393</v>
          </cell>
          <cell r="AY426">
            <v>389.46369178241002</v>
          </cell>
          <cell r="AZ426" t="str">
            <v>F18</v>
          </cell>
          <cell r="BA426">
            <v>9.1</v>
          </cell>
          <cell r="BB426" t="str">
            <v>NSFC</v>
          </cell>
          <cell r="BC426" t="str">
            <v>F18CK</v>
          </cell>
        </row>
        <row r="427">
          <cell r="A427" t="str">
            <v>540B2</v>
          </cell>
          <cell r="B427" t="str">
            <v>3</v>
          </cell>
          <cell r="C427" t="str">
            <v>05</v>
          </cell>
          <cell r="D427">
            <v>18</v>
          </cell>
          <cell r="E427" t="str">
            <v>540B2</v>
          </cell>
          <cell r="F427">
            <v>6.29</v>
          </cell>
          <cell r="G427">
            <v>5.18</v>
          </cell>
          <cell r="H427">
            <v>5.18</v>
          </cell>
          <cell r="I427" t="str">
            <v>FC</v>
          </cell>
          <cell r="J427" t="str">
            <v>ST</v>
          </cell>
          <cell r="K427">
            <v>14</v>
          </cell>
          <cell r="L427">
            <v>45609</v>
          </cell>
          <cell r="M427">
            <v>45609</v>
          </cell>
          <cell r="N427">
            <v>385</v>
          </cell>
          <cell r="O427" t="str">
            <v>NS</v>
          </cell>
          <cell r="P427" t="str">
            <v>NSF18CK3</v>
          </cell>
          <cell r="Q427">
            <v>46036</v>
          </cell>
          <cell r="R427" t="str">
            <v/>
          </cell>
          <cell r="S427" t="str">
            <v/>
          </cell>
          <cell r="T427" t="str">
            <v/>
          </cell>
          <cell r="U427">
            <v>63542</v>
          </cell>
          <cell r="V427">
            <v>65068</v>
          </cell>
          <cell r="W427">
            <v>45516</v>
          </cell>
          <cell r="X427" t="str">
            <v>Lokasi Produksi 540B2 ( pecahan 540B )</v>
          </cell>
          <cell r="Z427">
            <v>14</v>
          </cell>
          <cell r="AA427">
            <v>46036</v>
          </cell>
          <cell r="AB427">
            <v>565.59733611111005</v>
          </cell>
          <cell r="AC427">
            <v>18.853244537037003</v>
          </cell>
          <cell r="AD427">
            <v>4.8532445370370034</v>
          </cell>
          <cell r="AE427">
            <v>10.29</v>
          </cell>
          <cell r="AF427">
            <v>0</v>
          </cell>
          <cell r="AG427">
            <v>-1355.8333333333333</v>
          </cell>
          <cell r="AM427" t="str">
            <v>OK</v>
          </cell>
          <cell r="AO427">
            <v>12.845185108024696</v>
          </cell>
          <cell r="AP427">
            <v>-1.1548148919753043</v>
          </cell>
          <cell r="AQ427">
            <v>0</v>
          </cell>
          <cell r="AR427">
            <v>12.845185108024696</v>
          </cell>
          <cell r="AS427">
            <v>0</v>
          </cell>
          <cell r="AT427">
            <v>46036</v>
          </cell>
          <cell r="AU427">
            <v>-1.1548148919753043</v>
          </cell>
          <cell r="AV427">
            <v>385.35555324074085</v>
          </cell>
          <cell r="AW427">
            <v>-1.1548148919753043</v>
          </cell>
          <cell r="AY427">
            <v>390.46369178241002</v>
          </cell>
          <cell r="AZ427" t="str">
            <v>F18</v>
          </cell>
          <cell r="BA427">
            <v>5.18</v>
          </cell>
          <cell r="BB427" t="str">
            <v>NSFC</v>
          </cell>
          <cell r="BC427" t="str">
            <v>F18CK</v>
          </cell>
        </row>
        <row r="428">
          <cell r="A428" t="str">
            <v>541A1A</v>
          </cell>
          <cell r="B428" t="str">
            <v>3</v>
          </cell>
          <cell r="C428" t="str">
            <v>05</v>
          </cell>
          <cell r="D428">
            <v>19</v>
          </cell>
          <cell r="E428" t="str">
            <v>541A1A</v>
          </cell>
          <cell r="F428">
            <v>5.58</v>
          </cell>
          <cell r="G428">
            <v>3.99</v>
          </cell>
          <cell r="H428">
            <v>3.99</v>
          </cell>
          <cell r="I428" t="str">
            <v>Y2</v>
          </cell>
          <cell r="J428" t="str">
            <v>FC</v>
          </cell>
          <cell r="K428">
            <v>0</v>
          </cell>
          <cell r="L428">
            <v>45593</v>
          </cell>
          <cell r="M428">
            <v>45593</v>
          </cell>
          <cell r="N428">
            <v>401</v>
          </cell>
          <cell r="O428" t="str">
            <v>PS</v>
          </cell>
          <cell r="P428" t="str">
            <v/>
          </cell>
          <cell r="Q428">
            <v>45593</v>
          </cell>
          <cell r="R428" t="str">
            <v/>
          </cell>
          <cell r="S428" t="str">
            <v/>
          </cell>
          <cell r="T428" t="str">
            <v/>
          </cell>
          <cell r="U428">
            <v>10603</v>
          </cell>
          <cell r="V428">
            <v>10603</v>
          </cell>
          <cell r="W428">
            <v>45768</v>
          </cell>
          <cell r="X428" t="str">
            <v>Lokasi Produksi 541A1A ( pecahan 541A1 )</v>
          </cell>
          <cell r="Z428">
            <v>0</v>
          </cell>
          <cell r="AA428">
            <v>45593</v>
          </cell>
          <cell r="AB428">
            <v>5317.5973361111101</v>
          </cell>
          <cell r="AC428">
            <v>177.25324453703701</v>
          </cell>
          <cell r="AD428">
            <v>-20</v>
          </cell>
          <cell r="AE428">
            <v>0</v>
          </cell>
          <cell r="AF428">
            <v>0</v>
          </cell>
          <cell r="AG428">
            <v>-1197.4333333333334</v>
          </cell>
          <cell r="AM428" t="str">
            <v>OK</v>
          </cell>
          <cell r="AO428">
            <v>13.378518441358029</v>
          </cell>
          <cell r="AP428">
            <v>13.378518441358029</v>
          </cell>
          <cell r="AQ428">
            <v>0</v>
          </cell>
          <cell r="AR428">
            <v>13.378518441358029</v>
          </cell>
          <cell r="AS428">
            <v>0</v>
          </cell>
          <cell r="AT428">
            <v>45593</v>
          </cell>
          <cell r="AU428">
            <v>13.378518441358029</v>
          </cell>
          <cell r="AV428">
            <v>401.35555324074085</v>
          </cell>
          <cell r="AW428">
            <v>13.378518441358029</v>
          </cell>
          <cell r="AY428">
            <v>406.46369178241002</v>
          </cell>
          <cell r="AZ428" t="str">
            <v>F18</v>
          </cell>
          <cell r="BA428">
            <v>0</v>
          </cell>
          <cell r="BB428" t="str">
            <v>PSY2</v>
          </cell>
          <cell r="BC428" t="str">
            <v>F18</v>
          </cell>
        </row>
        <row r="429">
          <cell r="A429" t="str">
            <v>541A1B</v>
          </cell>
          <cell r="B429" t="str">
            <v>3</v>
          </cell>
          <cell r="C429" t="str">
            <v>05</v>
          </cell>
          <cell r="D429">
            <v>19</v>
          </cell>
          <cell r="E429" t="str">
            <v>541A1B</v>
          </cell>
          <cell r="F429">
            <v>9.17</v>
          </cell>
          <cell r="G429">
            <v>6.31</v>
          </cell>
          <cell r="H429">
            <v>6.31</v>
          </cell>
          <cell r="I429" t="str">
            <v>Y2</v>
          </cell>
          <cell r="J429" t="str">
            <v>FC</v>
          </cell>
          <cell r="K429">
            <v>0</v>
          </cell>
          <cell r="L429">
            <v>45593</v>
          </cell>
          <cell r="M429">
            <v>45593</v>
          </cell>
          <cell r="N429">
            <v>401</v>
          </cell>
          <cell r="O429" t="str">
            <v>PS</v>
          </cell>
          <cell r="P429" t="str">
            <v/>
          </cell>
          <cell r="Q429">
            <v>45593</v>
          </cell>
          <cell r="R429" t="str">
            <v/>
          </cell>
          <cell r="S429" t="str">
            <v/>
          </cell>
          <cell r="T429" t="str">
            <v/>
          </cell>
          <cell r="U429">
            <v>16801</v>
          </cell>
          <cell r="V429">
            <v>16801</v>
          </cell>
          <cell r="W429">
            <v>45768</v>
          </cell>
          <cell r="X429" t="str">
            <v>Lokasi Produksi 541A1B ( pecahan 541A1 )</v>
          </cell>
          <cell r="Z429">
            <v>0</v>
          </cell>
          <cell r="AA429">
            <v>45593</v>
          </cell>
          <cell r="AB429">
            <v>522.59733611111005</v>
          </cell>
          <cell r="AC429">
            <v>17.41991120370367</v>
          </cell>
          <cell r="AD429">
            <v>3.4199112037036699</v>
          </cell>
          <cell r="AE429">
            <v>15.67</v>
          </cell>
          <cell r="AF429">
            <v>0</v>
          </cell>
          <cell r="AG429">
            <v>-1357.2666666666667</v>
          </cell>
          <cell r="AM429" t="str">
            <v>OK</v>
          </cell>
          <cell r="AO429">
            <v>13.378518441358029</v>
          </cell>
          <cell r="AP429">
            <v>13.378518441358029</v>
          </cell>
          <cell r="AQ429">
            <v>0</v>
          </cell>
          <cell r="AR429">
            <v>13.378518441358029</v>
          </cell>
          <cell r="AS429">
            <v>0</v>
          </cell>
          <cell r="AT429">
            <v>45593</v>
          </cell>
          <cell r="AU429">
            <v>13.378518441358029</v>
          </cell>
          <cell r="AV429">
            <v>401.35555324074085</v>
          </cell>
          <cell r="AW429">
            <v>13.378518441358029</v>
          </cell>
          <cell r="AY429">
            <v>406.46369178241002</v>
          </cell>
          <cell r="AZ429" t="str">
            <v>F18</v>
          </cell>
          <cell r="BA429">
            <v>0</v>
          </cell>
          <cell r="BB429" t="str">
            <v>PSY2</v>
          </cell>
          <cell r="BC429" t="str">
            <v>F18</v>
          </cell>
        </row>
        <row r="430">
          <cell r="A430" t="str">
            <v>541A2A</v>
          </cell>
          <cell r="B430" t="str">
            <v>3</v>
          </cell>
          <cell r="C430" t="str">
            <v>05</v>
          </cell>
          <cell r="D430">
            <v>19</v>
          </cell>
          <cell r="E430" t="str">
            <v>541A2A</v>
          </cell>
          <cell r="F430">
            <v>5.53</v>
          </cell>
          <cell r="G430">
            <v>3.81</v>
          </cell>
          <cell r="H430">
            <v>3.81</v>
          </cell>
          <cell r="I430" t="str">
            <v>Y2</v>
          </cell>
          <cell r="J430" t="str">
            <v>FC</v>
          </cell>
          <cell r="K430">
            <v>0</v>
          </cell>
          <cell r="L430">
            <v>45618</v>
          </cell>
          <cell r="M430">
            <v>45618</v>
          </cell>
          <cell r="N430">
            <v>376</v>
          </cell>
          <cell r="O430" t="str">
            <v>PS</v>
          </cell>
          <cell r="P430" t="str">
            <v/>
          </cell>
          <cell r="Q430">
            <v>45618</v>
          </cell>
          <cell r="R430" t="str">
            <v/>
          </cell>
          <cell r="S430" t="str">
            <v/>
          </cell>
          <cell r="T430" t="str">
            <v/>
          </cell>
          <cell r="U430">
            <v>10046</v>
          </cell>
          <cell r="V430" t="str">
            <v/>
          </cell>
          <cell r="W430">
            <v>45618</v>
          </cell>
          <cell r="X430" t="str">
            <v>Lokasi Produksi 541A2A ( pecahan 541A2 )</v>
          </cell>
          <cell r="Z430">
            <v>0</v>
          </cell>
          <cell r="AA430">
            <v>45618</v>
          </cell>
          <cell r="AB430">
            <v>525.59733611111005</v>
          </cell>
          <cell r="AC430">
            <v>17.519911203703668</v>
          </cell>
          <cell r="AD430">
            <v>3.5199112037036677</v>
          </cell>
          <cell r="AE430">
            <v>13.62</v>
          </cell>
          <cell r="AF430">
            <v>0</v>
          </cell>
          <cell r="AG430">
            <v>-1357.1666666666667</v>
          </cell>
          <cell r="AK430">
            <v>40269</v>
          </cell>
          <cell r="AM430" t="str">
            <v>OK</v>
          </cell>
          <cell r="AO430">
            <v>12.545185108024695</v>
          </cell>
          <cell r="AP430">
            <v>12.545185108024695</v>
          </cell>
          <cell r="AQ430">
            <v>0</v>
          </cell>
          <cell r="AR430">
            <v>12.545185108024695</v>
          </cell>
          <cell r="AS430">
            <v>0</v>
          </cell>
          <cell r="AT430">
            <v>45618</v>
          </cell>
          <cell r="AU430">
            <v>12.545185108024695</v>
          </cell>
          <cell r="AV430">
            <v>376.35555324074085</v>
          </cell>
          <cell r="AW430">
            <v>12.545185108024695</v>
          </cell>
          <cell r="AY430">
            <v>381.46369178241002</v>
          </cell>
          <cell r="AZ430" t="str">
            <v>F18</v>
          </cell>
          <cell r="BA430">
            <v>0</v>
          </cell>
          <cell r="BB430" t="str">
            <v>PSY2</v>
          </cell>
          <cell r="BC430" t="str">
            <v>F18</v>
          </cell>
        </row>
        <row r="431">
          <cell r="A431" t="str">
            <v>541A2B</v>
          </cell>
          <cell r="B431" t="str">
            <v>3</v>
          </cell>
          <cell r="C431" t="str">
            <v>05</v>
          </cell>
          <cell r="D431">
            <v>19</v>
          </cell>
          <cell r="E431" t="str">
            <v>541A2B</v>
          </cell>
          <cell r="F431">
            <v>3.16</v>
          </cell>
          <cell r="G431">
            <v>2.1</v>
          </cell>
          <cell r="H431">
            <v>2.1</v>
          </cell>
          <cell r="I431" t="str">
            <v>Y2</v>
          </cell>
          <cell r="J431" t="str">
            <v>FC</v>
          </cell>
          <cell r="K431">
            <v>0</v>
          </cell>
          <cell r="L431">
            <v>45618</v>
          </cell>
          <cell r="M431">
            <v>45618</v>
          </cell>
          <cell r="N431">
            <v>376</v>
          </cell>
          <cell r="O431" t="str">
            <v>PS</v>
          </cell>
          <cell r="P431" t="str">
            <v/>
          </cell>
          <cell r="Q431">
            <v>45618</v>
          </cell>
          <cell r="R431" t="str">
            <v/>
          </cell>
          <cell r="S431" t="str">
            <v/>
          </cell>
          <cell r="T431" t="str">
            <v/>
          </cell>
          <cell r="U431">
            <v>5368</v>
          </cell>
          <cell r="V431" t="str">
            <v/>
          </cell>
          <cell r="W431">
            <v>45618</v>
          </cell>
          <cell r="X431" t="str">
            <v>Lokasi Produksi 541A2B (pecahan 541A2 )</v>
          </cell>
          <cell r="Z431">
            <v>0</v>
          </cell>
          <cell r="AA431">
            <v>45618</v>
          </cell>
          <cell r="AB431">
            <v>159.59733611111005</v>
          </cell>
          <cell r="AC431">
            <v>5.3199112037036684</v>
          </cell>
          <cell r="AD431">
            <v>-10.680088796296332</v>
          </cell>
          <cell r="AE431">
            <v>15.57</v>
          </cell>
          <cell r="AF431">
            <v>0</v>
          </cell>
          <cell r="AG431">
            <v>-1369.3666666666666</v>
          </cell>
          <cell r="AM431" t="str">
            <v>OK</v>
          </cell>
          <cell r="AO431">
            <v>12.545185108024695</v>
          </cell>
          <cell r="AP431">
            <v>12.545185108024695</v>
          </cell>
          <cell r="AQ431">
            <v>0</v>
          </cell>
          <cell r="AR431">
            <v>12.545185108024695</v>
          </cell>
          <cell r="AS431">
            <v>0</v>
          </cell>
          <cell r="AT431">
            <v>45618</v>
          </cell>
          <cell r="AU431">
            <v>12.545185108024695</v>
          </cell>
          <cell r="AV431">
            <v>376.35555324074085</v>
          </cell>
          <cell r="AW431">
            <v>12.545185108024695</v>
          </cell>
          <cell r="AY431">
            <v>381.46369178241002</v>
          </cell>
          <cell r="AZ431" t="str">
            <v>F18</v>
          </cell>
          <cell r="BA431">
            <v>0</v>
          </cell>
          <cell r="BB431" t="str">
            <v>PSY2</v>
          </cell>
          <cell r="BC431" t="str">
            <v>F18</v>
          </cell>
        </row>
        <row r="432">
          <cell r="A432" t="str">
            <v>541B</v>
          </cell>
          <cell r="B432" t="str">
            <v>3</v>
          </cell>
          <cell r="C432" t="str">
            <v>05</v>
          </cell>
          <cell r="D432">
            <v>19</v>
          </cell>
          <cell r="E432" t="str">
            <v>541B</v>
          </cell>
          <cell r="F432">
            <v>12.32</v>
          </cell>
          <cell r="G432">
            <v>10.220000000000001</v>
          </cell>
          <cell r="H432">
            <v>10.220000000000001</v>
          </cell>
          <cell r="I432" t="str">
            <v>FC</v>
          </cell>
          <cell r="J432" t="str">
            <v>ST</v>
          </cell>
          <cell r="K432">
            <v>14</v>
          </cell>
          <cell r="L432">
            <v>45496</v>
          </cell>
          <cell r="M432">
            <v>45496</v>
          </cell>
          <cell r="N432">
            <v>498</v>
          </cell>
          <cell r="O432" t="str">
            <v>NS</v>
          </cell>
          <cell r="P432" t="str">
            <v>NSF18CK3</v>
          </cell>
          <cell r="Q432">
            <v>45923</v>
          </cell>
          <cell r="R432" t="str">
            <v/>
          </cell>
          <cell r="S432" t="str">
            <v/>
          </cell>
          <cell r="T432">
            <v>45864</v>
          </cell>
          <cell r="U432">
            <v>63920</v>
          </cell>
          <cell r="V432">
            <v>66675</v>
          </cell>
          <cell r="W432">
            <v>43207</v>
          </cell>
          <cell r="X432" t="str">
            <v>Lokasi Produksi 541B</v>
          </cell>
          <cell r="Z432">
            <v>14</v>
          </cell>
          <cell r="AA432">
            <v>45923</v>
          </cell>
          <cell r="AB432">
            <v>475.59733611111005</v>
          </cell>
          <cell r="AC432">
            <v>15.853244537037002</v>
          </cell>
          <cell r="AD432">
            <v>1.8532445370370016</v>
          </cell>
          <cell r="AE432">
            <v>19.850000000000001</v>
          </cell>
          <cell r="AF432">
            <v>0</v>
          </cell>
          <cell r="AG432">
            <v>-1358.8333333333333</v>
          </cell>
          <cell r="AK432">
            <v>40319</v>
          </cell>
          <cell r="AM432" t="str">
            <v>OK</v>
          </cell>
          <cell r="AO432">
            <v>16.611851774691363</v>
          </cell>
          <cell r="AP432">
            <v>2.6118517746913632</v>
          </cell>
          <cell r="AQ432">
            <v>45864</v>
          </cell>
          <cell r="AR432">
            <v>12.266666666666667</v>
          </cell>
          <cell r="AS432">
            <v>4.3451851080246957</v>
          </cell>
          <cell r="AT432">
            <v>45923</v>
          </cell>
          <cell r="AU432">
            <v>4.3451851080246957</v>
          </cell>
          <cell r="AV432">
            <v>368</v>
          </cell>
          <cell r="AW432">
            <v>4.3451851080246957</v>
          </cell>
          <cell r="AY432">
            <v>503.46369178241002</v>
          </cell>
          <cell r="AZ432" t="str">
            <v>F18</v>
          </cell>
          <cell r="BA432">
            <v>10.220000000000001</v>
          </cell>
          <cell r="BB432" t="str">
            <v>NSFC</v>
          </cell>
          <cell r="BC432" t="str">
            <v>F18CK</v>
          </cell>
        </row>
        <row r="433">
          <cell r="A433" t="str">
            <v>541BS</v>
          </cell>
          <cell r="B433" t="str">
            <v>3</v>
          </cell>
          <cell r="C433" t="str">
            <v>05</v>
          </cell>
          <cell r="D433">
            <v>19</v>
          </cell>
          <cell r="E433" t="str">
            <v>541BS</v>
          </cell>
          <cell r="F433">
            <v>0.79</v>
          </cell>
          <cell r="G433">
            <v>0.79</v>
          </cell>
          <cell r="H433">
            <v>0.79</v>
          </cell>
          <cell r="I433" t="str">
            <v>FC</v>
          </cell>
          <cell r="J433" t="str">
            <v>ST</v>
          </cell>
          <cell r="K433">
            <v>0</v>
          </cell>
          <cell r="L433">
            <v>45807</v>
          </cell>
          <cell r="M433">
            <v>45807</v>
          </cell>
          <cell r="N433">
            <v>187</v>
          </cell>
          <cell r="O433" t="str">
            <v>SK</v>
          </cell>
          <cell r="P433" t="str">
            <v/>
          </cell>
          <cell r="Q433">
            <v>45807</v>
          </cell>
          <cell r="R433" t="str">
            <v/>
          </cell>
          <cell r="S433" t="str">
            <v/>
          </cell>
          <cell r="T433" t="str">
            <v/>
          </cell>
          <cell r="U433">
            <v>25766</v>
          </cell>
          <cell r="V433">
            <v>25766</v>
          </cell>
          <cell r="W433" t="str">
            <v/>
          </cell>
          <cell r="X433" t="str">
            <v>Lokasi Produksi 541BS ( singkong )</v>
          </cell>
          <cell r="Z433">
            <v>0</v>
          </cell>
          <cell r="AA433">
            <v>45807</v>
          </cell>
          <cell r="AB433">
            <v>363.59733611111005</v>
          </cell>
          <cell r="AC433">
            <v>12.119911203703669</v>
          </cell>
          <cell r="AD433">
            <v>0.11991120370366914</v>
          </cell>
          <cell r="AE433">
            <v>5.88</v>
          </cell>
          <cell r="AF433">
            <v>0</v>
          </cell>
          <cell r="AG433">
            <v>-1362.5666666666666</v>
          </cell>
          <cell r="AM433" t="str">
            <v>OK</v>
          </cell>
          <cell r="AO433">
            <v>6.2451851080246952</v>
          </cell>
          <cell r="AP433">
            <v>6.2451851080246952</v>
          </cell>
          <cell r="AQ433">
            <v>0</v>
          </cell>
          <cell r="AR433">
            <v>6.2451851080246952</v>
          </cell>
          <cell r="AS433">
            <v>0</v>
          </cell>
          <cell r="AT433">
            <v>45807</v>
          </cell>
          <cell r="AU433">
            <v>6.2451851080246952</v>
          </cell>
          <cell r="AV433">
            <v>187.35555324074085</v>
          </cell>
          <cell r="AW433">
            <v>6.2451851080246952</v>
          </cell>
          <cell r="AY433">
            <v>192.46369178241002</v>
          </cell>
          <cell r="AZ433" t="str">
            <v>F18</v>
          </cell>
          <cell r="BA433">
            <v>0</v>
          </cell>
          <cell r="BB433" t="str">
            <v>SKFC</v>
          </cell>
          <cell r="BC433" t="str">
            <v>F18</v>
          </cell>
        </row>
        <row r="434">
          <cell r="A434" t="str">
            <v>541C1</v>
          </cell>
          <cell r="B434" t="str">
            <v>3</v>
          </cell>
          <cell r="C434" t="str">
            <v>05</v>
          </cell>
          <cell r="D434">
            <v>19</v>
          </cell>
          <cell r="E434" t="str">
            <v>541C1</v>
          </cell>
          <cell r="F434">
            <v>9.74</v>
          </cell>
          <cell r="G434">
            <v>8.2100000000000009</v>
          </cell>
          <cell r="H434">
            <v>8.2100000000000009</v>
          </cell>
          <cell r="I434" t="str">
            <v>FC</v>
          </cell>
          <cell r="J434" t="str">
            <v>ST</v>
          </cell>
          <cell r="K434">
            <v>14</v>
          </cell>
          <cell r="L434">
            <v>45987</v>
          </cell>
          <cell r="M434">
            <v>45987</v>
          </cell>
          <cell r="N434">
            <v>7</v>
          </cell>
          <cell r="O434" t="str">
            <v>NS</v>
          </cell>
          <cell r="P434" t="str">
            <v>NSGP3CK3</v>
          </cell>
          <cell r="Q434">
            <v>46414</v>
          </cell>
          <cell r="R434" t="str">
            <v/>
          </cell>
          <cell r="S434" t="str">
            <v/>
          </cell>
          <cell r="T434" t="str">
            <v/>
          </cell>
          <cell r="U434">
            <v>69061</v>
          </cell>
          <cell r="V434">
            <v>50990</v>
          </cell>
          <cell r="W434" t="str">
            <v/>
          </cell>
          <cell r="X434" t="str">
            <v>Lokasi Produksi 541C1 ( pecahan 541C )</v>
          </cell>
          <cell r="Z434">
            <v>14</v>
          </cell>
          <cell r="AA434">
            <v>46414</v>
          </cell>
          <cell r="AB434">
            <v>5362.5973361111101</v>
          </cell>
          <cell r="AC434">
            <v>178.75324453703701</v>
          </cell>
          <cell r="AD434">
            <v>-20</v>
          </cell>
          <cell r="AE434">
            <v>0</v>
          </cell>
          <cell r="AF434">
            <v>0</v>
          </cell>
          <cell r="AG434">
            <v>-1195.9333333333334</v>
          </cell>
          <cell r="AM434" t="str">
            <v>OK</v>
          </cell>
          <cell r="AO434">
            <v>0.24518510802469487</v>
          </cell>
          <cell r="AP434">
            <v>-13.754814891975306</v>
          </cell>
          <cell r="AQ434">
            <v>0</v>
          </cell>
          <cell r="AR434">
            <v>0.24518510802469487</v>
          </cell>
          <cell r="AS434">
            <v>0</v>
          </cell>
          <cell r="AT434">
            <v>46414</v>
          </cell>
          <cell r="AU434">
            <v>-13.754814891975306</v>
          </cell>
          <cell r="AV434">
            <v>7.3555532407408464</v>
          </cell>
          <cell r="AW434">
            <v>-13.754814891975306</v>
          </cell>
          <cell r="AY434">
            <v>12.463691782410024</v>
          </cell>
          <cell r="AZ434" t="str">
            <v>GP3</v>
          </cell>
          <cell r="BA434">
            <v>8.2100000000000009</v>
          </cell>
          <cell r="BB434" t="str">
            <v>NSFC</v>
          </cell>
          <cell r="BC434" t="str">
            <v>GP3CK</v>
          </cell>
        </row>
        <row r="435">
          <cell r="A435" t="str">
            <v>541C2</v>
          </cell>
          <cell r="B435" t="str">
            <v>3</v>
          </cell>
          <cell r="C435" t="str">
            <v>05</v>
          </cell>
          <cell r="D435">
            <v>19</v>
          </cell>
          <cell r="E435" t="str">
            <v>541C2</v>
          </cell>
          <cell r="F435">
            <v>9.44</v>
          </cell>
          <cell r="G435">
            <v>7.91</v>
          </cell>
          <cell r="H435">
            <v>7.91</v>
          </cell>
          <cell r="I435" t="str">
            <v>ST</v>
          </cell>
          <cell r="J435" t="str">
            <v>BK</v>
          </cell>
          <cell r="K435">
            <v>0</v>
          </cell>
          <cell r="L435">
            <v>45946</v>
          </cell>
          <cell r="M435">
            <v>45946</v>
          </cell>
          <cell r="N435">
            <v>48</v>
          </cell>
          <cell r="O435" t="str">
            <v>NS</v>
          </cell>
          <cell r="P435" t="str">
            <v/>
          </cell>
          <cell r="Q435">
            <v>45946</v>
          </cell>
          <cell r="R435" t="str">
            <v/>
          </cell>
          <cell r="S435" t="str">
            <v/>
          </cell>
          <cell r="T435" t="str">
            <v/>
          </cell>
          <cell r="U435">
            <v>68486</v>
          </cell>
          <cell r="V435">
            <v>50764</v>
          </cell>
          <cell r="W435">
            <v>44727</v>
          </cell>
          <cell r="X435" t="str">
            <v>Lokasi Produksi 541C2 ( pecahan 541C )</v>
          </cell>
          <cell r="Z435">
            <v>0</v>
          </cell>
          <cell r="AA435">
            <v>45946</v>
          </cell>
          <cell r="AB435">
            <v>52.597336111110053</v>
          </cell>
          <cell r="AC435">
            <v>1.7532445370370018</v>
          </cell>
          <cell r="AD435">
            <v>-6.246755462962998</v>
          </cell>
          <cell r="AE435">
            <v>13.12</v>
          </cell>
          <cell r="AF435">
            <v>0</v>
          </cell>
          <cell r="AG435">
            <v>-1372.9333333333334</v>
          </cell>
          <cell r="AM435" t="str">
            <v>OK</v>
          </cell>
          <cell r="AO435">
            <v>1.6118517746913616</v>
          </cell>
          <cell r="AP435">
            <v>1.6118517746913616</v>
          </cell>
          <cell r="AQ435">
            <v>0</v>
          </cell>
          <cell r="AR435">
            <v>1.6118517746913616</v>
          </cell>
          <cell r="AS435">
            <v>0</v>
          </cell>
          <cell r="AT435">
            <v>45946</v>
          </cell>
          <cell r="AU435">
            <v>1.6118517746913616</v>
          </cell>
          <cell r="AV435">
            <v>48.355553240740846</v>
          </cell>
          <cell r="AW435">
            <v>1.6118517746913616</v>
          </cell>
          <cell r="AY435">
            <v>53.463691782410024</v>
          </cell>
          <cell r="AZ435" t="str">
            <v>F18</v>
          </cell>
          <cell r="BA435">
            <v>0</v>
          </cell>
          <cell r="BB435" t="str">
            <v>NSST</v>
          </cell>
          <cell r="BC435" t="str">
            <v>F18</v>
          </cell>
        </row>
        <row r="436">
          <cell r="A436" t="str">
            <v>541D</v>
          </cell>
          <cell r="B436" t="str">
            <v>3</v>
          </cell>
          <cell r="C436" t="str">
            <v>05</v>
          </cell>
          <cell r="D436">
            <v>19</v>
          </cell>
          <cell r="E436" t="str">
            <v>541D</v>
          </cell>
          <cell r="F436">
            <v>10.96</v>
          </cell>
          <cell r="G436">
            <v>9.18</v>
          </cell>
          <cell r="H436">
            <v>9.18</v>
          </cell>
          <cell r="I436" t="str">
            <v>FC</v>
          </cell>
          <cell r="J436" t="str">
            <v>ST</v>
          </cell>
          <cell r="K436">
            <v>14</v>
          </cell>
          <cell r="L436">
            <v>45796</v>
          </cell>
          <cell r="M436">
            <v>45796</v>
          </cell>
          <cell r="N436">
            <v>198</v>
          </cell>
          <cell r="O436" t="str">
            <v>NS</v>
          </cell>
          <cell r="P436" t="str">
            <v>NSGP3CK3</v>
          </cell>
          <cell r="Q436">
            <v>46223</v>
          </cell>
          <cell r="R436" t="str">
            <v/>
          </cell>
          <cell r="S436" t="str">
            <v/>
          </cell>
          <cell r="T436" t="str">
            <v/>
          </cell>
          <cell r="U436">
            <v>67024</v>
          </cell>
          <cell r="V436">
            <v>73489</v>
          </cell>
          <cell r="W436">
            <v>44314</v>
          </cell>
          <cell r="X436" t="str">
            <v>Lokasi Produksi 541D</v>
          </cell>
          <cell r="Z436">
            <v>14</v>
          </cell>
          <cell r="AA436">
            <v>46223</v>
          </cell>
          <cell r="AB436">
            <v>682.59733611111005</v>
          </cell>
          <cell r="AC436">
            <v>22.753244537037002</v>
          </cell>
          <cell r="AD436">
            <v>4.753244537037002</v>
          </cell>
          <cell r="AE436">
            <v>7.2</v>
          </cell>
          <cell r="AF436">
            <v>0</v>
          </cell>
          <cell r="AG436">
            <v>-1351.9333333333334</v>
          </cell>
          <cell r="AK436">
            <v>40272</v>
          </cell>
          <cell r="AM436" t="str">
            <v>OK</v>
          </cell>
          <cell r="AO436">
            <v>6.6118517746913614</v>
          </cell>
          <cell r="AP436">
            <v>-7.3881482253086386</v>
          </cell>
          <cell r="AQ436">
            <v>0</v>
          </cell>
          <cell r="AR436">
            <v>6.6118517746913614</v>
          </cell>
          <cell r="AS436">
            <v>0</v>
          </cell>
          <cell r="AT436">
            <v>46223</v>
          </cell>
          <cell r="AU436">
            <v>-7.3881482253086386</v>
          </cell>
          <cell r="AV436">
            <v>198.35555324074085</v>
          </cell>
          <cell r="AW436">
            <v>-7.3881482253086386</v>
          </cell>
          <cell r="AY436">
            <v>203.46369178241002</v>
          </cell>
          <cell r="AZ436" t="str">
            <v>GP3</v>
          </cell>
          <cell r="BA436">
            <v>9.18</v>
          </cell>
          <cell r="BB436" t="str">
            <v>NSFC</v>
          </cell>
          <cell r="BC436" t="str">
            <v>GP3CK</v>
          </cell>
        </row>
        <row r="437">
          <cell r="A437" t="str">
            <v>541E</v>
          </cell>
          <cell r="B437" t="str">
            <v>3</v>
          </cell>
          <cell r="C437" t="str">
            <v>05</v>
          </cell>
          <cell r="D437">
            <v>19</v>
          </cell>
          <cell r="E437" t="str">
            <v>541E</v>
          </cell>
          <cell r="F437">
            <v>5.89</v>
          </cell>
          <cell r="G437">
            <v>4</v>
          </cell>
          <cell r="H437">
            <v>4</v>
          </cell>
          <cell r="I437" t="str">
            <v>Y2</v>
          </cell>
          <cell r="J437" t="str">
            <v>FC</v>
          </cell>
          <cell r="K437">
            <v>0</v>
          </cell>
          <cell r="L437">
            <v>45563</v>
          </cell>
          <cell r="M437">
            <v>45563</v>
          </cell>
          <cell r="N437">
            <v>431</v>
          </cell>
          <cell r="O437" t="str">
            <v>PS</v>
          </cell>
          <cell r="P437" t="str">
            <v/>
          </cell>
          <cell r="Q437">
            <v>45563</v>
          </cell>
          <cell r="R437" t="str">
            <v/>
          </cell>
          <cell r="S437" t="str">
            <v/>
          </cell>
          <cell r="T437" t="str">
            <v/>
          </cell>
          <cell r="U437">
            <v>10817</v>
          </cell>
          <cell r="V437">
            <v>57340</v>
          </cell>
          <cell r="W437">
            <v>45712</v>
          </cell>
          <cell r="X437" t="str">
            <v>Lokasi Produksi 541E</v>
          </cell>
          <cell r="Z437">
            <v>0</v>
          </cell>
          <cell r="AA437">
            <v>45563</v>
          </cell>
          <cell r="AB437">
            <v>413.59733611111005</v>
          </cell>
          <cell r="AC437">
            <v>13.786577870370335</v>
          </cell>
          <cell r="AD437">
            <v>5.7865778703703352</v>
          </cell>
          <cell r="AE437">
            <v>21.01</v>
          </cell>
          <cell r="AF437">
            <v>0</v>
          </cell>
          <cell r="AG437">
            <v>-1360.9</v>
          </cell>
          <cell r="AM437" t="str">
            <v>OK</v>
          </cell>
          <cell r="AO437">
            <v>14.378518441358029</v>
          </cell>
          <cell r="AP437">
            <v>14.378518441358029</v>
          </cell>
          <cell r="AQ437">
            <v>0</v>
          </cell>
          <cell r="AR437">
            <v>14.378518441358029</v>
          </cell>
          <cell r="AS437">
            <v>0</v>
          </cell>
          <cell r="AT437">
            <v>45563</v>
          </cell>
          <cell r="AU437">
            <v>14.378518441358029</v>
          </cell>
          <cell r="AV437">
            <v>431.35555324074085</v>
          </cell>
          <cell r="AW437">
            <v>14.378518441358029</v>
          </cell>
          <cell r="AY437">
            <v>436.46369178241002</v>
          </cell>
          <cell r="AZ437" t="str">
            <v>F18</v>
          </cell>
          <cell r="BA437">
            <v>0</v>
          </cell>
          <cell r="BB437" t="str">
            <v>PSY2</v>
          </cell>
          <cell r="BC437" t="str">
            <v>F18</v>
          </cell>
        </row>
        <row r="438">
          <cell r="A438" t="str">
            <v>541H</v>
          </cell>
          <cell r="B438" t="str">
            <v>3</v>
          </cell>
          <cell r="C438" t="str">
            <v>05</v>
          </cell>
          <cell r="D438">
            <v>19</v>
          </cell>
          <cell r="E438" t="str">
            <v>541H</v>
          </cell>
          <cell r="F438">
            <v>16.45</v>
          </cell>
          <cell r="G438">
            <v>13.55</v>
          </cell>
          <cell r="H438">
            <v>13.55</v>
          </cell>
          <cell r="I438" t="str">
            <v>FC</v>
          </cell>
          <cell r="J438" t="str">
            <v>ST</v>
          </cell>
          <cell r="K438">
            <v>14</v>
          </cell>
          <cell r="L438">
            <v>45924</v>
          </cell>
          <cell r="M438">
            <v>45924</v>
          </cell>
          <cell r="N438">
            <v>70</v>
          </cell>
          <cell r="O438" t="str">
            <v>NS</v>
          </cell>
          <cell r="P438" t="str">
            <v>NSGP3CK3</v>
          </cell>
          <cell r="Q438">
            <v>46351</v>
          </cell>
          <cell r="R438" t="str">
            <v/>
          </cell>
          <cell r="S438" t="str">
            <v/>
          </cell>
          <cell r="T438" t="str">
            <v/>
          </cell>
          <cell r="U438">
            <v>69397</v>
          </cell>
          <cell r="V438">
            <v>75179</v>
          </cell>
          <cell r="W438">
            <v>45337</v>
          </cell>
          <cell r="X438" t="str">
            <v>Lokasi Produksi 541H</v>
          </cell>
          <cell r="Z438">
            <v>14</v>
          </cell>
          <cell r="AA438">
            <v>46351</v>
          </cell>
          <cell r="AB438">
            <v>84.597336111110053</v>
          </cell>
          <cell r="AC438">
            <v>2.8199112037036684</v>
          </cell>
          <cell r="AD438">
            <v>-5.1800887962963316</v>
          </cell>
          <cell r="AE438">
            <v>22.2</v>
          </cell>
          <cell r="AF438">
            <v>0</v>
          </cell>
          <cell r="AG438">
            <v>-1371.8666666666666</v>
          </cell>
          <cell r="AM438" t="str">
            <v>OK</v>
          </cell>
          <cell r="AO438">
            <v>2.3451851080246948</v>
          </cell>
          <cell r="AP438">
            <v>-11.654814891975306</v>
          </cell>
          <cell r="AQ438">
            <v>0</v>
          </cell>
          <cell r="AR438">
            <v>2.3451851080246948</v>
          </cell>
          <cell r="AS438">
            <v>0</v>
          </cell>
          <cell r="AT438">
            <v>46351</v>
          </cell>
          <cell r="AU438">
            <v>-11.654814891975306</v>
          </cell>
          <cell r="AV438">
            <v>70.355553240740846</v>
          </cell>
          <cell r="AW438">
            <v>-11.654814891975306</v>
          </cell>
          <cell r="AY438">
            <v>75.463691782410024</v>
          </cell>
          <cell r="AZ438" t="str">
            <v>GP3</v>
          </cell>
          <cell r="BA438">
            <v>13.55</v>
          </cell>
          <cell r="BB438" t="str">
            <v>NSFC</v>
          </cell>
          <cell r="BC438" t="str">
            <v>GP3CK</v>
          </cell>
        </row>
        <row r="439">
          <cell r="A439" t="str">
            <v>541HS</v>
          </cell>
          <cell r="B439" t="str">
            <v>3</v>
          </cell>
          <cell r="C439" t="str">
            <v>05</v>
          </cell>
          <cell r="D439">
            <v>19</v>
          </cell>
          <cell r="E439" t="str">
            <v>541HS</v>
          </cell>
          <cell r="F439">
            <v>0.26</v>
          </cell>
          <cell r="G439">
            <v>0.26</v>
          </cell>
          <cell r="H439">
            <v>0.26</v>
          </cell>
          <cell r="I439" t="str">
            <v>FC</v>
          </cell>
          <cell r="J439" t="str">
            <v>ST</v>
          </cell>
          <cell r="K439">
            <v>0</v>
          </cell>
          <cell r="L439">
            <v>45885</v>
          </cell>
          <cell r="M439">
            <v>45885</v>
          </cell>
          <cell r="N439">
            <v>109</v>
          </cell>
          <cell r="O439" t="str">
            <v>SK</v>
          </cell>
          <cell r="P439" t="str">
            <v/>
          </cell>
          <cell r="Q439">
            <v>45885</v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>Lokasi Produksi 541HS ( singkong )</v>
          </cell>
          <cell r="Z439">
            <v>0</v>
          </cell>
          <cell r="AA439">
            <v>45885</v>
          </cell>
          <cell r="AB439">
            <v>5359.5973361111101</v>
          </cell>
          <cell r="AC439">
            <v>178.65324453703701</v>
          </cell>
          <cell r="AD439">
            <v>-20</v>
          </cell>
          <cell r="AE439">
            <v>0</v>
          </cell>
          <cell r="AF439">
            <v>0</v>
          </cell>
          <cell r="AG439">
            <v>-1196.0333333333333</v>
          </cell>
          <cell r="AM439" t="str">
            <v>OK</v>
          </cell>
          <cell r="AO439">
            <v>3.6451851080246951</v>
          </cell>
          <cell r="AP439">
            <v>3.6451851080246951</v>
          </cell>
          <cell r="AQ439">
            <v>0</v>
          </cell>
          <cell r="AR439">
            <v>3.6451851080246951</v>
          </cell>
          <cell r="AS439">
            <v>0</v>
          </cell>
          <cell r="AT439">
            <v>45885</v>
          </cell>
          <cell r="AU439">
            <v>3.6451851080246951</v>
          </cell>
          <cell r="AV439">
            <v>109.35555324074085</v>
          </cell>
          <cell r="AW439">
            <v>3.6451851080246951</v>
          </cell>
          <cell r="AY439">
            <v>114.46369178241002</v>
          </cell>
          <cell r="AZ439" t="str">
            <v>F18</v>
          </cell>
          <cell r="BA439">
            <v>0</v>
          </cell>
          <cell r="BB439" t="str">
            <v>SKFC</v>
          </cell>
          <cell r="BC439" t="str">
            <v>F18</v>
          </cell>
        </row>
        <row r="440">
          <cell r="A440" t="str">
            <v>541I1</v>
          </cell>
          <cell r="B440" t="str">
            <v>3</v>
          </cell>
          <cell r="C440" t="str">
            <v>05</v>
          </cell>
          <cell r="D440">
            <v>19</v>
          </cell>
          <cell r="E440" t="str">
            <v>541I1</v>
          </cell>
          <cell r="F440">
            <v>15.47</v>
          </cell>
          <cell r="G440">
            <v>12.89</v>
          </cell>
          <cell r="H440">
            <v>12.89</v>
          </cell>
          <cell r="I440" t="str">
            <v>FC</v>
          </cell>
          <cell r="J440" t="str">
            <v>ST</v>
          </cell>
          <cell r="K440">
            <v>14</v>
          </cell>
          <cell r="L440">
            <v>45831</v>
          </cell>
          <cell r="M440">
            <v>45831</v>
          </cell>
          <cell r="N440">
            <v>163</v>
          </cell>
          <cell r="O440" t="str">
            <v>NS</v>
          </cell>
          <cell r="P440" t="str">
            <v>NSGP3CK3</v>
          </cell>
          <cell r="Q440">
            <v>46258</v>
          </cell>
          <cell r="R440" t="str">
            <v/>
          </cell>
          <cell r="S440" t="str">
            <v/>
          </cell>
          <cell r="T440" t="str">
            <v/>
          </cell>
          <cell r="U440">
            <v>66775</v>
          </cell>
          <cell r="V440">
            <v>53385</v>
          </cell>
          <cell r="W440">
            <v>45792</v>
          </cell>
          <cell r="X440" t="str">
            <v>Lokasi Produksi 541I1 ( pecahan 541I )</v>
          </cell>
          <cell r="Z440">
            <v>14</v>
          </cell>
          <cell r="AA440">
            <v>46258</v>
          </cell>
          <cell r="AB440">
            <v>193.59733611111005</v>
          </cell>
          <cell r="AC440">
            <v>6.4532445370370022</v>
          </cell>
          <cell r="AD440">
            <v>-7.5467554629629978</v>
          </cell>
          <cell r="AE440">
            <v>11.52</v>
          </cell>
          <cell r="AF440">
            <v>0</v>
          </cell>
          <cell r="AG440">
            <v>-1368.2333333333333</v>
          </cell>
          <cell r="AM440" t="str">
            <v>OK</v>
          </cell>
          <cell r="AO440">
            <v>5.4451851080246945</v>
          </cell>
          <cell r="AP440">
            <v>-8.5548148919753046</v>
          </cell>
          <cell r="AQ440">
            <v>0</v>
          </cell>
          <cell r="AR440">
            <v>5.4451851080246945</v>
          </cell>
          <cell r="AS440">
            <v>0</v>
          </cell>
          <cell r="AT440">
            <v>46258</v>
          </cell>
          <cell r="AU440">
            <v>-8.5548148919753046</v>
          </cell>
          <cell r="AV440">
            <v>163.35555324074085</v>
          </cell>
          <cell r="AW440">
            <v>-8.5548148919753046</v>
          </cell>
          <cell r="AY440">
            <v>168.46369178241002</v>
          </cell>
          <cell r="AZ440" t="str">
            <v>GP3</v>
          </cell>
          <cell r="BA440">
            <v>12.89</v>
          </cell>
          <cell r="BB440" t="str">
            <v>NSFC</v>
          </cell>
          <cell r="BC440" t="str">
            <v>GP3CK</v>
          </cell>
        </row>
        <row r="441">
          <cell r="A441" t="str">
            <v>541I2</v>
          </cell>
          <cell r="B441" t="str">
            <v>3</v>
          </cell>
          <cell r="C441" t="str">
            <v>05</v>
          </cell>
          <cell r="D441">
            <v>19</v>
          </cell>
          <cell r="E441" t="str">
            <v>541I2</v>
          </cell>
          <cell r="F441">
            <v>13.49</v>
          </cell>
          <cell r="G441">
            <v>11.23</v>
          </cell>
          <cell r="H441">
            <v>11.23</v>
          </cell>
          <cell r="I441" t="str">
            <v>FC</v>
          </cell>
          <cell r="J441" t="str">
            <v>ST</v>
          </cell>
          <cell r="K441">
            <v>14</v>
          </cell>
          <cell r="L441">
            <v>45880</v>
          </cell>
          <cell r="M441">
            <v>45880</v>
          </cell>
          <cell r="N441">
            <v>114</v>
          </cell>
          <cell r="O441" t="str">
            <v>NS</v>
          </cell>
          <cell r="P441" t="str">
            <v>NSF18CK3</v>
          </cell>
          <cell r="Q441">
            <v>46307</v>
          </cell>
          <cell r="R441" t="str">
            <v/>
          </cell>
          <cell r="S441" t="str">
            <v/>
          </cell>
          <cell r="T441" t="str">
            <v/>
          </cell>
          <cell r="U441">
            <v>68440</v>
          </cell>
          <cell r="V441">
            <v>51332</v>
          </cell>
          <cell r="W441">
            <v>44607</v>
          </cell>
          <cell r="X441" t="str">
            <v>Lokasi Produksi 541I1 ( pecahan 541I )</v>
          </cell>
          <cell r="Z441">
            <v>14</v>
          </cell>
          <cell r="AA441">
            <v>46307</v>
          </cell>
          <cell r="AB441">
            <v>203.59733611111005</v>
          </cell>
          <cell r="AC441">
            <v>6.7865778703703352</v>
          </cell>
          <cell r="AD441">
            <v>-5.2134221296296648</v>
          </cell>
          <cell r="AE441">
            <v>18.64</v>
          </cell>
          <cell r="AF441">
            <v>0</v>
          </cell>
          <cell r="AG441">
            <v>-1367.9</v>
          </cell>
          <cell r="AM441" t="str">
            <v>OK</v>
          </cell>
          <cell r="AO441">
            <v>3.8118517746913616</v>
          </cell>
          <cell r="AP441">
            <v>-10.188148225308638</v>
          </cell>
          <cell r="AQ441">
            <v>0</v>
          </cell>
          <cell r="AR441">
            <v>3.8118517746913616</v>
          </cell>
          <cell r="AS441">
            <v>0</v>
          </cell>
          <cell r="AT441">
            <v>46307</v>
          </cell>
          <cell r="AU441">
            <v>-10.188148225308638</v>
          </cell>
          <cell r="AV441">
            <v>114.35555324074085</v>
          </cell>
          <cell r="AW441">
            <v>-10.188148225308638</v>
          </cell>
          <cell r="AY441">
            <v>119.46369178241002</v>
          </cell>
          <cell r="AZ441" t="str">
            <v>F18</v>
          </cell>
          <cell r="BA441">
            <v>11.23</v>
          </cell>
          <cell r="BB441" t="str">
            <v>NSFC</v>
          </cell>
          <cell r="BC441" t="str">
            <v>F18CK</v>
          </cell>
        </row>
        <row r="442">
          <cell r="A442" t="str">
            <v>541SS</v>
          </cell>
          <cell r="B442" t="str">
            <v>3</v>
          </cell>
          <cell r="C442" t="str">
            <v>05</v>
          </cell>
          <cell r="D442">
            <v>19</v>
          </cell>
          <cell r="E442" t="str">
            <v>541SS</v>
          </cell>
          <cell r="F442">
            <v>0.25</v>
          </cell>
          <cell r="G442">
            <v>0.25</v>
          </cell>
          <cell r="H442">
            <v>0.25</v>
          </cell>
          <cell r="I442" t="str">
            <v>FC</v>
          </cell>
          <cell r="J442" t="str">
            <v>ST</v>
          </cell>
          <cell r="K442">
            <v>0</v>
          </cell>
          <cell r="L442">
            <v>45885</v>
          </cell>
          <cell r="M442">
            <v>45885</v>
          </cell>
          <cell r="N442">
            <v>109</v>
          </cell>
          <cell r="O442" t="str">
            <v>SK</v>
          </cell>
          <cell r="P442" t="str">
            <v/>
          </cell>
          <cell r="Q442">
            <v>45885</v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>Lokasi Produksi 541SS ( singkong )</v>
          </cell>
          <cell r="Z442">
            <v>0</v>
          </cell>
          <cell r="AA442">
            <v>45885</v>
          </cell>
          <cell r="AB442">
            <v>462.59733611111005</v>
          </cell>
          <cell r="AC442">
            <v>15.419911203703668</v>
          </cell>
          <cell r="AD442">
            <v>1.4199112037036681</v>
          </cell>
          <cell r="AE442">
            <v>7.69</v>
          </cell>
          <cell r="AF442">
            <v>0</v>
          </cell>
          <cell r="AG442">
            <v>-1359.2666666666667</v>
          </cell>
          <cell r="AK442">
            <v>40345</v>
          </cell>
          <cell r="AM442" t="str">
            <v>OK</v>
          </cell>
          <cell r="AO442">
            <v>3.6451851080246951</v>
          </cell>
          <cell r="AP442">
            <v>3.6451851080246951</v>
          </cell>
          <cell r="AQ442">
            <v>0</v>
          </cell>
          <cell r="AR442">
            <v>3.6451851080246951</v>
          </cell>
          <cell r="AS442">
            <v>0</v>
          </cell>
          <cell r="AT442">
            <v>45885</v>
          </cell>
          <cell r="AU442">
            <v>3.6451851080246951</v>
          </cell>
          <cell r="AV442">
            <v>109.35555324074085</v>
          </cell>
          <cell r="AW442">
            <v>3.6451851080246951</v>
          </cell>
          <cell r="AY442">
            <v>114.46369178241002</v>
          </cell>
          <cell r="AZ442" t="str">
            <v>F18</v>
          </cell>
          <cell r="BA442">
            <v>0</v>
          </cell>
          <cell r="BB442" t="str">
            <v>SKFC</v>
          </cell>
          <cell r="BC442" t="str">
            <v>F18</v>
          </cell>
        </row>
        <row r="443">
          <cell r="A443" t="str">
            <v>542B</v>
          </cell>
          <cell r="B443" t="str">
            <v>3</v>
          </cell>
          <cell r="C443" t="str">
            <v>05</v>
          </cell>
          <cell r="D443">
            <v>19</v>
          </cell>
          <cell r="E443" t="str">
            <v>542B</v>
          </cell>
          <cell r="F443">
            <v>13.73</v>
          </cell>
          <cell r="G443">
            <v>10.74</v>
          </cell>
          <cell r="H443">
            <v>10.74</v>
          </cell>
          <cell r="I443" t="str">
            <v>BK</v>
          </cell>
          <cell r="J443" t="str">
            <v>BB</v>
          </cell>
          <cell r="K443">
            <v>0</v>
          </cell>
          <cell r="L443">
            <v>45870</v>
          </cell>
          <cell r="M443">
            <v>45870</v>
          </cell>
          <cell r="N443">
            <v>124</v>
          </cell>
          <cell r="O443" t="str">
            <v>NS</v>
          </cell>
          <cell r="P443" t="str">
            <v/>
          </cell>
          <cell r="Q443">
            <v>45870</v>
          </cell>
          <cell r="R443" t="str">
            <v/>
          </cell>
          <cell r="S443" t="str">
            <v/>
          </cell>
          <cell r="T443" t="str">
            <v/>
          </cell>
          <cell r="U443">
            <v>70917</v>
          </cell>
          <cell r="V443">
            <v>75448</v>
          </cell>
          <cell r="W443">
            <v>43629</v>
          </cell>
          <cell r="X443" t="str">
            <v>Lokasi Produksi 542B</v>
          </cell>
          <cell r="Z443">
            <v>0</v>
          </cell>
          <cell r="AA443">
            <v>45870</v>
          </cell>
          <cell r="AB443">
            <v>186.59733611111005</v>
          </cell>
          <cell r="AC443">
            <v>6.2199112037036688</v>
          </cell>
          <cell r="AD443">
            <v>-9.7800887962963312</v>
          </cell>
          <cell r="AE443">
            <v>19.36</v>
          </cell>
          <cell r="AF443">
            <v>0</v>
          </cell>
          <cell r="AG443">
            <v>-1368.4666666666667</v>
          </cell>
          <cell r="AM443" t="str">
            <v>OK</v>
          </cell>
          <cell r="AO443">
            <v>4.1451851080246946</v>
          </cell>
          <cell r="AP443">
            <v>4.1451851080246946</v>
          </cell>
          <cell r="AQ443">
            <v>0</v>
          </cell>
          <cell r="AR443">
            <v>4.1451851080246946</v>
          </cell>
          <cell r="AS443">
            <v>0</v>
          </cell>
          <cell r="AT443">
            <v>45870</v>
          </cell>
          <cell r="AU443">
            <v>4.1451851080246946</v>
          </cell>
          <cell r="AV443">
            <v>124.35555324074085</v>
          </cell>
          <cell r="AW443">
            <v>4.1451851080246946</v>
          </cell>
          <cell r="AY443">
            <v>129.46369178241002</v>
          </cell>
          <cell r="AZ443" t="str">
            <v>F18</v>
          </cell>
          <cell r="BA443">
            <v>0</v>
          </cell>
          <cell r="BB443" t="str">
            <v>NSBK</v>
          </cell>
          <cell r="BC443" t="str">
            <v>F18</v>
          </cell>
        </row>
        <row r="444">
          <cell r="A444" t="str">
            <v>542CS</v>
          </cell>
          <cell r="B444" t="str">
            <v>3</v>
          </cell>
          <cell r="C444" t="str">
            <v>05</v>
          </cell>
          <cell r="D444">
            <v>19</v>
          </cell>
          <cell r="E444" t="str">
            <v>542CS</v>
          </cell>
          <cell r="F444">
            <v>4.7300000000000004</v>
          </cell>
          <cell r="G444">
            <v>3.77</v>
          </cell>
          <cell r="H444">
            <v>3.77</v>
          </cell>
          <cell r="I444" t="str">
            <v>SC</v>
          </cell>
          <cell r="J444" t="str">
            <v>FC</v>
          </cell>
          <cell r="K444">
            <v>8</v>
          </cell>
          <cell r="L444">
            <v>45908</v>
          </cell>
          <cell r="M444">
            <v>45908</v>
          </cell>
          <cell r="N444">
            <v>86</v>
          </cell>
          <cell r="O444" t="str">
            <v>NS</v>
          </cell>
          <cell r="P444" t="str">
            <v/>
          </cell>
          <cell r="Q444">
            <v>46152</v>
          </cell>
          <cell r="R444" t="str">
            <v/>
          </cell>
          <cell r="S444" t="str">
            <v/>
          </cell>
          <cell r="T444" t="str">
            <v/>
          </cell>
          <cell r="U444">
            <v>67709</v>
          </cell>
          <cell r="V444">
            <v>66327</v>
          </cell>
          <cell r="W444">
            <v>45270</v>
          </cell>
          <cell r="X444" t="str">
            <v>Lokasi Produksi 542CS ( Singkong )</v>
          </cell>
          <cell r="Z444">
            <v>8</v>
          </cell>
          <cell r="AA444">
            <v>46152</v>
          </cell>
          <cell r="AB444">
            <v>225.59733611111005</v>
          </cell>
          <cell r="AC444">
            <v>7.5199112037036686</v>
          </cell>
          <cell r="AD444">
            <v>-20</v>
          </cell>
          <cell r="AE444">
            <v>0</v>
          </cell>
          <cell r="AF444">
            <v>0</v>
          </cell>
          <cell r="AG444">
            <v>-1367.1666666666667</v>
          </cell>
          <cell r="AM444" t="str">
            <v>OK</v>
          </cell>
          <cell r="AO444">
            <v>2.878518441358028</v>
          </cell>
          <cell r="AP444">
            <v>-5.121481558641972</v>
          </cell>
          <cell r="AQ444">
            <v>0</v>
          </cell>
          <cell r="AR444">
            <v>2.878518441358028</v>
          </cell>
          <cell r="AS444">
            <v>0</v>
          </cell>
          <cell r="AT444">
            <v>46152</v>
          </cell>
          <cell r="AU444">
            <v>-5.121481558641972</v>
          </cell>
          <cell r="AV444">
            <v>86.355553240740846</v>
          </cell>
          <cell r="AW444">
            <v>-5.121481558641972</v>
          </cell>
          <cell r="AY444">
            <v>91.463691782410024</v>
          </cell>
          <cell r="AZ444" t="str">
            <v>F18</v>
          </cell>
          <cell r="BA444">
            <v>3.77</v>
          </cell>
          <cell r="BB444" t="str">
            <v>NSSC</v>
          </cell>
          <cell r="BC444" t="str">
            <v>F18</v>
          </cell>
        </row>
        <row r="445">
          <cell r="A445" t="str">
            <v>542D1A</v>
          </cell>
          <cell r="B445" t="str">
            <v>3</v>
          </cell>
          <cell r="C445" t="str">
            <v>05</v>
          </cell>
          <cell r="D445">
            <v>19</v>
          </cell>
          <cell r="E445" t="str">
            <v>542D1A</v>
          </cell>
          <cell r="F445">
            <v>5.59</v>
          </cell>
          <cell r="G445">
            <v>4.72</v>
          </cell>
          <cell r="H445">
            <v>4.72</v>
          </cell>
          <cell r="I445" t="str">
            <v>SC</v>
          </cell>
          <cell r="J445" t="str">
            <v>FC</v>
          </cell>
          <cell r="K445">
            <v>8</v>
          </cell>
          <cell r="L445">
            <v>45916</v>
          </cell>
          <cell r="M445">
            <v>45916</v>
          </cell>
          <cell r="N445">
            <v>78</v>
          </cell>
          <cell r="O445" t="str">
            <v>NS</v>
          </cell>
          <cell r="P445" t="str">
            <v/>
          </cell>
          <cell r="Q445">
            <v>46160</v>
          </cell>
          <cell r="R445" t="str">
            <v/>
          </cell>
          <cell r="S445" t="str">
            <v/>
          </cell>
          <cell r="T445" t="str">
            <v/>
          </cell>
          <cell r="U445">
            <v>69641</v>
          </cell>
          <cell r="V445">
            <v>69392</v>
          </cell>
          <cell r="W445">
            <v>45229</v>
          </cell>
          <cell r="X445" t="str">
            <v>Lokasi Produksi 542D1A ( pecahan 542D1 )</v>
          </cell>
          <cell r="Z445">
            <v>8</v>
          </cell>
          <cell r="AA445">
            <v>46160</v>
          </cell>
          <cell r="AB445">
            <v>463.59733611111005</v>
          </cell>
          <cell r="AC445">
            <v>15.453244537037001</v>
          </cell>
          <cell r="AD445">
            <v>1.4532445370370013</v>
          </cell>
          <cell r="AE445">
            <v>14.32</v>
          </cell>
          <cell r="AF445">
            <v>0</v>
          </cell>
          <cell r="AG445">
            <v>-1359.2333333333333</v>
          </cell>
          <cell r="AM445" t="str">
            <v>OK</v>
          </cell>
          <cell r="AO445">
            <v>2.6118517746913614</v>
          </cell>
          <cell r="AP445">
            <v>-5.3881482253086386</v>
          </cell>
          <cell r="AQ445">
            <v>0</v>
          </cell>
          <cell r="AR445">
            <v>2.6118517746913614</v>
          </cell>
          <cell r="AS445">
            <v>0</v>
          </cell>
          <cell r="AT445">
            <v>46160</v>
          </cell>
          <cell r="AU445">
            <v>-5.3881482253086386</v>
          </cell>
          <cell r="AV445">
            <v>78.355553240740846</v>
          </cell>
          <cell r="AW445">
            <v>-5.3881482253086386</v>
          </cell>
          <cell r="AY445">
            <v>83.463691782410024</v>
          </cell>
          <cell r="AZ445" t="str">
            <v>F18</v>
          </cell>
          <cell r="BA445">
            <v>4.72</v>
          </cell>
          <cell r="BB445" t="str">
            <v>NSSC</v>
          </cell>
          <cell r="BC445" t="str">
            <v>F18</v>
          </cell>
        </row>
        <row r="446">
          <cell r="A446" t="str">
            <v>542D1B</v>
          </cell>
          <cell r="B446" t="str">
            <v>3</v>
          </cell>
          <cell r="C446" t="str">
            <v>05</v>
          </cell>
          <cell r="D446">
            <v>19</v>
          </cell>
          <cell r="E446" t="str">
            <v>542D1B</v>
          </cell>
          <cell r="F446">
            <v>4.03</v>
          </cell>
          <cell r="G446">
            <v>3.4</v>
          </cell>
          <cell r="H446">
            <v>3.4</v>
          </cell>
          <cell r="I446" t="str">
            <v>SC</v>
          </cell>
          <cell r="J446" t="str">
            <v>FC</v>
          </cell>
          <cell r="K446">
            <v>8</v>
          </cell>
          <cell r="L446">
            <v>45915</v>
          </cell>
          <cell r="M446">
            <v>45915</v>
          </cell>
          <cell r="N446">
            <v>79</v>
          </cell>
          <cell r="O446" t="str">
            <v>NS</v>
          </cell>
          <cell r="P446" t="str">
            <v/>
          </cell>
          <cell r="Q446">
            <v>46159</v>
          </cell>
          <cell r="R446" t="str">
            <v/>
          </cell>
          <cell r="S446" t="str">
            <v/>
          </cell>
          <cell r="T446" t="str">
            <v/>
          </cell>
          <cell r="U446">
            <v>69478</v>
          </cell>
          <cell r="V446">
            <v>67759</v>
          </cell>
          <cell r="W446">
            <v>45227</v>
          </cell>
          <cell r="X446" t="str">
            <v>Lokasi Produksi 542D1B ( pecahan 542D1 )</v>
          </cell>
          <cell r="Z446">
            <v>8</v>
          </cell>
          <cell r="AA446">
            <v>46159</v>
          </cell>
          <cell r="AB446">
            <v>60.597336111110053</v>
          </cell>
          <cell r="AC446">
            <v>2.0199112037036686</v>
          </cell>
          <cell r="AD446">
            <v>-11.980088796296332</v>
          </cell>
          <cell r="AE446">
            <v>14.96</v>
          </cell>
          <cell r="AF446">
            <v>0</v>
          </cell>
          <cell r="AG446">
            <v>-1372.6666666666667</v>
          </cell>
          <cell r="AM446" t="str">
            <v>OK</v>
          </cell>
          <cell r="AO446">
            <v>2.6451851080246951</v>
          </cell>
          <cell r="AP446">
            <v>-5.3548148919753054</v>
          </cell>
          <cell r="AQ446">
            <v>0</v>
          </cell>
          <cell r="AR446">
            <v>2.6451851080246951</v>
          </cell>
          <cell r="AS446">
            <v>0</v>
          </cell>
          <cell r="AT446">
            <v>46159</v>
          </cell>
          <cell r="AU446">
            <v>-5.3548148919753054</v>
          </cell>
          <cell r="AV446">
            <v>79.355553240740846</v>
          </cell>
          <cell r="AW446">
            <v>-5.3548148919753054</v>
          </cell>
          <cell r="AY446">
            <v>84.463691782410024</v>
          </cell>
          <cell r="AZ446" t="str">
            <v>F18</v>
          </cell>
          <cell r="BA446">
            <v>3.4</v>
          </cell>
          <cell r="BB446" t="str">
            <v>NSSC</v>
          </cell>
          <cell r="BC446" t="str">
            <v>F18</v>
          </cell>
        </row>
        <row r="447">
          <cell r="A447" t="str">
            <v>542D2A</v>
          </cell>
          <cell r="B447" t="str">
            <v>3</v>
          </cell>
          <cell r="C447" t="str">
            <v>05</v>
          </cell>
          <cell r="D447">
            <v>19</v>
          </cell>
          <cell r="E447" t="str">
            <v>542D2A</v>
          </cell>
          <cell r="F447">
            <v>3.48</v>
          </cell>
          <cell r="G447">
            <v>2.88</v>
          </cell>
          <cell r="H447">
            <v>2.88</v>
          </cell>
          <cell r="I447" t="str">
            <v>SC</v>
          </cell>
          <cell r="J447" t="str">
            <v>FC</v>
          </cell>
          <cell r="K447">
            <v>8</v>
          </cell>
          <cell r="L447">
            <v>45842</v>
          </cell>
          <cell r="M447">
            <v>45842</v>
          </cell>
          <cell r="N447">
            <v>152</v>
          </cell>
          <cell r="O447" t="str">
            <v>NS</v>
          </cell>
          <cell r="P447" t="str">
            <v/>
          </cell>
          <cell r="Q447">
            <v>46086</v>
          </cell>
          <cell r="R447" t="str">
            <v/>
          </cell>
          <cell r="S447" t="str">
            <v/>
          </cell>
          <cell r="T447" t="str">
            <v/>
          </cell>
          <cell r="U447">
            <v>70280</v>
          </cell>
          <cell r="V447">
            <v>70946</v>
          </cell>
          <cell r="W447">
            <v>45015</v>
          </cell>
          <cell r="X447" t="str">
            <v>Lokasi Produksi 542D2A ( pecahan 542D2 )</v>
          </cell>
          <cell r="Z447">
            <v>8</v>
          </cell>
          <cell r="AA447">
            <v>46086</v>
          </cell>
          <cell r="AB447">
            <v>5368.5973361111101</v>
          </cell>
          <cell r="AC447">
            <v>178.95324453703699</v>
          </cell>
          <cell r="AD447">
            <v>-20</v>
          </cell>
          <cell r="AE447">
            <v>0</v>
          </cell>
          <cell r="AF447">
            <v>0</v>
          </cell>
          <cell r="AG447">
            <v>-1195.7333333333333</v>
          </cell>
          <cell r="AM447" t="str">
            <v>OK</v>
          </cell>
          <cell r="AO447">
            <v>5.0785184413580282</v>
          </cell>
          <cell r="AP447">
            <v>-2.9214815586419718</v>
          </cell>
          <cell r="AQ447">
            <v>0</v>
          </cell>
          <cell r="AR447">
            <v>5.0785184413580282</v>
          </cell>
          <cell r="AS447">
            <v>0</v>
          </cell>
          <cell r="AT447">
            <v>46086</v>
          </cell>
          <cell r="AU447">
            <v>-2.9214815586419718</v>
          </cell>
          <cell r="AV447">
            <v>152.35555324074085</v>
          </cell>
          <cell r="AW447">
            <v>-2.9214815586419718</v>
          </cell>
          <cell r="AY447">
            <v>157.46369178241002</v>
          </cell>
          <cell r="AZ447" t="str">
            <v>F18</v>
          </cell>
          <cell r="BA447">
            <v>2.88</v>
          </cell>
          <cell r="BB447" t="str">
            <v>NSSC</v>
          </cell>
          <cell r="BC447" t="str">
            <v>F18</v>
          </cell>
        </row>
        <row r="448">
          <cell r="A448" t="str">
            <v>542D2B</v>
          </cell>
          <cell r="B448" t="str">
            <v>3</v>
          </cell>
          <cell r="C448" t="str">
            <v>05</v>
          </cell>
          <cell r="D448">
            <v>19</v>
          </cell>
          <cell r="E448" t="str">
            <v>542D2B</v>
          </cell>
          <cell r="F448">
            <v>8.91</v>
          </cell>
          <cell r="G448">
            <v>7.48</v>
          </cell>
          <cell r="H448">
            <v>7.48</v>
          </cell>
          <cell r="I448" t="str">
            <v>SC</v>
          </cell>
          <cell r="J448" t="str">
            <v>FC</v>
          </cell>
          <cell r="K448">
            <v>8</v>
          </cell>
          <cell r="L448">
            <v>45916</v>
          </cell>
          <cell r="M448">
            <v>45916</v>
          </cell>
          <cell r="N448">
            <v>78</v>
          </cell>
          <cell r="O448" t="str">
            <v>NS</v>
          </cell>
          <cell r="P448" t="str">
            <v/>
          </cell>
          <cell r="Q448">
            <v>46160</v>
          </cell>
          <cell r="R448" t="str">
            <v/>
          </cell>
          <cell r="S448" t="str">
            <v/>
          </cell>
          <cell r="T448" t="str">
            <v/>
          </cell>
          <cell r="U448">
            <v>70123</v>
          </cell>
          <cell r="V448">
            <v>68125</v>
          </cell>
          <cell r="W448">
            <v>45197</v>
          </cell>
          <cell r="X448" t="str">
            <v>Lokasi Produksi 542D2B ( pecahan 542D2 )</v>
          </cell>
          <cell r="Z448">
            <v>8</v>
          </cell>
          <cell r="AA448">
            <v>46160</v>
          </cell>
          <cell r="AB448">
            <v>407.59733611111005</v>
          </cell>
          <cell r="AC448">
            <v>13.586577870370336</v>
          </cell>
          <cell r="AD448">
            <v>-20</v>
          </cell>
          <cell r="AE448">
            <v>0</v>
          </cell>
          <cell r="AF448">
            <v>0</v>
          </cell>
          <cell r="AG448">
            <v>-1361.1</v>
          </cell>
          <cell r="AM448" t="str">
            <v>OK</v>
          </cell>
          <cell r="AO448">
            <v>2.6118517746913614</v>
          </cell>
          <cell r="AP448">
            <v>-5.3881482253086386</v>
          </cell>
          <cell r="AQ448">
            <v>0</v>
          </cell>
          <cell r="AR448">
            <v>2.6118517746913614</v>
          </cell>
          <cell r="AS448">
            <v>0</v>
          </cell>
          <cell r="AT448">
            <v>46160</v>
          </cell>
          <cell r="AU448">
            <v>-5.3881482253086386</v>
          </cell>
          <cell r="AV448">
            <v>78.355553240740846</v>
          </cell>
          <cell r="AW448">
            <v>-5.3881482253086386</v>
          </cell>
          <cell r="AY448">
            <v>83.463691782410024</v>
          </cell>
          <cell r="AZ448" t="str">
            <v>F18</v>
          </cell>
          <cell r="BA448">
            <v>7.48</v>
          </cell>
          <cell r="BB448" t="str">
            <v>NSSC</v>
          </cell>
          <cell r="BC448" t="str">
            <v>F18</v>
          </cell>
        </row>
        <row r="449">
          <cell r="A449" t="str">
            <v>542E</v>
          </cell>
          <cell r="B449" t="str">
            <v>3</v>
          </cell>
          <cell r="C449" t="str">
            <v>05</v>
          </cell>
          <cell r="D449">
            <v>19</v>
          </cell>
          <cell r="E449" t="str">
            <v>542E</v>
          </cell>
          <cell r="F449">
            <v>16.71</v>
          </cell>
          <cell r="G449">
            <v>13.9</v>
          </cell>
          <cell r="H449">
            <v>13.9</v>
          </cell>
          <cell r="I449" t="str">
            <v>FC</v>
          </cell>
          <cell r="J449" t="str">
            <v>ST</v>
          </cell>
          <cell r="K449">
            <v>14</v>
          </cell>
          <cell r="L449">
            <v>45514</v>
          </cell>
          <cell r="M449">
            <v>45514</v>
          </cell>
          <cell r="N449">
            <v>480</v>
          </cell>
          <cell r="O449" t="str">
            <v>NS</v>
          </cell>
          <cell r="P449" t="str">
            <v>NSGP3CK3</v>
          </cell>
          <cell r="Q449">
            <v>45941</v>
          </cell>
          <cell r="R449" t="str">
            <v/>
          </cell>
          <cell r="S449" t="str">
            <v/>
          </cell>
          <cell r="T449">
            <v>45911</v>
          </cell>
          <cell r="U449">
            <v>66438</v>
          </cell>
          <cell r="V449">
            <v>67438</v>
          </cell>
          <cell r="W449">
            <v>45362</v>
          </cell>
          <cell r="X449" t="str">
            <v>Lokasi Produksi 542E</v>
          </cell>
          <cell r="Z449">
            <v>14</v>
          </cell>
          <cell r="AA449">
            <v>45941</v>
          </cell>
          <cell r="AB449">
            <v>5361.5973361111101</v>
          </cell>
          <cell r="AC449">
            <v>178.71991120370367</v>
          </cell>
          <cell r="AD449">
            <v>-20</v>
          </cell>
          <cell r="AE449">
            <v>0</v>
          </cell>
          <cell r="AF449">
            <v>0</v>
          </cell>
          <cell r="AG449">
            <v>-1195.9666666666667</v>
          </cell>
          <cell r="AM449" t="str">
            <v>OK</v>
          </cell>
          <cell r="AO449">
            <v>16.011851774691362</v>
          </cell>
          <cell r="AP449">
            <v>2.0118517746913618</v>
          </cell>
          <cell r="AQ449">
            <v>45911</v>
          </cell>
          <cell r="AR449">
            <v>13.233333333333333</v>
          </cell>
          <cell r="AS449">
            <v>2.7785184413580293</v>
          </cell>
          <cell r="AT449">
            <v>45941</v>
          </cell>
          <cell r="AU449">
            <v>2.7785184413580293</v>
          </cell>
          <cell r="AV449">
            <v>397</v>
          </cell>
          <cell r="AW449">
            <v>2.7785184413580293</v>
          </cell>
          <cell r="AY449">
            <v>485.46369178241002</v>
          </cell>
          <cell r="AZ449" t="str">
            <v>GP3</v>
          </cell>
          <cell r="BA449">
            <v>13.9</v>
          </cell>
          <cell r="BB449" t="str">
            <v>NSFC</v>
          </cell>
          <cell r="BC449" t="str">
            <v>GP3CK</v>
          </cell>
        </row>
        <row r="450">
          <cell r="A450" t="str">
            <v>542F2</v>
          </cell>
          <cell r="B450" t="str">
            <v>3</v>
          </cell>
          <cell r="C450" t="str">
            <v>05</v>
          </cell>
          <cell r="D450">
            <v>19</v>
          </cell>
          <cell r="E450" t="str">
            <v>542F2</v>
          </cell>
          <cell r="F450">
            <v>16.899999999999999</v>
          </cell>
          <cell r="G450">
            <v>13.58</v>
          </cell>
          <cell r="H450">
            <v>13.58</v>
          </cell>
          <cell r="I450" t="str">
            <v>BB</v>
          </cell>
          <cell r="J450" t="str">
            <v>FC</v>
          </cell>
          <cell r="K450">
            <v>0</v>
          </cell>
          <cell r="L450">
            <v>45980</v>
          </cell>
          <cell r="M450">
            <v>45980</v>
          </cell>
          <cell r="N450">
            <v>14</v>
          </cell>
          <cell r="O450" t="str">
            <v>NS</v>
          </cell>
          <cell r="P450" t="str">
            <v/>
          </cell>
          <cell r="Q450">
            <v>45980</v>
          </cell>
          <cell r="R450" t="str">
            <v/>
          </cell>
          <cell r="S450" t="str">
            <v/>
          </cell>
          <cell r="T450" t="str">
            <v/>
          </cell>
          <cell r="U450">
            <v>70215</v>
          </cell>
          <cell r="V450">
            <v>67259</v>
          </cell>
          <cell r="W450" t="str">
            <v/>
          </cell>
          <cell r="X450" t="str">
            <v>Lokasi Produksi 542F2 ( pecahan 542F )</v>
          </cell>
          <cell r="Z450">
            <v>0</v>
          </cell>
          <cell r="AA450">
            <v>45980</v>
          </cell>
          <cell r="AB450">
            <v>1426.5973361111101</v>
          </cell>
          <cell r="AC450">
            <v>47.553244537037003</v>
          </cell>
          <cell r="AD450">
            <v>-20</v>
          </cell>
          <cell r="AE450">
            <v>0</v>
          </cell>
          <cell r="AF450">
            <v>0</v>
          </cell>
          <cell r="AG450">
            <v>-1327.1333333333334</v>
          </cell>
          <cell r="AM450" t="str">
            <v>OK</v>
          </cell>
          <cell r="AO450">
            <v>0.47851844135802823</v>
          </cell>
          <cell r="AP450">
            <v>0.47851844135802823</v>
          </cell>
          <cell r="AQ450">
            <v>0</v>
          </cell>
          <cell r="AR450">
            <v>0.47851844135802823</v>
          </cell>
          <cell r="AS450">
            <v>0</v>
          </cell>
          <cell r="AT450">
            <v>45980</v>
          </cell>
          <cell r="AU450">
            <v>0.47851844135802823</v>
          </cell>
          <cell r="AV450">
            <v>14.355553240740846</v>
          </cell>
          <cell r="AW450">
            <v>0.47851844135802823</v>
          </cell>
          <cell r="AY450">
            <v>19.463691782410024</v>
          </cell>
          <cell r="AZ450" t="str">
            <v>F18</v>
          </cell>
          <cell r="BA450">
            <v>0</v>
          </cell>
          <cell r="BB450" t="str">
            <v>NSBB</v>
          </cell>
          <cell r="BC450" t="str">
            <v>F18</v>
          </cell>
        </row>
        <row r="451">
          <cell r="A451" t="str">
            <v>542F3</v>
          </cell>
          <cell r="B451" t="str">
            <v>3</v>
          </cell>
          <cell r="C451" t="str">
            <v>05</v>
          </cell>
          <cell r="D451">
            <v>19</v>
          </cell>
          <cell r="E451" t="str">
            <v>542F3</v>
          </cell>
          <cell r="F451">
            <v>7.83</v>
          </cell>
          <cell r="G451">
            <v>6.09</v>
          </cell>
          <cell r="H451">
            <v>6.09</v>
          </cell>
          <cell r="I451" t="str">
            <v>BB</v>
          </cell>
          <cell r="J451" t="str">
            <v>FC</v>
          </cell>
          <cell r="K451">
            <v>0</v>
          </cell>
          <cell r="L451">
            <v>45734</v>
          </cell>
          <cell r="M451">
            <v>45734</v>
          </cell>
          <cell r="N451">
            <v>260</v>
          </cell>
          <cell r="O451" t="str">
            <v>NS</v>
          </cell>
          <cell r="P451" t="str">
            <v/>
          </cell>
          <cell r="Q451">
            <v>45734</v>
          </cell>
          <cell r="R451" t="str">
            <v/>
          </cell>
          <cell r="S451" t="str">
            <v/>
          </cell>
          <cell r="T451" t="str">
            <v/>
          </cell>
          <cell r="U451">
            <v>68127</v>
          </cell>
          <cell r="V451">
            <v>69308</v>
          </cell>
          <cell r="W451">
            <v>44027</v>
          </cell>
          <cell r="X451" t="str">
            <v>Lokasi Produksi 542F3 ( pecahan 542F1 )</v>
          </cell>
          <cell r="Z451">
            <v>0</v>
          </cell>
          <cell r="AA451">
            <v>45734</v>
          </cell>
          <cell r="AB451">
            <v>665.59733611111005</v>
          </cell>
          <cell r="AC451">
            <v>22.186577870370336</v>
          </cell>
          <cell r="AD451">
            <v>-20</v>
          </cell>
          <cell r="AE451">
            <v>0</v>
          </cell>
          <cell r="AF451">
            <v>0</v>
          </cell>
          <cell r="AG451">
            <v>-1352.5</v>
          </cell>
          <cell r="AM451" t="str">
            <v>OK</v>
          </cell>
          <cell r="AO451">
            <v>8.6785184413580279</v>
          </cell>
          <cell r="AP451">
            <v>8.6785184413580279</v>
          </cell>
          <cell r="AQ451">
            <v>0</v>
          </cell>
          <cell r="AR451">
            <v>8.6785184413580279</v>
          </cell>
          <cell r="AS451">
            <v>0</v>
          </cell>
          <cell r="AT451">
            <v>45734</v>
          </cell>
          <cell r="AU451">
            <v>8.6785184413580279</v>
          </cell>
          <cell r="AV451">
            <v>260.35555324074085</v>
          </cell>
          <cell r="AW451">
            <v>8.6785184413580279</v>
          </cell>
          <cell r="AY451">
            <v>265.46369178241002</v>
          </cell>
          <cell r="AZ451" t="str">
            <v>F18</v>
          </cell>
          <cell r="BA451">
            <v>0</v>
          </cell>
          <cell r="BB451" t="str">
            <v>NSBB</v>
          </cell>
          <cell r="BC451" t="str">
            <v>F18</v>
          </cell>
        </row>
        <row r="452">
          <cell r="A452" t="str">
            <v>542F4</v>
          </cell>
          <cell r="B452" t="str">
            <v>3</v>
          </cell>
          <cell r="C452" t="str">
            <v>05</v>
          </cell>
          <cell r="D452">
            <v>19</v>
          </cell>
          <cell r="E452" t="str">
            <v>542F4</v>
          </cell>
          <cell r="F452">
            <v>3.08</v>
          </cell>
          <cell r="G452">
            <v>2.4700000000000002</v>
          </cell>
          <cell r="H452">
            <v>2.4700000000000002</v>
          </cell>
          <cell r="I452" t="str">
            <v>FC</v>
          </cell>
          <cell r="J452" t="str">
            <v>ST</v>
          </cell>
          <cell r="K452">
            <v>0</v>
          </cell>
          <cell r="L452">
            <v>45621</v>
          </cell>
          <cell r="M452">
            <v>45621</v>
          </cell>
          <cell r="N452">
            <v>373</v>
          </cell>
          <cell r="O452" t="str">
            <v>SK</v>
          </cell>
          <cell r="P452" t="str">
            <v/>
          </cell>
          <cell r="Q452">
            <v>45621</v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>
            <v>74237</v>
          </cell>
          <cell r="W452" t="str">
            <v/>
          </cell>
          <cell r="X452" t="str">
            <v>Lokasi Produksi 542F4 ( pecahan 542F1 )</v>
          </cell>
          <cell r="Z452">
            <v>0</v>
          </cell>
          <cell r="AA452">
            <v>45621</v>
          </cell>
          <cell r="AB452">
            <v>288.59733611111005</v>
          </cell>
          <cell r="AC452">
            <v>9.6199112037036691</v>
          </cell>
          <cell r="AD452">
            <v>-4.3800887962963309</v>
          </cell>
          <cell r="AE452">
            <v>20.28</v>
          </cell>
          <cell r="AF452">
            <v>0</v>
          </cell>
          <cell r="AG452">
            <v>-1365.0666666666666</v>
          </cell>
          <cell r="AM452" t="str">
            <v>OK</v>
          </cell>
          <cell r="AO452">
            <v>12.445185108024695</v>
          </cell>
          <cell r="AP452">
            <v>12.445185108024695</v>
          </cell>
          <cell r="AQ452">
            <v>0</v>
          </cell>
          <cell r="AR452">
            <v>12.445185108024695</v>
          </cell>
          <cell r="AS452">
            <v>0</v>
          </cell>
          <cell r="AT452">
            <v>45621</v>
          </cell>
          <cell r="AU452">
            <v>12.445185108024695</v>
          </cell>
          <cell r="AV452">
            <v>373.35555324074085</v>
          </cell>
          <cell r="AW452">
            <v>12.445185108024695</v>
          </cell>
          <cell r="AY452">
            <v>378.46369178241002</v>
          </cell>
          <cell r="AZ452" t="str">
            <v>F18</v>
          </cell>
          <cell r="BA452">
            <v>0</v>
          </cell>
          <cell r="BB452" t="str">
            <v>SKFC</v>
          </cell>
          <cell r="BC452" t="str">
            <v>F18</v>
          </cell>
        </row>
        <row r="453">
          <cell r="A453" t="str">
            <v>542F4S</v>
          </cell>
          <cell r="B453" t="str">
            <v>3</v>
          </cell>
          <cell r="C453" t="str">
            <v>05</v>
          </cell>
          <cell r="D453">
            <v>19</v>
          </cell>
          <cell r="E453" t="str">
            <v>542F4S</v>
          </cell>
          <cell r="F453">
            <v>0.36</v>
          </cell>
          <cell r="G453">
            <v>0.36</v>
          </cell>
          <cell r="H453">
            <v>0.36</v>
          </cell>
          <cell r="I453" t="str">
            <v>FC</v>
          </cell>
          <cell r="J453" t="str">
            <v>ST</v>
          </cell>
          <cell r="K453">
            <v>0</v>
          </cell>
          <cell r="L453">
            <v>45824</v>
          </cell>
          <cell r="M453">
            <v>45824</v>
          </cell>
          <cell r="N453">
            <v>170</v>
          </cell>
          <cell r="O453" t="str">
            <v>SK</v>
          </cell>
          <cell r="P453" t="str">
            <v/>
          </cell>
          <cell r="Q453">
            <v>45824</v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>
            <v>74237</v>
          </cell>
          <cell r="W453" t="str">
            <v/>
          </cell>
          <cell r="X453" t="str">
            <v>Lokasi Produksi 542F4S ( singkong )</v>
          </cell>
          <cell r="Z453">
            <v>0</v>
          </cell>
          <cell r="AA453">
            <v>45824</v>
          </cell>
          <cell r="AB453">
            <v>272.59733611111005</v>
          </cell>
          <cell r="AC453">
            <v>9.0865778703703359</v>
          </cell>
          <cell r="AD453">
            <v>-6.9134221296296641</v>
          </cell>
          <cell r="AE453">
            <v>15.93</v>
          </cell>
          <cell r="AF453">
            <v>0</v>
          </cell>
          <cell r="AG453">
            <v>-1365.6</v>
          </cell>
          <cell r="AM453" t="str">
            <v>OK</v>
          </cell>
          <cell r="AO453">
            <v>5.6785184413580279</v>
          </cell>
          <cell r="AP453">
            <v>5.6785184413580279</v>
          </cell>
          <cell r="AQ453">
            <v>0</v>
          </cell>
          <cell r="AR453">
            <v>5.6785184413580279</v>
          </cell>
          <cell r="AS453">
            <v>0</v>
          </cell>
          <cell r="AT453">
            <v>45824</v>
          </cell>
          <cell r="AU453">
            <v>5.6785184413580279</v>
          </cell>
          <cell r="AV453">
            <v>170.35555324074085</v>
          </cell>
          <cell r="AW453">
            <v>5.6785184413580279</v>
          </cell>
          <cell r="AY453">
            <v>175.46369178241002</v>
          </cell>
          <cell r="AZ453" t="str">
            <v>F18</v>
          </cell>
          <cell r="BA453">
            <v>0</v>
          </cell>
          <cell r="BB453" t="str">
            <v>SKFC</v>
          </cell>
          <cell r="BC453" t="str">
            <v>F18</v>
          </cell>
        </row>
        <row r="454">
          <cell r="A454" t="str">
            <v>542G</v>
          </cell>
          <cell r="B454" t="str">
            <v>3</v>
          </cell>
          <cell r="C454" t="str">
            <v>05</v>
          </cell>
          <cell r="D454">
            <v>19</v>
          </cell>
          <cell r="E454" t="str">
            <v>542G</v>
          </cell>
          <cell r="F454">
            <v>16.510000000000002</v>
          </cell>
          <cell r="G454">
            <v>13.59</v>
          </cell>
          <cell r="H454">
            <v>13.59</v>
          </cell>
          <cell r="I454" t="str">
            <v>FC</v>
          </cell>
          <cell r="J454" t="str">
            <v>ST</v>
          </cell>
          <cell r="K454">
            <v>14</v>
          </cell>
          <cell r="L454">
            <v>45695</v>
          </cell>
          <cell r="M454">
            <v>45695</v>
          </cell>
          <cell r="N454">
            <v>299</v>
          </cell>
          <cell r="O454" t="str">
            <v>NS</v>
          </cell>
          <cell r="P454" t="str">
            <v>NSF18CK3</v>
          </cell>
          <cell r="Q454">
            <v>46122</v>
          </cell>
          <cell r="R454" t="str">
            <v/>
          </cell>
          <cell r="S454" t="str">
            <v/>
          </cell>
          <cell r="T454" t="str">
            <v/>
          </cell>
          <cell r="U454">
            <v>67153</v>
          </cell>
          <cell r="V454">
            <v>67721</v>
          </cell>
          <cell r="W454">
            <v>43721</v>
          </cell>
          <cell r="X454" t="str">
            <v>Lokasi Produksi 542G</v>
          </cell>
          <cell r="Z454">
            <v>14</v>
          </cell>
          <cell r="AA454">
            <v>46122</v>
          </cell>
          <cell r="AB454">
            <v>76.597336111110053</v>
          </cell>
          <cell r="AC454">
            <v>2.5532445370370018</v>
          </cell>
          <cell r="AD454">
            <v>-9.4467554629629973</v>
          </cell>
          <cell r="AE454">
            <v>4.3499999999999996</v>
          </cell>
          <cell r="AF454">
            <v>0</v>
          </cell>
          <cell r="AG454">
            <v>-1372.1333333333334</v>
          </cell>
          <cell r="AK454">
            <v>40390</v>
          </cell>
          <cell r="AM454" t="str">
            <v>OK</v>
          </cell>
          <cell r="AO454">
            <v>9.9785184413580286</v>
          </cell>
          <cell r="AP454">
            <v>-4.0214815586419714</v>
          </cell>
          <cell r="AQ454">
            <v>0</v>
          </cell>
          <cell r="AR454">
            <v>9.9785184413580286</v>
          </cell>
          <cell r="AS454">
            <v>0</v>
          </cell>
          <cell r="AT454">
            <v>46122</v>
          </cell>
          <cell r="AU454">
            <v>-4.0214815586419714</v>
          </cell>
          <cell r="AV454">
            <v>299.35555324074085</v>
          </cell>
          <cell r="AW454">
            <v>-4.0214815586419714</v>
          </cell>
          <cell r="AY454">
            <v>304.46369178241002</v>
          </cell>
          <cell r="AZ454" t="str">
            <v>F18</v>
          </cell>
          <cell r="BA454">
            <v>13.59</v>
          </cell>
          <cell r="BB454" t="str">
            <v>NSFC</v>
          </cell>
          <cell r="BC454" t="str">
            <v>F18CK</v>
          </cell>
        </row>
        <row r="455">
          <cell r="A455" t="str">
            <v>542I1</v>
          </cell>
          <cell r="B455" t="str">
            <v>3</v>
          </cell>
          <cell r="C455" t="str">
            <v>05</v>
          </cell>
          <cell r="D455">
            <v>19</v>
          </cell>
          <cell r="E455" t="str">
            <v>542I1</v>
          </cell>
          <cell r="F455">
            <v>5.26</v>
          </cell>
          <cell r="G455">
            <v>4.38</v>
          </cell>
          <cell r="H455">
            <v>4.38</v>
          </cell>
          <cell r="I455" t="str">
            <v>BB</v>
          </cell>
          <cell r="J455" t="str">
            <v>FC</v>
          </cell>
          <cell r="K455">
            <v>0</v>
          </cell>
          <cell r="L455">
            <v>45919</v>
          </cell>
          <cell r="M455">
            <v>45919</v>
          </cell>
          <cell r="N455">
            <v>75</v>
          </cell>
          <cell r="O455" t="str">
            <v>NS</v>
          </cell>
          <cell r="P455" t="str">
            <v/>
          </cell>
          <cell r="Q455">
            <v>45919</v>
          </cell>
          <cell r="R455" t="str">
            <v/>
          </cell>
          <cell r="S455" t="str">
            <v/>
          </cell>
          <cell r="T455" t="str">
            <v/>
          </cell>
          <cell r="U455">
            <v>65724</v>
          </cell>
          <cell r="V455">
            <v>65616</v>
          </cell>
          <cell r="W455">
            <v>44864</v>
          </cell>
          <cell r="X455" t="str">
            <v>Lokasi Produksi 542I1 ( pecahan 542I )</v>
          </cell>
          <cell r="Z455">
            <v>0</v>
          </cell>
          <cell r="AA455">
            <v>45919</v>
          </cell>
          <cell r="AB455">
            <v>385.59733611111005</v>
          </cell>
          <cell r="AC455">
            <v>12.853244537037002</v>
          </cell>
          <cell r="AD455">
            <v>-1.1467554629629984</v>
          </cell>
          <cell r="AE455">
            <v>12.21</v>
          </cell>
          <cell r="AF455">
            <v>0</v>
          </cell>
          <cell r="AG455">
            <v>-1361.8333333333333</v>
          </cell>
          <cell r="AM455" t="str">
            <v>OK</v>
          </cell>
          <cell r="AO455">
            <v>2.5118517746913613</v>
          </cell>
          <cell r="AP455">
            <v>2.5118517746913613</v>
          </cell>
          <cell r="AQ455">
            <v>0</v>
          </cell>
          <cell r="AR455">
            <v>2.5118517746913613</v>
          </cell>
          <cell r="AS455">
            <v>0</v>
          </cell>
          <cell r="AT455">
            <v>45919</v>
          </cell>
          <cell r="AU455">
            <v>2.5118517746913613</v>
          </cell>
          <cell r="AV455">
            <v>75.355553240740846</v>
          </cell>
          <cell r="AW455">
            <v>2.5118517746913613</v>
          </cell>
          <cell r="AY455">
            <v>80.463691782410024</v>
          </cell>
          <cell r="AZ455" t="str">
            <v>F18</v>
          </cell>
          <cell r="BA455">
            <v>0</v>
          </cell>
          <cell r="BB455" t="str">
            <v>NSBB</v>
          </cell>
          <cell r="BC455" t="str">
            <v>F18</v>
          </cell>
        </row>
        <row r="456">
          <cell r="A456" t="str">
            <v>542I2</v>
          </cell>
          <cell r="B456" t="str">
            <v>3</v>
          </cell>
          <cell r="C456" t="str">
            <v>05</v>
          </cell>
          <cell r="D456">
            <v>19</v>
          </cell>
          <cell r="E456" t="str">
            <v>542I2</v>
          </cell>
          <cell r="F456">
            <v>6.46</v>
          </cell>
          <cell r="G456">
            <v>5.36</v>
          </cell>
          <cell r="H456">
            <v>5.36</v>
          </cell>
          <cell r="I456" t="str">
            <v>BB</v>
          </cell>
          <cell r="J456" t="str">
            <v>FC</v>
          </cell>
          <cell r="K456">
            <v>0</v>
          </cell>
          <cell r="L456">
            <v>45919</v>
          </cell>
          <cell r="M456">
            <v>45919</v>
          </cell>
          <cell r="N456">
            <v>75</v>
          </cell>
          <cell r="O456" t="str">
            <v>NS</v>
          </cell>
          <cell r="P456" t="str">
            <v/>
          </cell>
          <cell r="Q456">
            <v>45919</v>
          </cell>
          <cell r="R456" t="str">
            <v/>
          </cell>
          <cell r="S456" t="str">
            <v/>
          </cell>
          <cell r="T456" t="str">
            <v/>
          </cell>
          <cell r="U456">
            <v>65123</v>
          </cell>
          <cell r="V456">
            <v>65765</v>
          </cell>
          <cell r="W456">
            <v>44864</v>
          </cell>
          <cell r="X456" t="str">
            <v>Lokasi Produksi 542I2 ( pecahan 542I )</v>
          </cell>
          <cell r="Z456">
            <v>0</v>
          </cell>
          <cell r="AA456">
            <v>45919</v>
          </cell>
          <cell r="AB456">
            <v>329.59733611111005</v>
          </cell>
          <cell r="AC456">
            <v>10.986577870370335</v>
          </cell>
          <cell r="AD456">
            <v>-3.0134221296296655</v>
          </cell>
          <cell r="AE456">
            <v>9.4700000000000006</v>
          </cell>
          <cell r="AF456">
            <v>0</v>
          </cell>
          <cell r="AG456">
            <v>-1363.7</v>
          </cell>
          <cell r="AM456" t="str">
            <v>OK</v>
          </cell>
          <cell r="AO456">
            <v>2.5118517746913613</v>
          </cell>
          <cell r="AP456">
            <v>2.5118517746913613</v>
          </cell>
          <cell r="AQ456">
            <v>0</v>
          </cell>
          <cell r="AR456">
            <v>2.5118517746913613</v>
          </cell>
          <cell r="AS456">
            <v>0</v>
          </cell>
          <cell r="AT456">
            <v>45919</v>
          </cell>
          <cell r="AU456">
            <v>2.5118517746913613</v>
          </cell>
          <cell r="AV456">
            <v>75.355553240740846</v>
          </cell>
          <cell r="AW456">
            <v>2.5118517746913613</v>
          </cell>
          <cell r="AY456">
            <v>80.463691782410024</v>
          </cell>
          <cell r="AZ456" t="str">
            <v>F18</v>
          </cell>
          <cell r="BA456">
            <v>0</v>
          </cell>
          <cell r="BB456" t="str">
            <v>NSBB</v>
          </cell>
          <cell r="BC456" t="str">
            <v>F18</v>
          </cell>
        </row>
        <row r="457">
          <cell r="A457" t="str">
            <v>542SS</v>
          </cell>
          <cell r="B457" t="str">
            <v>3</v>
          </cell>
          <cell r="C457" t="str">
            <v>05</v>
          </cell>
          <cell r="D457">
            <v>19</v>
          </cell>
          <cell r="E457" t="str">
            <v>542SS</v>
          </cell>
          <cell r="F457">
            <v>0.56999999999999995</v>
          </cell>
          <cell r="G457">
            <v>0.56999999999999995</v>
          </cell>
          <cell r="H457">
            <v>0.56999999999999995</v>
          </cell>
          <cell r="I457" t="str">
            <v>FC</v>
          </cell>
          <cell r="J457" t="str">
            <v>ST</v>
          </cell>
          <cell r="K457">
            <v>0</v>
          </cell>
          <cell r="L457">
            <v>45784</v>
          </cell>
          <cell r="M457">
            <v>45784</v>
          </cell>
          <cell r="N457">
            <v>210</v>
          </cell>
          <cell r="O457" t="str">
            <v>SK</v>
          </cell>
          <cell r="P457" t="str">
            <v/>
          </cell>
          <cell r="Q457">
            <v>45784</v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>Lokasi Produksi 542SS ( singkong )</v>
          </cell>
          <cell r="Z457">
            <v>0</v>
          </cell>
          <cell r="AA457">
            <v>45784</v>
          </cell>
          <cell r="AB457">
            <v>312.59733611111005</v>
          </cell>
          <cell r="AC457">
            <v>10.419911203703668</v>
          </cell>
          <cell r="AD457">
            <v>-1.5800887962963319</v>
          </cell>
          <cell r="AE457">
            <v>24.86</v>
          </cell>
          <cell r="AF457">
            <v>0</v>
          </cell>
          <cell r="AG457">
            <v>-1364.2666666666667</v>
          </cell>
          <cell r="AK457">
            <v>40320</v>
          </cell>
          <cell r="AM457" t="str">
            <v>OK</v>
          </cell>
          <cell r="AO457">
            <v>7.0118517746913618</v>
          </cell>
          <cell r="AP457">
            <v>7.0118517746913618</v>
          </cell>
          <cell r="AQ457">
            <v>0</v>
          </cell>
          <cell r="AR457">
            <v>7.0118517746913618</v>
          </cell>
          <cell r="AS457">
            <v>0</v>
          </cell>
          <cell r="AT457">
            <v>45784</v>
          </cell>
          <cell r="AU457">
            <v>7.0118517746913618</v>
          </cell>
          <cell r="AV457">
            <v>210.35555324074085</v>
          </cell>
          <cell r="AW457">
            <v>7.0118517746913618</v>
          </cell>
          <cell r="AY457">
            <v>215.46369178241002</v>
          </cell>
          <cell r="AZ457" t="str">
            <v>F18</v>
          </cell>
          <cell r="BA457">
            <v>0</v>
          </cell>
          <cell r="BB457" t="str">
            <v>SKFC</v>
          </cell>
          <cell r="BC457" t="str">
            <v>F18</v>
          </cell>
        </row>
        <row r="458">
          <cell r="A458" t="str">
            <v>543A1A</v>
          </cell>
          <cell r="B458" t="str">
            <v>3</v>
          </cell>
          <cell r="C458" t="str">
            <v>05</v>
          </cell>
          <cell r="D458">
            <v>19</v>
          </cell>
          <cell r="E458" t="str">
            <v>543A1A</v>
          </cell>
          <cell r="F458">
            <v>6.89</v>
          </cell>
          <cell r="G458">
            <v>5.89</v>
          </cell>
          <cell r="H458">
            <v>5.89</v>
          </cell>
          <cell r="I458" t="str">
            <v>SC</v>
          </cell>
          <cell r="J458" t="str">
            <v>FC</v>
          </cell>
          <cell r="K458">
            <v>8</v>
          </cell>
          <cell r="L458">
            <v>45930</v>
          </cell>
          <cell r="M458">
            <v>45930</v>
          </cell>
          <cell r="N458">
            <v>64</v>
          </cell>
          <cell r="O458" t="str">
            <v>NS</v>
          </cell>
          <cell r="P458" t="str">
            <v/>
          </cell>
          <cell r="Q458">
            <v>46174</v>
          </cell>
          <cell r="R458" t="str">
            <v/>
          </cell>
          <cell r="S458" t="str">
            <v/>
          </cell>
          <cell r="T458" t="str">
            <v/>
          </cell>
          <cell r="U458">
            <v>70193</v>
          </cell>
          <cell r="V458">
            <v>68930</v>
          </cell>
          <cell r="W458">
            <v>45199</v>
          </cell>
          <cell r="X458" t="str">
            <v>Lokasi Produksi 543A1A ( pecahan 543A1 )</v>
          </cell>
          <cell r="Z458">
            <v>8</v>
          </cell>
          <cell r="AA458">
            <v>46174</v>
          </cell>
          <cell r="AB458">
            <v>272.59733611111005</v>
          </cell>
          <cell r="AC458">
            <v>9.0865778703703359</v>
          </cell>
          <cell r="AD458">
            <v>-4.9134221296296641</v>
          </cell>
          <cell r="AE458">
            <v>30.33</v>
          </cell>
          <cell r="AF458">
            <v>0</v>
          </cell>
          <cell r="AG458">
            <v>-1365.6</v>
          </cell>
          <cell r="AM458" t="str">
            <v>OK</v>
          </cell>
          <cell r="AO458">
            <v>2.1451851080246951</v>
          </cell>
          <cell r="AP458">
            <v>-5.8548148919753054</v>
          </cell>
          <cell r="AQ458">
            <v>0</v>
          </cell>
          <cell r="AR458">
            <v>2.1451851080246951</v>
          </cell>
          <cell r="AS458">
            <v>0</v>
          </cell>
          <cell r="AT458">
            <v>46174</v>
          </cell>
          <cell r="AU458">
            <v>-5.8548148919753054</v>
          </cell>
          <cell r="AV458">
            <v>64.355553240740846</v>
          </cell>
          <cell r="AW458">
            <v>-5.8548148919753054</v>
          </cell>
          <cell r="AY458">
            <v>69.463691782410024</v>
          </cell>
          <cell r="AZ458" t="str">
            <v>F18</v>
          </cell>
          <cell r="BA458">
            <v>5.89</v>
          </cell>
          <cell r="BB458" t="str">
            <v>NSSC</v>
          </cell>
          <cell r="BC458" t="str">
            <v>F18</v>
          </cell>
        </row>
        <row r="459">
          <cell r="A459" t="str">
            <v>543A1B</v>
          </cell>
          <cell r="B459" t="str">
            <v>3</v>
          </cell>
          <cell r="C459" t="str">
            <v>05</v>
          </cell>
          <cell r="D459">
            <v>19</v>
          </cell>
          <cell r="E459" t="str">
            <v>543A1B</v>
          </cell>
          <cell r="F459">
            <v>6.59</v>
          </cell>
          <cell r="G459">
            <v>5.6</v>
          </cell>
          <cell r="H459">
            <v>5.6</v>
          </cell>
          <cell r="I459" t="str">
            <v>SC</v>
          </cell>
          <cell r="J459" t="str">
            <v>FC</v>
          </cell>
          <cell r="K459">
            <v>8</v>
          </cell>
          <cell r="L459">
            <v>45930</v>
          </cell>
          <cell r="M459">
            <v>45930</v>
          </cell>
          <cell r="N459">
            <v>64</v>
          </cell>
          <cell r="O459" t="str">
            <v>NS</v>
          </cell>
          <cell r="P459" t="str">
            <v/>
          </cell>
          <cell r="Q459">
            <v>46174</v>
          </cell>
          <cell r="R459" t="str">
            <v/>
          </cell>
          <cell r="S459" t="str">
            <v/>
          </cell>
          <cell r="T459" t="str">
            <v/>
          </cell>
          <cell r="U459">
            <v>67705</v>
          </cell>
          <cell r="V459">
            <v>68332</v>
          </cell>
          <cell r="W459">
            <v>45199</v>
          </cell>
          <cell r="X459" t="str">
            <v>Lokasi Produksi 543A1B ( pecahan 543A1 )</v>
          </cell>
          <cell r="Z459">
            <v>8</v>
          </cell>
          <cell r="AA459">
            <v>46174</v>
          </cell>
          <cell r="AB459">
            <v>240.59733611111005</v>
          </cell>
          <cell r="AC459">
            <v>8.0199112037036677</v>
          </cell>
          <cell r="AD459">
            <v>-5.9800887962963323</v>
          </cell>
          <cell r="AE459">
            <v>17.07</v>
          </cell>
          <cell r="AF459">
            <v>0</v>
          </cell>
          <cell r="AG459">
            <v>-1366.6666666666667</v>
          </cell>
          <cell r="AM459" t="str">
            <v>OK</v>
          </cell>
          <cell r="AO459">
            <v>2.1451851080246951</v>
          </cell>
          <cell r="AP459">
            <v>-5.8548148919753054</v>
          </cell>
          <cell r="AQ459">
            <v>0</v>
          </cell>
          <cell r="AR459">
            <v>2.1451851080246951</v>
          </cell>
          <cell r="AS459">
            <v>0</v>
          </cell>
          <cell r="AT459">
            <v>46174</v>
          </cell>
          <cell r="AU459">
            <v>-5.8548148919753054</v>
          </cell>
          <cell r="AV459">
            <v>64.355553240740846</v>
          </cell>
          <cell r="AW459">
            <v>-5.8548148919753054</v>
          </cell>
          <cell r="AY459">
            <v>69.463691782410024</v>
          </cell>
          <cell r="AZ459" t="str">
            <v>F18</v>
          </cell>
          <cell r="BA459">
            <v>5.6</v>
          </cell>
          <cell r="BB459" t="str">
            <v>NSSC</v>
          </cell>
          <cell r="BC459" t="str">
            <v>F18</v>
          </cell>
        </row>
        <row r="460">
          <cell r="A460" t="str">
            <v>543A2A</v>
          </cell>
          <cell r="B460" t="str">
            <v>3</v>
          </cell>
          <cell r="C460" t="str">
            <v>05</v>
          </cell>
          <cell r="D460">
            <v>19</v>
          </cell>
          <cell r="E460" t="str">
            <v>543A2A</v>
          </cell>
          <cell r="F460">
            <v>6.83</v>
          </cell>
          <cell r="G460">
            <v>5.86</v>
          </cell>
          <cell r="H460">
            <v>5.86</v>
          </cell>
          <cell r="I460" t="str">
            <v>SC</v>
          </cell>
          <cell r="J460" t="str">
            <v>FC</v>
          </cell>
          <cell r="K460">
            <v>8</v>
          </cell>
          <cell r="L460">
            <v>45921</v>
          </cell>
          <cell r="M460">
            <v>45921</v>
          </cell>
          <cell r="N460">
            <v>73</v>
          </cell>
          <cell r="O460" t="str">
            <v>NS</v>
          </cell>
          <cell r="P460" t="str">
            <v/>
          </cell>
          <cell r="Q460">
            <v>46165</v>
          </cell>
          <cell r="R460" t="str">
            <v/>
          </cell>
          <cell r="S460" t="str">
            <v/>
          </cell>
          <cell r="T460" t="str">
            <v/>
          </cell>
          <cell r="U460">
            <v>69698</v>
          </cell>
          <cell r="V460">
            <v>69577</v>
          </cell>
          <cell r="W460">
            <v>45229</v>
          </cell>
          <cell r="X460" t="str">
            <v>Lokasi Produksi 543A2A ( pecahan 543A2 )</v>
          </cell>
          <cell r="Z460">
            <v>8</v>
          </cell>
          <cell r="AA460">
            <v>46165</v>
          </cell>
          <cell r="AB460">
            <v>286.59733611111005</v>
          </cell>
          <cell r="AC460">
            <v>9.5532445370370009</v>
          </cell>
          <cell r="AD460">
            <v>-2.4467554629629991</v>
          </cell>
          <cell r="AE460">
            <v>19.86</v>
          </cell>
          <cell r="AF460">
            <v>0</v>
          </cell>
          <cell r="AG460">
            <v>-1365.1333333333334</v>
          </cell>
          <cell r="AM460" t="str">
            <v>OK</v>
          </cell>
          <cell r="AO460">
            <v>2.4451851080246949</v>
          </cell>
          <cell r="AP460">
            <v>-5.5548148919753046</v>
          </cell>
          <cell r="AQ460">
            <v>0</v>
          </cell>
          <cell r="AR460">
            <v>2.4451851080246949</v>
          </cell>
          <cell r="AS460">
            <v>0</v>
          </cell>
          <cell r="AT460">
            <v>46165</v>
          </cell>
          <cell r="AU460">
            <v>-5.5548148919753046</v>
          </cell>
          <cell r="AV460">
            <v>73.355553240740846</v>
          </cell>
          <cell r="AW460">
            <v>-5.5548148919753046</v>
          </cell>
          <cell r="AY460">
            <v>78.463691782410024</v>
          </cell>
          <cell r="AZ460" t="str">
            <v>F18</v>
          </cell>
          <cell r="BA460">
            <v>5.86</v>
          </cell>
          <cell r="BB460" t="str">
            <v>NSSC</v>
          </cell>
          <cell r="BC460" t="str">
            <v>F18</v>
          </cell>
        </row>
        <row r="461">
          <cell r="A461" t="str">
            <v>543A2B</v>
          </cell>
          <cell r="B461" t="str">
            <v>3</v>
          </cell>
          <cell r="C461" t="str">
            <v>05</v>
          </cell>
          <cell r="D461">
            <v>19</v>
          </cell>
          <cell r="E461" t="str">
            <v>543A2B</v>
          </cell>
          <cell r="F461">
            <v>5.41</v>
          </cell>
          <cell r="G461">
            <v>4.6900000000000004</v>
          </cell>
          <cell r="H461">
            <v>4.6900000000000004</v>
          </cell>
          <cell r="I461" t="str">
            <v>SC</v>
          </cell>
          <cell r="J461" t="str">
            <v>FC</v>
          </cell>
          <cell r="K461">
            <v>8</v>
          </cell>
          <cell r="L461">
            <v>45921</v>
          </cell>
          <cell r="M461">
            <v>45921</v>
          </cell>
          <cell r="N461">
            <v>73</v>
          </cell>
          <cell r="O461" t="str">
            <v>NS</v>
          </cell>
          <cell r="P461" t="str">
            <v/>
          </cell>
          <cell r="Q461">
            <v>46165</v>
          </cell>
          <cell r="R461" t="str">
            <v/>
          </cell>
          <cell r="S461" t="str">
            <v/>
          </cell>
          <cell r="T461" t="str">
            <v/>
          </cell>
          <cell r="U461">
            <v>71490</v>
          </cell>
          <cell r="V461">
            <v>69571</v>
          </cell>
          <cell r="W461">
            <v>45595</v>
          </cell>
          <cell r="X461" t="str">
            <v>Lokasi Produksi 543A2B ( pecahan 543A2 )</v>
          </cell>
          <cell r="Z461">
            <v>8</v>
          </cell>
          <cell r="AA461">
            <v>46165</v>
          </cell>
          <cell r="AB461">
            <v>5092.5973361111101</v>
          </cell>
          <cell r="AC461">
            <v>169.75324453703701</v>
          </cell>
          <cell r="AD461">
            <v>-20</v>
          </cell>
          <cell r="AE461">
            <v>0</v>
          </cell>
          <cell r="AF461">
            <v>0</v>
          </cell>
          <cell r="AG461">
            <v>-1204.9333333333334</v>
          </cell>
          <cell r="AM461" t="str">
            <v>OK</v>
          </cell>
          <cell r="AO461">
            <v>2.4451851080246949</v>
          </cell>
          <cell r="AP461">
            <v>-5.5548148919753046</v>
          </cell>
          <cell r="AQ461">
            <v>0</v>
          </cell>
          <cell r="AR461">
            <v>2.4451851080246949</v>
          </cell>
          <cell r="AS461">
            <v>0</v>
          </cell>
          <cell r="AT461">
            <v>46165</v>
          </cell>
          <cell r="AU461">
            <v>-5.5548148919753046</v>
          </cell>
          <cell r="AV461">
            <v>73.355553240740846</v>
          </cell>
          <cell r="AW461">
            <v>-5.5548148919753046</v>
          </cell>
          <cell r="AY461">
            <v>78.463691782410024</v>
          </cell>
          <cell r="AZ461" t="str">
            <v>F18</v>
          </cell>
          <cell r="BA461">
            <v>4.6900000000000004</v>
          </cell>
          <cell r="BB461" t="str">
            <v>NSSC</v>
          </cell>
          <cell r="BC461" t="str">
            <v>F18</v>
          </cell>
        </row>
        <row r="462">
          <cell r="A462" t="str">
            <v>543A2C</v>
          </cell>
          <cell r="B462" t="str">
            <v>3</v>
          </cell>
          <cell r="C462" t="str">
            <v>05</v>
          </cell>
          <cell r="D462">
            <v>19</v>
          </cell>
          <cell r="E462" t="str">
            <v>543A2C</v>
          </cell>
          <cell r="F462">
            <v>5.01</v>
          </cell>
          <cell r="G462">
            <v>4.2</v>
          </cell>
          <cell r="H462">
            <v>4.2</v>
          </cell>
          <cell r="I462" t="str">
            <v>FC</v>
          </cell>
          <cell r="J462" t="str">
            <v>ST</v>
          </cell>
          <cell r="K462">
            <v>14</v>
          </cell>
          <cell r="L462">
            <v>45591</v>
          </cell>
          <cell r="M462">
            <v>45591</v>
          </cell>
          <cell r="N462">
            <v>403</v>
          </cell>
          <cell r="O462" t="str">
            <v>NS</v>
          </cell>
          <cell r="P462" t="str">
            <v>NSGP3SK3</v>
          </cell>
          <cell r="Q462">
            <v>46018</v>
          </cell>
          <cell r="R462" t="str">
            <v/>
          </cell>
          <cell r="S462" t="str">
            <v/>
          </cell>
          <cell r="T462" t="str">
            <v/>
          </cell>
          <cell r="U462">
            <v>65534</v>
          </cell>
          <cell r="V462">
            <v>69368</v>
          </cell>
          <cell r="W462" t="str">
            <v/>
          </cell>
          <cell r="X462" t="str">
            <v>Lokasi Produksi 543A2C ( pecahan 543A2 )</v>
          </cell>
          <cell r="Z462">
            <v>14</v>
          </cell>
          <cell r="AA462">
            <v>46018</v>
          </cell>
          <cell r="AB462">
            <v>335.59733611111005</v>
          </cell>
          <cell r="AC462">
            <v>11.186577870370336</v>
          </cell>
          <cell r="AD462">
            <v>-2.8134221296296644</v>
          </cell>
          <cell r="AE462">
            <v>16.739999999999998</v>
          </cell>
          <cell r="AF462">
            <v>0</v>
          </cell>
          <cell r="AG462">
            <v>-1363.5</v>
          </cell>
          <cell r="AM462" t="str">
            <v>OK</v>
          </cell>
          <cell r="AO462">
            <v>13.445185108024695</v>
          </cell>
          <cell r="AP462">
            <v>-0.55481489197530465</v>
          </cell>
          <cell r="AQ462">
            <v>0</v>
          </cell>
          <cell r="AR462">
            <v>13.445185108024695</v>
          </cell>
          <cell r="AS462">
            <v>0</v>
          </cell>
          <cell r="AT462">
            <v>46018</v>
          </cell>
          <cell r="AU462">
            <v>-0.55481489197530465</v>
          </cell>
          <cell r="AV462">
            <v>403.35555324074085</v>
          </cell>
          <cell r="AW462">
            <v>-0.55481489197530465</v>
          </cell>
          <cell r="AY462">
            <v>408.46369178241002</v>
          </cell>
          <cell r="AZ462" t="str">
            <v>GP3</v>
          </cell>
          <cell r="BA462">
            <v>4.2</v>
          </cell>
          <cell r="BB462" t="str">
            <v>NSFC</v>
          </cell>
          <cell r="BC462" t="str">
            <v>GP3SK</v>
          </cell>
        </row>
        <row r="463">
          <cell r="A463" t="str">
            <v>543B</v>
          </cell>
          <cell r="B463" t="str">
            <v>3</v>
          </cell>
          <cell r="C463" t="str">
            <v>05</v>
          </cell>
          <cell r="D463">
            <v>19</v>
          </cell>
          <cell r="E463" t="str">
            <v>543B</v>
          </cell>
          <cell r="F463">
            <v>9.7799999999999994</v>
          </cell>
          <cell r="G463">
            <v>7.71</v>
          </cell>
          <cell r="H463">
            <v>7.71</v>
          </cell>
          <cell r="I463" t="str">
            <v>BK</v>
          </cell>
          <cell r="J463" t="str">
            <v>SC</v>
          </cell>
          <cell r="K463">
            <v>0</v>
          </cell>
          <cell r="L463">
            <v>45936</v>
          </cell>
          <cell r="M463">
            <v>45936</v>
          </cell>
          <cell r="N463">
            <v>58</v>
          </cell>
          <cell r="O463" t="str">
            <v>NS</v>
          </cell>
          <cell r="P463" t="str">
            <v/>
          </cell>
          <cell r="Q463">
            <v>45936</v>
          </cell>
          <cell r="R463" t="str">
            <v/>
          </cell>
          <cell r="S463" t="str">
            <v/>
          </cell>
          <cell r="T463" t="str">
            <v/>
          </cell>
          <cell r="U463">
            <v>70520</v>
          </cell>
          <cell r="V463">
            <v>51893</v>
          </cell>
          <cell r="W463">
            <v>44787</v>
          </cell>
          <cell r="X463" t="str">
            <v>Lokasi Produksi 543B</v>
          </cell>
          <cell r="Z463">
            <v>0</v>
          </cell>
          <cell r="AA463">
            <v>45936</v>
          </cell>
          <cell r="AB463">
            <v>338.59733611111005</v>
          </cell>
          <cell r="AC463">
            <v>11.286577870370335</v>
          </cell>
          <cell r="AD463">
            <v>-2.7134221296296648</v>
          </cell>
          <cell r="AE463">
            <v>13.76</v>
          </cell>
          <cell r="AF463">
            <v>0</v>
          </cell>
          <cell r="AG463">
            <v>-1363.4</v>
          </cell>
          <cell r="AM463" t="str">
            <v>OK</v>
          </cell>
          <cell r="AO463">
            <v>1.9451851080246949</v>
          </cell>
          <cell r="AP463">
            <v>1.9451851080246949</v>
          </cell>
          <cell r="AQ463">
            <v>0</v>
          </cell>
          <cell r="AR463">
            <v>1.9451851080246949</v>
          </cell>
          <cell r="AS463">
            <v>0</v>
          </cell>
          <cell r="AT463">
            <v>45936</v>
          </cell>
          <cell r="AU463">
            <v>1.9451851080246949</v>
          </cell>
          <cell r="AV463">
            <v>58.355553240740846</v>
          </cell>
          <cell r="AW463">
            <v>1.9451851080246949</v>
          </cell>
          <cell r="AY463">
            <v>63.463691782410024</v>
          </cell>
          <cell r="AZ463" t="str">
            <v>F18</v>
          </cell>
          <cell r="BA463">
            <v>0</v>
          </cell>
          <cell r="BB463" t="str">
            <v>NSBK</v>
          </cell>
          <cell r="BC463" t="str">
            <v>F18</v>
          </cell>
        </row>
        <row r="464">
          <cell r="A464" t="str">
            <v>543C1</v>
          </cell>
          <cell r="B464" t="str">
            <v>3</v>
          </cell>
          <cell r="C464" t="str">
            <v>05</v>
          </cell>
          <cell r="D464">
            <v>19</v>
          </cell>
          <cell r="E464" t="str">
            <v>543C1</v>
          </cell>
          <cell r="F464">
            <v>6.18</v>
          </cell>
          <cell r="G464">
            <v>5.22</v>
          </cell>
          <cell r="H464">
            <v>5.22</v>
          </cell>
          <cell r="I464" t="str">
            <v>BK</v>
          </cell>
          <cell r="J464" t="str">
            <v>SR</v>
          </cell>
          <cell r="K464">
            <v>0</v>
          </cell>
          <cell r="L464">
            <v>45924</v>
          </cell>
          <cell r="M464">
            <v>45924</v>
          </cell>
          <cell r="N464">
            <v>70</v>
          </cell>
          <cell r="O464" t="str">
            <v>PS</v>
          </cell>
          <cell r="P464" t="str">
            <v/>
          </cell>
          <cell r="Q464">
            <v>45924</v>
          </cell>
          <cell r="R464" t="str">
            <v/>
          </cell>
          <cell r="S464" t="str">
            <v/>
          </cell>
          <cell r="T464" t="str">
            <v/>
          </cell>
          <cell r="U464">
            <v>12932</v>
          </cell>
          <cell r="V464">
            <v>13250</v>
          </cell>
          <cell r="W464">
            <v>45450</v>
          </cell>
          <cell r="X464" t="str">
            <v>Lokasi Produksi 543C1 ( pecahan 543C )</v>
          </cell>
          <cell r="Z464">
            <v>0</v>
          </cell>
          <cell r="AA464">
            <v>45924</v>
          </cell>
          <cell r="AB464">
            <v>154.59733611111005</v>
          </cell>
          <cell r="AC464">
            <v>5.1532445370370015</v>
          </cell>
          <cell r="AD464">
            <v>-20</v>
          </cell>
          <cell r="AE464">
            <v>0</v>
          </cell>
          <cell r="AF464">
            <v>0</v>
          </cell>
          <cell r="AG464">
            <v>-1369.5333333333333</v>
          </cell>
          <cell r="AM464" t="str">
            <v>OK</v>
          </cell>
          <cell r="AO464">
            <v>2.3451851080246948</v>
          </cell>
          <cell r="AP464">
            <v>2.3451851080246948</v>
          </cell>
          <cell r="AQ464">
            <v>0</v>
          </cell>
          <cell r="AR464">
            <v>2.3451851080246948</v>
          </cell>
          <cell r="AS464">
            <v>0</v>
          </cell>
          <cell r="AT464">
            <v>45924</v>
          </cell>
          <cell r="AU464">
            <v>2.3451851080246948</v>
          </cell>
          <cell r="AV464">
            <v>70.355553240740846</v>
          </cell>
          <cell r="AW464">
            <v>2.3451851080246948</v>
          </cell>
          <cell r="AY464">
            <v>75.463691782410024</v>
          </cell>
          <cell r="AZ464" t="str">
            <v>F18</v>
          </cell>
          <cell r="BA464">
            <v>0</v>
          </cell>
          <cell r="BB464" t="str">
            <v>PSBK</v>
          </cell>
          <cell r="BC464" t="str">
            <v>F18</v>
          </cell>
        </row>
        <row r="465">
          <cell r="A465" t="str">
            <v>543C2</v>
          </cell>
          <cell r="B465" t="str">
            <v>3</v>
          </cell>
          <cell r="C465" t="str">
            <v>05</v>
          </cell>
          <cell r="D465">
            <v>19</v>
          </cell>
          <cell r="E465" t="str">
            <v>543C2</v>
          </cell>
          <cell r="F465">
            <v>7.56</v>
          </cell>
          <cell r="G465">
            <v>6.39</v>
          </cell>
          <cell r="H465">
            <v>6.39</v>
          </cell>
          <cell r="I465" t="str">
            <v>BK</v>
          </cell>
          <cell r="J465" t="str">
            <v>SR</v>
          </cell>
          <cell r="K465">
            <v>0</v>
          </cell>
          <cell r="L465">
            <v>45924</v>
          </cell>
          <cell r="M465">
            <v>45924</v>
          </cell>
          <cell r="N465">
            <v>70</v>
          </cell>
          <cell r="O465" t="str">
            <v>PS</v>
          </cell>
          <cell r="P465" t="str">
            <v/>
          </cell>
          <cell r="Q465">
            <v>45924</v>
          </cell>
          <cell r="R465" t="str">
            <v/>
          </cell>
          <cell r="S465" t="str">
            <v/>
          </cell>
          <cell r="T465" t="str">
            <v/>
          </cell>
          <cell r="U465">
            <v>16006</v>
          </cell>
          <cell r="V465">
            <v>15460</v>
          </cell>
          <cell r="W465">
            <v>45450</v>
          </cell>
          <cell r="X465" t="str">
            <v>Lokasi Produksi 543C2 ( pecahan 543C )</v>
          </cell>
          <cell r="Z465">
            <v>0</v>
          </cell>
          <cell r="AA465">
            <v>45924</v>
          </cell>
          <cell r="AB465">
            <v>154.59733611111005</v>
          </cell>
          <cell r="AC465">
            <v>5.1532445370370015</v>
          </cell>
          <cell r="AD465">
            <v>-20</v>
          </cell>
          <cell r="AE465">
            <v>0</v>
          </cell>
          <cell r="AF465">
            <v>0</v>
          </cell>
          <cell r="AG465">
            <v>-1369.5333333333333</v>
          </cell>
          <cell r="AM465" t="str">
            <v>OK</v>
          </cell>
          <cell r="AO465">
            <v>2.3451851080246948</v>
          </cell>
          <cell r="AP465">
            <v>2.3451851080246948</v>
          </cell>
          <cell r="AQ465">
            <v>0</v>
          </cell>
          <cell r="AR465">
            <v>2.3451851080246948</v>
          </cell>
          <cell r="AS465">
            <v>0</v>
          </cell>
          <cell r="AT465">
            <v>45924</v>
          </cell>
          <cell r="AU465">
            <v>2.3451851080246948</v>
          </cell>
          <cell r="AV465">
            <v>70.355553240740846</v>
          </cell>
          <cell r="AW465">
            <v>2.3451851080246948</v>
          </cell>
          <cell r="AY465">
            <v>75.463691782410024</v>
          </cell>
          <cell r="AZ465" t="str">
            <v>F18</v>
          </cell>
          <cell r="BA465">
            <v>0</v>
          </cell>
          <cell r="BB465" t="str">
            <v>PSBK</v>
          </cell>
          <cell r="BC465" t="str">
            <v>F18</v>
          </cell>
        </row>
        <row r="466">
          <cell r="A466" t="str">
            <v>543D</v>
          </cell>
          <cell r="B466" t="str">
            <v>3</v>
          </cell>
          <cell r="C466" t="str">
            <v>05</v>
          </cell>
          <cell r="D466">
            <v>19</v>
          </cell>
          <cell r="E466" t="str">
            <v>543D</v>
          </cell>
          <cell r="F466">
            <v>15.78</v>
          </cell>
          <cell r="G466">
            <v>13.1</v>
          </cell>
          <cell r="H466">
            <v>13.1</v>
          </cell>
          <cell r="I466" t="str">
            <v>BK</v>
          </cell>
          <cell r="J466" t="str">
            <v>SC</v>
          </cell>
          <cell r="K466">
            <v>0</v>
          </cell>
          <cell r="L466">
            <v>45924</v>
          </cell>
          <cell r="M466">
            <v>45924</v>
          </cell>
          <cell r="N466">
            <v>70</v>
          </cell>
          <cell r="O466" t="str">
            <v>PS</v>
          </cell>
          <cell r="P466" t="str">
            <v/>
          </cell>
          <cell r="Q466">
            <v>45924</v>
          </cell>
          <cell r="R466" t="str">
            <v/>
          </cell>
          <cell r="S466" t="str">
            <v/>
          </cell>
          <cell r="T466" t="str">
            <v/>
          </cell>
          <cell r="U466">
            <v>29484</v>
          </cell>
          <cell r="V466">
            <v>60632</v>
          </cell>
          <cell r="W466">
            <v>46131</v>
          </cell>
          <cell r="X466" t="str">
            <v>Lokasi Produksi 543D</v>
          </cell>
          <cell r="Z466">
            <v>0</v>
          </cell>
          <cell r="AA466">
            <v>45924</v>
          </cell>
          <cell r="AB466">
            <v>538.59733611111005</v>
          </cell>
          <cell r="AC466">
            <v>17.953244537037001</v>
          </cell>
          <cell r="AD466">
            <v>-20</v>
          </cell>
          <cell r="AE466">
            <v>0</v>
          </cell>
          <cell r="AF466">
            <v>0</v>
          </cell>
          <cell r="AG466">
            <v>-1356.7333333333333</v>
          </cell>
          <cell r="AM466" t="str">
            <v>OK</v>
          </cell>
          <cell r="AO466">
            <v>2.3451851080246948</v>
          </cell>
          <cell r="AP466">
            <v>2.3451851080246948</v>
          </cell>
          <cell r="AQ466">
            <v>0</v>
          </cell>
          <cell r="AR466">
            <v>2.3451851080246948</v>
          </cell>
          <cell r="AS466">
            <v>0</v>
          </cell>
          <cell r="AT466">
            <v>45924</v>
          </cell>
          <cell r="AU466">
            <v>2.3451851080246948</v>
          </cell>
          <cell r="AV466">
            <v>70.355553240740846</v>
          </cell>
          <cell r="AW466">
            <v>2.3451851080246948</v>
          </cell>
          <cell r="AY466">
            <v>75.463691782410024</v>
          </cell>
          <cell r="AZ466" t="str">
            <v>F18</v>
          </cell>
          <cell r="BA466">
            <v>0</v>
          </cell>
          <cell r="BB466" t="str">
            <v>PSBK</v>
          </cell>
          <cell r="BC466" t="str">
            <v>F18</v>
          </cell>
        </row>
        <row r="467">
          <cell r="A467" t="str">
            <v>543E1</v>
          </cell>
          <cell r="B467" t="str">
            <v>3</v>
          </cell>
          <cell r="C467" t="str">
            <v>05</v>
          </cell>
          <cell r="D467">
            <v>19</v>
          </cell>
          <cell r="E467" t="str">
            <v>543E1</v>
          </cell>
          <cell r="F467">
            <v>9.32</v>
          </cell>
          <cell r="G467">
            <v>7.94</v>
          </cell>
          <cell r="H467">
            <v>7.94</v>
          </cell>
          <cell r="I467" t="str">
            <v>FC</v>
          </cell>
          <cell r="J467" t="str">
            <v>ST</v>
          </cell>
          <cell r="K467">
            <v>14</v>
          </cell>
          <cell r="L467">
            <v>45919</v>
          </cell>
          <cell r="M467">
            <v>45919</v>
          </cell>
          <cell r="N467">
            <v>75</v>
          </cell>
          <cell r="O467" t="str">
            <v>NS</v>
          </cell>
          <cell r="P467" t="str">
            <v>NSF18CK3</v>
          </cell>
          <cell r="Q467">
            <v>46346</v>
          </cell>
          <cell r="R467" t="str">
            <v/>
          </cell>
          <cell r="S467" t="str">
            <v/>
          </cell>
          <cell r="T467" t="str">
            <v/>
          </cell>
          <cell r="U467">
            <v>69876</v>
          </cell>
          <cell r="V467">
            <v>49661</v>
          </cell>
          <cell r="W467">
            <v>44567</v>
          </cell>
          <cell r="X467" t="str">
            <v>Lokasi Produksi 543E1 ( pecahan 543E )</v>
          </cell>
          <cell r="Z467">
            <v>14</v>
          </cell>
          <cell r="AA467">
            <v>46346</v>
          </cell>
          <cell r="AB467">
            <v>272.59733611111005</v>
          </cell>
          <cell r="AC467">
            <v>9.0865778703703359</v>
          </cell>
          <cell r="AD467">
            <v>-2.9134221296296641</v>
          </cell>
          <cell r="AE467">
            <v>5.37</v>
          </cell>
          <cell r="AF467">
            <v>0</v>
          </cell>
          <cell r="AG467">
            <v>-1365.6</v>
          </cell>
          <cell r="AM467" t="str">
            <v>OK</v>
          </cell>
          <cell r="AO467">
            <v>2.5118517746913613</v>
          </cell>
          <cell r="AP467">
            <v>-11.488148225308638</v>
          </cell>
          <cell r="AQ467">
            <v>0</v>
          </cell>
          <cell r="AR467">
            <v>2.5118517746913613</v>
          </cell>
          <cell r="AS467">
            <v>0</v>
          </cell>
          <cell r="AT467">
            <v>46346</v>
          </cell>
          <cell r="AU467">
            <v>-11.488148225308638</v>
          </cell>
          <cell r="AV467">
            <v>75.355553240740846</v>
          </cell>
          <cell r="AW467">
            <v>-11.488148225308638</v>
          </cell>
          <cell r="AY467">
            <v>80.463691782410024</v>
          </cell>
          <cell r="AZ467" t="str">
            <v>F18</v>
          </cell>
          <cell r="BA467">
            <v>7.94</v>
          </cell>
          <cell r="BB467" t="str">
            <v>NSFC</v>
          </cell>
          <cell r="BC467" t="str">
            <v>F18CK</v>
          </cell>
        </row>
        <row r="468">
          <cell r="A468" t="str">
            <v>543E2</v>
          </cell>
          <cell r="B468" t="str">
            <v>3</v>
          </cell>
          <cell r="C468" t="str">
            <v>05</v>
          </cell>
          <cell r="D468">
            <v>19</v>
          </cell>
          <cell r="E468" t="str">
            <v>543E2</v>
          </cell>
          <cell r="F468">
            <v>4.74</v>
          </cell>
          <cell r="G468">
            <v>3.91</v>
          </cell>
          <cell r="H468">
            <v>3.91</v>
          </cell>
          <cell r="I468" t="str">
            <v>FC</v>
          </cell>
          <cell r="J468" t="str">
            <v>ST</v>
          </cell>
          <cell r="K468">
            <v>14</v>
          </cell>
          <cell r="L468">
            <v>45922</v>
          </cell>
          <cell r="M468">
            <v>45922</v>
          </cell>
          <cell r="N468">
            <v>72</v>
          </cell>
          <cell r="O468" t="str">
            <v>NS</v>
          </cell>
          <cell r="P468" t="str">
            <v>NSF18CK3</v>
          </cell>
          <cell r="Q468">
            <v>46349</v>
          </cell>
          <cell r="R468" t="str">
            <v/>
          </cell>
          <cell r="S468" t="str">
            <v/>
          </cell>
          <cell r="T468" t="str">
            <v/>
          </cell>
          <cell r="U468">
            <v>67358</v>
          </cell>
          <cell r="V468">
            <v>52819</v>
          </cell>
          <cell r="W468">
            <v>44382</v>
          </cell>
          <cell r="X468" t="str">
            <v>Lokasi Produksi 543E2 ( pecahan 543E )</v>
          </cell>
          <cell r="Z468">
            <v>14</v>
          </cell>
          <cell r="AA468">
            <v>46349</v>
          </cell>
          <cell r="AB468">
            <v>76.597336111110053</v>
          </cell>
          <cell r="AC468">
            <v>2.5532445370370018</v>
          </cell>
          <cell r="AD468">
            <v>-11.446755462962997</v>
          </cell>
          <cell r="AE468">
            <v>16.87</v>
          </cell>
          <cell r="AF468">
            <v>0</v>
          </cell>
          <cell r="AG468">
            <v>-1372.1333333333334</v>
          </cell>
          <cell r="AM468" t="str">
            <v>OK</v>
          </cell>
          <cell r="AO468">
            <v>2.4118517746913617</v>
          </cell>
          <cell r="AP468">
            <v>-11.588148225308638</v>
          </cell>
          <cell r="AQ468">
            <v>0</v>
          </cell>
          <cell r="AR468">
            <v>2.4118517746913617</v>
          </cell>
          <cell r="AS468">
            <v>0</v>
          </cell>
          <cell r="AT468">
            <v>46349</v>
          </cell>
          <cell r="AU468">
            <v>-11.588148225308638</v>
          </cell>
          <cell r="AV468">
            <v>72.355553240740846</v>
          </cell>
          <cell r="AW468">
            <v>-11.588148225308638</v>
          </cell>
          <cell r="AY468">
            <v>77.463691782410024</v>
          </cell>
          <cell r="AZ468" t="str">
            <v>F18</v>
          </cell>
          <cell r="BA468">
            <v>3.91</v>
          </cell>
          <cell r="BB468" t="str">
            <v>NSFC</v>
          </cell>
          <cell r="BC468" t="str">
            <v>F18CK</v>
          </cell>
        </row>
        <row r="469">
          <cell r="A469" t="str">
            <v>543F1</v>
          </cell>
          <cell r="B469" t="str">
            <v>3</v>
          </cell>
          <cell r="C469" t="str">
            <v>05</v>
          </cell>
          <cell r="D469">
            <v>19</v>
          </cell>
          <cell r="E469" t="str">
            <v>543F1</v>
          </cell>
          <cell r="F469">
            <v>10.01</v>
          </cell>
          <cell r="G469">
            <v>7.82</v>
          </cell>
          <cell r="H469">
            <v>7.82</v>
          </cell>
          <cell r="I469" t="str">
            <v>BK</v>
          </cell>
          <cell r="J469" t="str">
            <v>SC</v>
          </cell>
          <cell r="K469">
            <v>0</v>
          </cell>
          <cell r="L469">
            <v>45867</v>
          </cell>
          <cell r="M469">
            <v>45867</v>
          </cell>
          <cell r="N469">
            <v>127</v>
          </cell>
          <cell r="O469" t="str">
            <v>NS</v>
          </cell>
          <cell r="P469" t="str">
            <v/>
          </cell>
          <cell r="Q469">
            <v>45867</v>
          </cell>
          <cell r="R469" t="str">
            <v/>
          </cell>
          <cell r="S469" t="str">
            <v/>
          </cell>
          <cell r="T469" t="str">
            <v/>
          </cell>
          <cell r="U469">
            <v>67369</v>
          </cell>
          <cell r="V469">
            <v>50218</v>
          </cell>
          <cell r="W469" t="str">
            <v/>
          </cell>
          <cell r="X469" t="str">
            <v>Lokasi Produksi 543F1 ( pecahan 543F )</v>
          </cell>
          <cell r="Z469">
            <v>0</v>
          </cell>
          <cell r="AA469">
            <v>45867</v>
          </cell>
          <cell r="AB469">
            <v>5108.5973361111101</v>
          </cell>
          <cell r="AC469">
            <v>170.28657787037034</v>
          </cell>
          <cell r="AD469">
            <v>-20</v>
          </cell>
          <cell r="AE469">
            <v>0</v>
          </cell>
          <cell r="AF469">
            <v>0</v>
          </cell>
          <cell r="AG469">
            <v>-1204.4000000000001</v>
          </cell>
          <cell r="AM469" t="str">
            <v>OK</v>
          </cell>
          <cell r="AO469">
            <v>4.2451851080246952</v>
          </cell>
          <cell r="AP469">
            <v>4.2451851080246952</v>
          </cell>
          <cell r="AQ469">
            <v>0</v>
          </cell>
          <cell r="AR469">
            <v>4.2451851080246952</v>
          </cell>
          <cell r="AS469">
            <v>0</v>
          </cell>
          <cell r="AT469">
            <v>45867</v>
          </cell>
          <cell r="AU469">
            <v>4.2451851080246952</v>
          </cell>
          <cell r="AV469">
            <v>127.35555324074086</v>
          </cell>
          <cell r="AW469">
            <v>4.2451851080246952</v>
          </cell>
          <cell r="AY469">
            <v>132.46369178241002</v>
          </cell>
          <cell r="AZ469" t="str">
            <v>F18</v>
          </cell>
          <cell r="BA469">
            <v>0</v>
          </cell>
          <cell r="BB469" t="str">
            <v>NSBK</v>
          </cell>
          <cell r="BC469" t="str">
            <v>F18</v>
          </cell>
        </row>
        <row r="470">
          <cell r="A470" t="str">
            <v>543F2</v>
          </cell>
          <cell r="B470" t="str">
            <v>3</v>
          </cell>
          <cell r="C470" t="str">
            <v>05</v>
          </cell>
          <cell r="D470">
            <v>19</v>
          </cell>
          <cell r="E470" t="str">
            <v>543F2</v>
          </cell>
          <cell r="F470">
            <v>8.58</v>
          </cell>
          <cell r="G470">
            <v>7.12</v>
          </cell>
          <cell r="H470">
            <v>7.12</v>
          </cell>
          <cell r="I470" t="str">
            <v>FC</v>
          </cell>
          <cell r="J470" t="str">
            <v>ST</v>
          </cell>
          <cell r="K470">
            <v>14</v>
          </cell>
          <cell r="L470">
            <v>45924</v>
          </cell>
          <cell r="M470">
            <v>45924</v>
          </cell>
          <cell r="N470">
            <v>70</v>
          </cell>
          <cell r="O470" t="str">
            <v>NS</v>
          </cell>
          <cell r="P470" t="str">
            <v>NSGP3CK3</v>
          </cell>
          <cell r="Q470">
            <v>46351</v>
          </cell>
          <cell r="R470" t="str">
            <v/>
          </cell>
          <cell r="S470" t="str">
            <v/>
          </cell>
          <cell r="T470" t="str">
            <v/>
          </cell>
          <cell r="U470">
            <v>70696</v>
          </cell>
          <cell r="V470">
            <v>75383</v>
          </cell>
          <cell r="W470" t="str">
            <v/>
          </cell>
          <cell r="X470" t="str">
            <v>Lokasi Produksi 543F2 ( pecahan 543F )</v>
          </cell>
          <cell r="Z470">
            <v>14</v>
          </cell>
          <cell r="AA470">
            <v>46351</v>
          </cell>
          <cell r="AB470">
            <v>245.59733611111005</v>
          </cell>
          <cell r="AC470">
            <v>8.1865778703703356</v>
          </cell>
          <cell r="AD470">
            <v>-20</v>
          </cell>
          <cell r="AE470">
            <v>0</v>
          </cell>
          <cell r="AF470">
            <v>0</v>
          </cell>
          <cell r="AG470">
            <v>-1366.5</v>
          </cell>
          <cell r="AM470" t="str">
            <v>OK</v>
          </cell>
          <cell r="AO470">
            <v>2.3451851080246948</v>
          </cell>
          <cell r="AP470">
            <v>-11.654814891975306</v>
          </cell>
          <cell r="AQ470">
            <v>0</v>
          </cell>
          <cell r="AR470">
            <v>2.3451851080246948</v>
          </cell>
          <cell r="AS470">
            <v>0</v>
          </cell>
          <cell r="AT470">
            <v>46351</v>
          </cell>
          <cell r="AU470">
            <v>-11.654814891975306</v>
          </cell>
          <cell r="AV470">
            <v>70.355553240740846</v>
          </cell>
          <cell r="AW470">
            <v>-11.654814891975306</v>
          </cell>
          <cell r="AY470">
            <v>75.463691782410024</v>
          </cell>
          <cell r="AZ470" t="str">
            <v>GP3</v>
          </cell>
          <cell r="BA470">
            <v>7.12</v>
          </cell>
          <cell r="BB470" t="str">
            <v>NSFC</v>
          </cell>
          <cell r="BC470" t="str">
            <v>GP3CK</v>
          </cell>
        </row>
        <row r="471">
          <cell r="A471" t="str">
            <v>543G</v>
          </cell>
          <cell r="B471" t="str">
            <v>3</v>
          </cell>
          <cell r="C471" t="str">
            <v>05</v>
          </cell>
          <cell r="D471">
            <v>19</v>
          </cell>
          <cell r="E471" t="str">
            <v>543G</v>
          </cell>
          <cell r="F471">
            <v>11.16</v>
          </cell>
          <cell r="G471">
            <v>8.81</v>
          </cell>
          <cell r="H471">
            <v>8.81</v>
          </cell>
          <cell r="I471" t="str">
            <v>SC</v>
          </cell>
          <cell r="J471" t="str">
            <v>BB</v>
          </cell>
          <cell r="K471">
            <v>8</v>
          </cell>
          <cell r="L471">
            <v>45868</v>
          </cell>
          <cell r="M471">
            <v>45868</v>
          </cell>
          <cell r="N471">
            <v>126</v>
          </cell>
          <cell r="O471" t="str">
            <v>NS</v>
          </cell>
          <cell r="P471" t="str">
            <v/>
          </cell>
          <cell r="Q471">
            <v>46112</v>
          </cell>
          <cell r="R471" t="str">
            <v/>
          </cell>
          <cell r="S471" t="str">
            <v/>
          </cell>
          <cell r="T471" t="str">
            <v/>
          </cell>
          <cell r="U471">
            <v>67831</v>
          </cell>
          <cell r="V471">
            <v>68482</v>
          </cell>
          <cell r="W471" t="str">
            <v/>
          </cell>
          <cell r="X471" t="str">
            <v>Lokasi Produksi 543G</v>
          </cell>
          <cell r="Z471">
            <v>8</v>
          </cell>
          <cell r="AA471">
            <v>46112</v>
          </cell>
          <cell r="AB471">
            <v>390.59733611111005</v>
          </cell>
          <cell r="AC471">
            <v>13.019911203703668</v>
          </cell>
          <cell r="AD471">
            <v>-20</v>
          </cell>
          <cell r="AE471">
            <v>0</v>
          </cell>
          <cell r="AF471">
            <v>0</v>
          </cell>
          <cell r="AG471">
            <v>-1361.6666666666667</v>
          </cell>
          <cell r="AM471" t="str">
            <v>OK</v>
          </cell>
          <cell r="AO471">
            <v>4.211851774691362</v>
          </cell>
          <cell r="AP471">
            <v>-3.788148225308638</v>
          </cell>
          <cell r="AQ471">
            <v>0</v>
          </cell>
          <cell r="AR471">
            <v>4.211851774691362</v>
          </cell>
          <cell r="AS471">
            <v>0</v>
          </cell>
          <cell r="AT471">
            <v>46112</v>
          </cell>
          <cell r="AU471">
            <v>-3.788148225308638</v>
          </cell>
          <cell r="AV471">
            <v>126.35555324074086</v>
          </cell>
          <cell r="AW471">
            <v>-3.788148225308638</v>
          </cell>
          <cell r="AY471">
            <v>131.46369178241002</v>
          </cell>
          <cell r="AZ471" t="str">
            <v>F18</v>
          </cell>
          <cell r="BA471">
            <v>8.81</v>
          </cell>
          <cell r="BB471" t="str">
            <v>NSSC</v>
          </cell>
          <cell r="BC471" t="str">
            <v>F18</v>
          </cell>
        </row>
        <row r="472">
          <cell r="A472" t="str">
            <v>544A</v>
          </cell>
          <cell r="B472" t="str">
            <v>3</v>
          </cell>
          <cell r="C472" t="str">
            <v>05</v>
          </cell>
          <cell r="D472">
            <v>19</v>
          </cell>
          <cell r="E472" t="str">
            <v>544A</v>
          </cell>
          <cell r="F472">
            <v>18.03</v>
          </cell>
          <cell r="G472">
            <v>14.02</v>
          </cell>
          <cell r="H472">
            <v>14.02</v>
          </cell>
          <cell r="I472" t="str">
            <v>SC</v>
          </cell>
          <cell r="J472" t="str">
            <v>BB</v>
          </cell>
          <cell r="K472">
            <v>8</v>
          </cell>
          <cell r="L472">
            <v>45988</v>
          </cell>
          <cell r="M472">
            <v>45988</v>
          </cell>
          <cell r="N472">
            <v>6</v>
          </cell>
          <cell r="O472" t="str">
            <v>NS</v>
          </cell>
          <cell r="P472" t="str">
            <v/>
          </cell>
          <cell r="Q472">
            <v>46232</v>
          </cell>
          <cell r="R472" t="str">
            <v/>
          </cell>
          <cell r="S472" t="str">
            <v/>
          </cell>
          <cell r="T472" t="str">
            <v/>
          </cell>
          <cell r="U472">
            <v>66588</v>
          </cell>
          <cell r="V472">
            <v>67244</v>
          </cell>
          <cell r="W472">
            <v>43207</v>
          </cell>
          <cell r="X472" t="str">
            <v>Lokasi Produksi 544A</v>
          </cell>
          <cell r="Z472">
            <v>8</v>
          </cell>
          <cell r="AA472">
            <v>46232</v>
          </cell>
          <cell r="AB472">
            <v>388.59733611111005</v>
          </cell>
          <cell r="AC472">
            <v>12.953244537037001</v>
          </cell>
          <cell r="AD472">
            <v>-20</v>
          </cell>
          <cell r="AE472">
            <v>0</v>
          </cell>
          <cell r="AF472">
            <v>0</v>
          </cell>
          <cell r="AG472">
            <v>-1361.7333333333333</v>
          </cell>
          <cell r="AM472" t="str">
            <v>OK</v>
          </cell>
          <cell r="AO472">
            <v>0.21185177469136154</v>
          </cell>
          <cell r="AP472">
            <v>-7.788148225308638</v>
          </cell>
          <cell r="AQ472">
            <v>0</v>
          </cell>
          <cell r="AR472">
            <v>0.21185177469136154</v>
          </cell>
          <cell r="AS472">
            <v>0</v>
          </cell>
          <cell r="AT472">
            <v>46232</v>
          </cell>
          <cell r="AU472">
            <v>-7.788148225308638</v>
          </cell>
          <cell r="AV472">
            <v>6.3555532407408464</v>
          </cell>
          <cell r="AW472">
            <v>-7.788148225308638</v>
          </cell>
          <cell r="AY472">
            <v>11.463691782410024</v>
          </cell>
          <cell r="AZ472" t="str">
            <v>F18</v>
          </cell>
          <cell r="BA472">
            <v>14.02</v>
          </cell>
          <cell r="BB472" t="str">
            <v>NSSC</v>
          </cell>
          <cell r="BC472" t="str">
            <v>F18</v>
          </cell>
        </row>
        <row r="473">
          <cell r="A473" t="str">
            <v>544B4</v>
          </cell>
          <cell r="B473" t="str">
            <v>3</v>
          </cell>
          <cell r="C473" t="str">
            <v>05</v>
          </cell>
          <cell r="D473">
            <v>19</v>
          </cell>
          <cell r="E473" t="str">
            <v>544B4</v>
          </cell>
          <cell r="F473">
            <v>16.260000000000002</v>
          </cell>
          <cell r="G473">
            <v>13.56</v>
          </cell>
          <cell r="H473">
            <v>13.56</v>
          </cell>
          <cell r="I473" t="str">
            <v>FC</v>
          </cell>
          <cell r="J473" t="str">
            <v>ST</v>
          </cell>
          <cell r="K473">
            <v>10</v>
          </cell>
          <cell r="L473">
            <v>45863</v>
          </cell>
          <cell r="M473">
            <v>45863</v>
          </cell>
          <cell r="N473">
            <v>131</v>
          </cell>
          <cell r="O473" t="str">
            <v>NS</v>
          </cell>
          <cell r="P473" t="str">
            <v>NSF18SB3</v>
          </cell>
          <cell r="Q473">
            <v>46168</v>
          </cell>
          <cell r="R473" t="str">
            <v/>
          </cell>
          <cell r="S473" t="str">
            <v/>
          </cell>
          <cell r="T473" t="str">
            <v/>
          </cell>
          <cell r="U473">
            <v>57795</v>
          </cell>
          <cell r="V473">
            <v>71613</v>
          </cell>
          <cell r="W473">
            <v>45792</v>
          </cell>
          <cell r="X473" t="str">
            <v>Lokasi Produksi 544B4 ( gabungan 544B1,2,3 )</v>
          </cell>
          <cell r="Z473">
            <v>10</v>
          </cell>
          <cell r="AA473">
            <v>46168</v>
          </cell>
          <cell r="AB473">
            <v>368.59733611111005</v>
          </cell>
          <cell r="AC473">
            <v>12.286577870370335</v>
          </cell>
          <cell r="AD473">
            <v>-20</v>
          </cell>
          <cell r="AE473">
            <v>0</v>
          </cell>
          <cell r="AF473">
            <v>0</v>
          </cell>
          <cell r="AG473">
            <v>-1362.4</v>
          </cell>
          <cell r="AM473" t="str">
            <v>OK</v>
          </cell>
          <cell r="AO473">
            <v>4.378518441358028</v>
          </cell>
          <cell r="AP473">
            <v>-5.621481558641972</v>
          </cell>
          <cell r="AQ473">
            <v>0</v>
          </cell>
          <cell r="AR473">
            <v>4.378518441358028</v>
          </cell>
          <cell r="AS473">
            <v>0</v>
          </cell>
          <cell r="AT473">
            <v>46168</v>
          </cell>
          <cell r="AU473">
            <v>-5.621481558641972</v>
          </cell>
          <cell r="AV473">
            <v>131.35555324074085</v>
          </cell>
          <cell r="AW473">
            <v>-5.621481558641972</v>
          </cell>
          <cell r="AY473">
            <v>136.46369178241002</v>
          </cell>
          <cell r="AZ473" t="str">
            <v>F18</v>
          </cell>
          <cell r="BA473">
            <v>13.56</v>
          </cell>
          <cell r="BB473" t="str">
            <v>NSFC</v>
          </cell>
          <cell r="BC473" t="str">
            <v>F18SB</v>
          </cell>
        </row>
        <row r="474">
          <cell r="A474" t="str">
            <v>544C1</v>
          </cell>
          <cell r="B474" t="str">
            <v>3</v>
          </cell>
          <cell r="C474" t="str">
            <v>05</v>
          </cell>
          <cell r="D474">
            <v>19</v>
          </cell>
          <cell r="E474" t="str">
            <v>544C1</v>
          </cell>
          <cell r="F474">
            <v>4.6900000000000004</v>
          </cell>
          <cell r="G474">
            <v>3.85</v>
          </cell>
          <cell r="H474">
            <v>3.85</v>
          </cell>
          <cell r="I474" t="str">
            <v>FC</v>
          </cell>
          <cell r="J474" t="str">
            <v>ST</v>
          </cell>
          <cell r="K474">
            <v>10</v>
          </cell>
          <cell r="L474">
            <v>45834</v>
          </cell>
          <cell r="M474">
            <v>45834</v>
          </cell>
          <cell r="N474">
            <v>160</v>
          </cell>
          <cell r="O474" t="str">
            <v>NS</v>
          </cell>
          <cell r="P474" t="str">
            <v>NSF18SB3</v>
          </cell>
          <cell r="Q474">
            <v>46139</v>
          </cell>
          <cell r="R474" t="str">
            <v/>
          </cell>
          <cell r="S474" t="str">
            <v/>
          </cell>
          <cell r="T474" t="str">
            <v/>
          </cell>
          <cell r="U474">
            <v>55872</v>
          </cell>
          <cell r="V474">
            <v>71858</v>
          </cell>
          <cell r="W474">
            <v>45960</v>
          </cell>
          <cell r="X474" t="str">
            <v>Lokasi Produksi 544C1 ( pecahan 544C )</v>
          </cell>
          <cell r="Z474">
            <v>10</v>
          </cell>
          <cell r="AA474">
            <v>46139</v>
          </cell>
          <cell r="AB474">
            <v>217.59733611111005</v>
          </cell>
          <cell r="AC474">
            <v>7.253244537037002</v>
          </cell>
          <cell r="AD474">
            <v>-20</v>
          </cell>
          <cell r="AE474">
            <v>0</v>
          </cell>
          <cell r="AF474">
            <v>0</v>
          </cell>
          <cell r="AG474">
            <v>-1367.4333333333334</v>
          </cell>
          <cell r="AM474" t="str">
            <v>OK</v>
          </cell>
          <cell r="AO474">
            <v>5.3451851080246948</v>
          </cell>
          <cell r="AP474">
            <v>-4.6548148919753052</v>
          </cell>
          <cell r="AQ474">
            <v>0</v>
          </cell>
          <cell r="AR474">
            <v>5.3451851080246948</v>
          </cell>
          <cell r="AS474">
            <v>0</v>
          </cell>
          <cell r="AT474">
            <v>46139</v>
          </cell>
          <cell r="AU474">
            <v>-4.6548148919753052</v>
          </cell>
          <cell r="AV474">
            <v>160.35555324074085</v>
          </cell>
          <cell r="AW474">
            <v>-4.6548148919753052</v>
          </cell>
          <cell r="AY474">
            <v>165.46369178241002</v>
          </cell>
          <cell r="AZ474" t="str">
            <v>F18</v>
          </cell>
          <cell r="BA474">
            <v>3.85</v>
          </cell>
          <cell r="BB474" t="str">
            <v>NSFC</v>
          </cell>
          <cell r="BC474" t="str">
            <v>F18SB</v>
          </cell>
        </row>
        <row r="475">
          <cell r="A475" t="str">
            <v>544C2</v>
          </cell>
          <cell r="B475" t="str">
            <v>3</v>
          </cell>
          <cell r="C475" t="str">
            <v>05</v>
          </cell>
          <cell r="D475">
            <v>19</v>
          </cell>
          <cell r="E475" t="str">
            <v>544C2</v>
          </cell>
          <cell r="F475">
            <v>3.42</v>
          </cell>
          <cell r="G475">
            <v>2.9</v>
          </cell>
          <cell r="H475">
            <v>2.9</v>
          </cell>
          <cell r="I475" t="str">
            <v>FC</v>
          </cell>
          <cell r="J475" t="str">
            <v>ST</v>
          </cell>
          <cell r="K475">
            <v>12</v>
          </cell>
          <cell r="L475">
            <v>45856</v>
          </cell>
          <cell r="M475">
            <v>45856</v>
          </cell>
          <cell r="N475">
            <v>138</v>
          </cell>
          <cell r="O475" t="str">
            <v>NS</v>
          </cell>
          <cell r="P475" t="str">
            <v>NSF18SS3</v>
          </cell>
          <cell r="Q475">
            <v>46222</v>
          </cell>
          <cell r="R475" t="str">
            <v/>
          </cell>
          <cell r="S475" t="str">
            <v/>
          </cell>
          <cell r="T475" t="str">
            <v/>
          </cell>
          <cell r="U475">
            <v>55303</v>
          </cell>
          <cell r="V475">
            <v>5696</v>
          </cell>
          <cell r="W475">
            <v>45854</v>
          </cell>
          <cell r="X475" t="str">
            <v>Lokasi Produksi 544C2 ( pecahan 544C )</v>
          </cell>
          <cell r="Z475">
            <v>12</v>
          </cell>
          <cell r="AA475">
            <v>46222</v>
          </cell>
          <cell r="AB475">
            <v>476.59733611111005</v>
          </cell>
          <cell r="AC475">
            <v>15.886577870370335</v>
          </cell>
          <cell r="AD475">
            <v>-20</v>
          </cell>
          <cell r="AE475">
            <v>0</v>
          </cell>
          <cell r="AF475">
            <v>0</v>
          </cell>
          <cell r="AG475">
            <v>-1358.8</v>
          </cell>
          <cell r="AM475" t="str">
            <v>OK</v>
          </cell>
          <cell r="AO475">
            <v>4.6118517746913614</v>
          </cell>
          <cell r="AP475">
            <v>-7.3881482253086386</v>
          </cell>
          <cell r="AQ475">
            <v>0</v>
          </cell>
          <cell r="AR475">
            <v>4.6118517746913614</v>
          </cell>
          <cell r="AS475">
            <v>0</v>
          </cell>
          <cell r="AT475">
            <v>46222</v>
          </cell>
          <cell r="AU475">
            <v>-7.3881482253086386</v>
          </cell>
          <cell r="AV475">
            <v>138.35555324074085</v>
          </cell>
          <cell r="AW475">
            <v>-7.3881482253086386</v>
          </cell>
          <cell r="AY475">
            <v>143.46369178241002</v>
          </cell>
          <cell r="AZ475" t="str">
            <v>F18</v>
          </cell>
          <cell r="BA475">
            <v>2.9</v>
          </cell>
          <cell r="BB475" t="str">
            <v>NSFC</v>
          </cell>
          <cell r="BC475" t="str">
            <v>F18SS</v>
          </cell>
        </row>
        <row r="476">
          <cell r="A476" t="str">
            <v>544C3</v>
          </cell>
          <cell r="B476" t="str">
            <v>3</v>
          </cell>
          <cell r="C476" t="str">
            <v>05</v>
          </cell>
          <cell r="D476">
            <v>19</v>
          </cell>
          <cell r="E476" t="str">
            <v>544C3</v>
          </cell>
          <cell r="F476">
            <v>5.41</v>
          </cell>
          <cell r="G476">
            <v>4.5199999999999996</v>
          </cell>
          <cell r="H476">
            <v>4.5199999999999996</v>
          </cell>
          <cell r="I476" t="str">
            <v>FC</v>
          </cell>
          <cell r="J476" t="str">
            <v>ST</v>
          </cell>
          <cell r="K476">
            <v>12</v>
          </cell>
          <cell r="L476">
            <v>45856</v>
          </cell>
          <cell r="M476">
            <v>45856</v>
          </cell>
          <cell r="N476">
            <v>138</v>
          </cell>
          <cell r="O476" t="str">
            <v>NS</v>
          </cell>
          <cell r="P476" t="str">
            <v>NSF18SS3</v>
          </cell>
          <cell r="Q476">
            <v>46222</v>
          </cell>
          <cell r="R476" t="str">
            <v/>
          </cell>
          <cell r="S476" t="str">
            <v/>
          </cell>
          <cell r="T476" t="str">
            <v/>
          </cell>
          <cell r="U476">
            <v>59560</v>
          </cell>
          <cell r="V476">
            <v>8461</v>
          </cell>
          <cell r="W476">
            <v>45960</v>
          </cell>
          <cell r="X476" t="str">
            <v>Lokasi Produksi 544C3 ( pecahan 544C )</v>
          </cell>
          <cell r="Z476">
            <v>12</v>
          </cell>
          <cell r="AA476">
            <v>46222</v>
          </cell>
          <cell r="AB476">
            <v>365.59733611111005</v>
          </cell>
          <cell r="AC476">
            <v>12.186577870370336</v>
          </cell>
          <cell r="AD476">
            <v>4.1865778703703356</v>
          </cell>
          <cell r="AE476">
            <v>19.78</v>
          </cell>
          <cell r="AF476">
            <v>0</v>
          </cell>
          <cell r="AG476">
            <v>-1362.5</v>
          </cell>
          <cell r="AM476" t="str">
            <v>OK</v>
          </cell>
          <cell r="AO476">
            <v>4.6118517746913614</v>
          </cell>
          <cell r="AP476">
            <v>-7.3881482253086386</v>
          </cell>
          <cell r="AQ476">
            <v>0</v>
          </cell>
          <cell r="AR476">
            <v>4.6118517746913614</v>
          </cell>
          <cell r="AS476">
            <v>0</v>
          </cell>
          <cell r="AT476">
            <v>46222</v>
          </cell>
          <cell r="AU476">
            <v>-7.3881482253086386</v>
          </cell>
          <cell r="AV476">
            <v>138.35555324074085</v>
          </cell>
          <cell r="AW476">
            <v>-7.3881482253086386</v>
          </cell>
          <cell r="AY476">
            <v>143.46369178241002</v>
          </cell>
          <cell r="AZ476" t="str">
            <v>F18</v>
          </cell>
          <cell r="BA476">
            <v>4.5199999999999996</v>
          </cell>
          <cell r="BB476" t="str">
            <v>NSFC</v>
          </cell>
          <cell r="BC476" t="str">
            <v>F18SS</v>
          </cell>
        </row>
        <row r="477">
          <cell r="A477" t="str">
            <v>544D1A</v>
          </cell>
          <cell r="B477" t="str">
            <v>3</v>
          </cell>
          <cell r="C477" t="str">
            <v>05</v>
          </cell>
          <cell r="D477">
            <v>19</v>
          </cell>
          <cell r="E477" t="str">
            <v>544D1A</v>
          </cell>
          <cell r="F477">
            <v>6.75</v>
          </cell>
          <cell r="G477">
            <v>5.66</v>
          </cell>
          <cell r="H477">
            <v>5.66</v>
          </cell>
          <cell r="I477" t="str">
            <v>FC</v>
          </cell>
          <cell r="J477" t="str">
            <v>ST</v>
          </cell>
          <cell r="K477">
            <v>10</v>
          </cell>
          <cell r="L477">
            <v>45882</v>
          </cell>
          <cell r="M477">
            <v>45882</v>
          </cell>
          <cell r="N477">
            <v>112</v>
          </cell>
          <cell r="O477" t="str">
            <v>NS</v>
          </cell>
          <cell r="P477" t="str">
            <v>NSGP3SB3</v>
          </cell>
          <cell r="Q477">
            <v>46187</v>
          </cell>
          <cell r="R477" t="str">
            <v/>
          </cell>
          <cell r="S477" t="str">
            <v/>
          </cell>
          <cell r="T477" t="str">
            <v/>
          </cell>
          <cell r="U477">
            <v>65699</v>
          </cell>
          <cell r="V477">
            <v>72254</v>
          </cell>
          <cell r="W477">
            <v>45708</v>
          </cell>
          <cell r="X477" t="str">
            <v>Lokasi Produksi 544D1A ( pecahan 544D1 )</v>
          </cell>
          <cell r="Z477">
            <v>10</v>
          </cell>
          <cell r="AA477">
            <v>46187</v>
          </cell>
          <cell r="AB477">
            <v>442.59733611111005</v>
          </cell>
          <cell r="AC477">
            <v>14.753244537037002</v>
          </cell>
          <cell r="AD477">
            <v>-20</v>
          </cell>
          <cell r="AE477">
            <v>0</v>
          </cell>
          <cell r="AF477">
            <v>0</v>
          </cell>
          <cell r="AG477">
            <v>-1359.9333333333334</v>
          </cell>
          <cell r="AM477" t="str">
            <v>OK</v>
          </cell>
          <cell r="AO477">
            <v>3.7451851080246947</v>
          </cell>
          <cell r="AP477">
            <v>-6.2548148919753057</v>
          </cell>
          <cell r="AQ477">
            <v>0</v>
          </cell>
          <cell r="AR477">
            <v>3.7451851080246947</v>
          </cell>
          <cell r="AS477">
            <v>0</v>
          </cell>
          <cell r="AT477">
            <v>46187</v>
          </cell>
          <cell r="AU477">
            <v>-6.2548148919753057</v>
          </cell>
          <cell r="AV477">
            <v>112.35555324074085</v>
          </cell>
          <cell r="AW477">
            <v>-6.2548148919753057</v>
          </cell>
          <cell r="AY477">
            <v>117.46369178241002</v>
          </cell>
          <cell r="AZ477" t="str">
            <v>GP3</v>
          </cell>
          <cell r="BA477">
            <v>5.66</v>
          </cell>
          <cell r="BB477" t="str">
            <v>NSFC</v>
          </cell>
          <cell r="BC477" t="str">
            <v>GP3SB</v>
          </cell>
        </row>
        <row r="478">
          <cell r="A478" t="str">
            <v>544D1B</v>
          </cell>
          <cell r="B478" t="str">
            <v>3</v>
          </cell>
          <cell r="C478" t="str">
            <v>05</v>
          </cell>
          <cell r="D478">
            <v>19</v>
          </cell>
          <cell r="E478" t="str">
            <v>544D1B</v>
          </cell>
          <cell r="F478">
            <v>6.56</v>
          </cell>
          <cell r="G478">
            <v>5.48</v>
          </cell>
          <cell r="H478">
            <v>5.48</v>
          </cell>
          <cell r="I478" t="str">
            <v>FC</v>
          </cell>
          <cell r="J478" t="str">
            <v>ST</v>
          </cell>
          <cell r="K478">
            <v>14</v>
          </cell>
          <cell r="L478">
            <v>45882</v>
          </cell>
          <cell r="M478">
            <v>45882</v>
          </cell>
          <cell r="N478">
            <v>112</v>
          </cell>
          <cell r="O478" t="str">
            <v>NS</v>
          </cell>
          <cell r="P478" t="str">
            <v>NSGP3SK3</v>
          </cell>
          <cell r="Q478">
            <v>46309</v>
          </cell>
          <cell r="R478" t="str">
            <v/>
          </cell>
          <cell r="S478" t="str">
            <v/>
          </cell>
          <cell r="T478" t="str">
            <v/>
          </cell>
          <cell r="U478">
            <v>69844</v>
          </cell>
          <cell r="V478">
            <v>12080</v>
          </cell>
          <cell r="W478">
            <v>45708</v>
          </cell>
          <cell r="X478" t="str">
            <v>Lokasi Produksi 544D1B ( pecahan 544D1 )</v>
          </cell>
          <cell r="Z478">
            <v>14</v>
          </cell>
          <cell r="AA478">
            <v>46309</v>
          </cell>
          <cell r="AB478">
            <v>48.597336111110053</v>
          </cell>
          <cell r="AC478">
            <v>1.6199112037036685</v>
          </cell>
          <cell r="AD478">
            <v>-20</v>
          </cell>
          <cell r="AE478">
            <v>0</v>
          </cell>
          <cell r="AF478">
            <v>0</v>
          </cell>
          <cell r="AG478">
            <v>-1373.0666666666666</v>
          </cell>
          <cell r="AM478" t="str">
            <v>OK</v>
          </cell>
          <cell r="AO478">
            <v>3.7451851080246947</v>
          </cell>
          <cell r="AP478">
            <v>-10.254814891975306</v>
          </cell>
          <cell r="AQ478">
            <v>0</v>
          </cell>
          <cell r="AR478">
            <v>3.7451851080246947</v>
          </cell>
          <cell r="AS478">
            <v>0</v>
          </cell>
          <cell r="AT478">
            <v>46309</v>
          </cell>
          <cell r="AU478">
            <v>-10.254814891975306</v>
          </cell>
          <cell r="AV478">
            <v>112.35555324074085</v>
          </cell>
          <cell r="AW478">
            <v>-10.254814891975306</v>
          </cell>
          <cell r="AY478">
            <v>117.46369178241002</v>
          </cell>
          <cell r="AZ478" t="str">
            <v>GP3</v>
          </cell>
          <cell r="BA478">
            <v>5.48</v>
          </cell>
          <cell r="BB478" t="str">
            <v>NSFC</v>
          </cell>
          <cell r="BC478" t="str">
            <v>GP3SK</v>
          </cell>
        </row>
        <row r="479">
          <cell r="A479" t="str">
            <v>544D2A</v>
          </cell>
          <cell r="B479" t="str">
            <v>3</v>
          </cell>
          <cell r="C479" t="str">
            <v>05</v>
          </cell>
          <cell r="D479">
            <v>19</v>
          </cell>
          <cell r="E479" t="str">
            <v>544D2A</v>
          </cell>
          <cell r="F479">
            <v>4.8600000000000003</v>
          </cell>
          <cell r="G479">
            <v>4.09</v>
          </cell>
          <cell r="H479">
            <v>4.09</v>
          </cell>
          <cell r="I479" t="str">
            <v>FC</v>
          </cell>
          <cell r="J479" t="str">
            <v>ST</v>
          </cell>
          <cell r="K479">
            <v>12</v>
          </cell>
          <cell r="L479">
            <v>45877</v>
          </cell>
          <cell r="M479">
            <v>45877</v>
          </cell>
          <cell r="N479">
            <v>117</v>
          </cell>
          <cell r="O479" t="str">
            <v>NS</v>
          </cell>
          <cell r="P479" t="str">
            <v>NSGP3SS3</v>
          </cell>
          <cell r="Q479">
            <v>46243</v>
          </cell>
          <cell r="R479" t="str">
            <v/>
          </cell>
          <cell r="S479" t="str">
            <v/>
          </cell>
          <cell r="T479" t="str">
            <v/>
          </cell>
          <cell r="U479">
            <v>67226</v>
          </cell>
          <cell r="V479">
            <v>8968</v>
          </cell>
          <cell r="W479">
            <v>45708</v>
          </cell>
          <cell r="X479" t="str">
            <v>Lokasi Produksi 544D2A ( pecahan 544D2 )</v>
          </cell>
          <cell r="Z479">
            <v>12</v>
          </cell>
          <cell r="AA479">
            <v>46243</v>
          </cell>
          <cell r="AB479">
            <v>5115.5973361111101</v>
          </cell>
          <cell r="AC479">
            <v>170.51991120370366</v>
          </cell>
          <cell r="AD479">
            <v>-20</v>
          </cell>
          <cell r="AE479">
            <v>0</v>
          </cell>
          <cell r="AF479">
            <v>0</v>
          </cell>
          <cell r="AG479">
            <v>-1204.1666666666667</v>
          </cell>
          <cell r="AM479" t="str">
            <v>OK</v>
          </cell>
          <cell r="AO479">
            <v>3.9118517746913617</v>
          </cell>
          <cell r="AP479">
            <v>-8.0881482253086379</v>
          </cell>
          <cell r="AQ479">
            <v>0</v>
          </cell>
          <cell r="AR479">
            <v>3.9118517746913617</v>
          </cell>
          <cell r="AS479">
            <v>0</v>
          </cell>
          <cell r="AT479">
            <v>46243</v>
          </cell>
          <cell r="AU479">
            <v>-8.0881482253086379</v>
          </cell>
          <cell r="AV479">
            <v>117.35555324074085</v>
          </cell>
          <cell r="AW479">
            <v>-8.0881482253086379</v>
          </cell>
          <cell r="AY479">
            <v>122.46369178241002</v>
          </cell>
          <cell r="AZ479" t="str">
            <v>GP3</v>
          </cell>
          <cell r="BA479">
            <v>4.09</v>
          </cell>
          <cell r="BB479" t="str">
            <v>NSFC</v>
          </cell>
          <cell r="BC479" t="str">
            <v>GP3SS</v>
          </cell>
        </row>
        <row r="480">
          <cell r="A480" t="str">
            <v>544D2B</v>
          </cell>
          <cell r="B480" t="str">
            <v>3</v>
          </cell>
          <cell r="C480" t="str">
            <v>05</v>
          </cell>
          <cell r="D480">
            <v>19</v>
          </cell>
          <cell r="E480" t="str">
            <v>544D2B</v>
          </cell>
          <cell r="F480">
            <v>4</v>
          </cell>
          <cell r="G480">
            <v>3.31</v>
          </cell>
          <cell r="H480">
            <v>3.31</v>
          </cell>
          <cell r="I480" t="str">
            <v>FC</v>
          </cell>
          <cell r="J480" t="str">
            <v>ST</v>
          </cell>
          <cell r="K480">
            <v>12</v>
          </cell>
          <cell r="L480">
            <v>45881</v>
          </cell>
          <cell r="M480">
            <v>45881</v>
          </cell>
          <cell r="N480">
            <v>113</v>
          </cell>
          <cell r="O480" t="str">
            <v>NS</v>
          </cell>
          <cell r="P480" t="str">
            <v>NSGP3SS3</v>
          </cell>
          <cell r="Q480">
            <v>46247</v>
          </cell>
          <cell r="R480" t="str">
            <v/>
          </cell>
          <cell r="S480" t="str">
            <v/>
          </cell>
          <cell r="T480" t="str">
            <v/>
          </cell>
          <cell r="U480">
            <v>65594</v>
          </cell>
          <cell r="V480">
            <v>7759</v>
          </cell>
          <cell r="W480">
            <v>45708</v>
          </cell>
          <cell r="X480" t="str">
            <v>Lokasi Produksi 544D2B ( pecahan 544D2 )</v>
          </cell>
          <cell r="Z480">
            <v>12</v>
          </cell>
          <cell r="AA480">
            <v>46247</v>
          </cell>
          <cell r="AB480">
            <v>155.59733611111005</v>
          </cell>
          <cell r="AC480">
            <v>5.1865778703703347</v>
          </cell>
          <cell r="AD480">
            <v>-20</v>
          </cell>
          <cell r="AE480">
            <v>0</v>
          </cell>
          <cell r="AF480">
            <v>0</v>
          </cell>
          <cell r="AG480">
            <v>-1369.5</v>
          </cell>
          <cell r="AM480" t="str">
            <v>OK</v>
          </cell>
          <cell r="AO480">
            <v>3.7785184413580284</v>
          </cell>
          <cell r="AP480">
            <v>-8.2214815586419725</v>
          </cell>
          <cell r="AQ480">
            <v>0</v>
          </cell>
          <cell r="AR480">
            <v>3.7785184413580284</v>
          </cell>
          <cell r="AS480">
            <v>0</v>
          </cell>
          <cell r="AT480">
            <v>46247</v>
          </cell>
          <cell r="AU480">
            <v>-8.2214815586419725</v>
          </cell>
          <cell r="AV480">
            <v>113.35555324074085</v>
          </cell>
          <cell r="AW480">
            <v>-8.2214815586419725</v>
          </cell>
          <cell r="AY480">
            <v>118.46369178241002</v>
          </cell>
          <cell r="AZ480" t="str">
            <v>GP3</v>
          </cell>
          <cell r="BA480">
            <v>3.31</v>
          </cell>
          <cell r="BB480" t="str">
            <v>NSFC</v>
          </cell>
          <cell r="BC480" t="str">
            <v>GP3SS</v>
          </cell>
        </row>
        <row r="481">
          <cell r="A481" t="str">
            <v>545A1</v>
          </cell>
          <cell r="B481" t="str">
            <v>3</v>
          </cell>
          <cell r="C481" t="str">
            <v>05</v>
          </cell>
          <cell r="D481">
            <v>19</v>
          </cell>
          <cell r="E481" t="str">
            <v>545A1</v>
          </cell>
          <cell r="F481">
            <v>15.31</v>
          </cell>
          <cell r="G481">
            <v>12.2</v>
          </cell>
          <cell r="H481">
            <v>12.2</v>
          </cell>
          <cell r="I481" t="str">
            <v>SC</v>
          </cell>
          <cell r="J481" t="str">
            <v>FC</v>
          </cell>
          <cell r="K481">
            <v>8</v>
          </cell>
          <cell r="L481">
            <v>45867</v>
          </cell>
          <cell r="M481">
            <v>45867</v>
          </cell>
          <cell r="N481">
            <v>127</v>
          </cell>
          <cell r="O481" t="str">
            <v>NS</v>
          </cell>
          <cell r="P481" t="str">
            <v/>
          </cell>
          <cell r="Q481">
            <v>46111</v>
          </cell>
          <cell r="R481" t="str">
            <v/>
          </cell>
          <cell r="S481" t="str">
            <v/>
          </cell>
          <cell r="T481" t="str">
            <v/>
          </cell>
          <cell r="U481">
            <v>65959</v>
          </cell>
          <cell r="V481">
            <v>67069</v>
          </cell>
          <cell r="W481">
            <v>44888</v>
          </cell>
          <cell r="X481" t="str">
            <v>Lokasi produksi 545A1</v>
          </cell>
          <cell r="Z481">
            <v>8</v>
          </cell>
          <cell r="AA481">
            <v>46111</v>
          </cell>
          <cell r="AB481">
            <v>264.59733611111005</v>
          </cell>
          <cell r="AC481">
            <v>8.8199112037036684</v>
          </cell>
          <cell r="AD481">
            <v>0.81991120370366843</v>
          </cell>
          <cell r="AE481">
            <v>10.94</v>
          </cell>
          <cell r="AF481">
            <v>0</v>
          </cell>
          <cell r="AG481">
            <v>-1365.8666666666666</v>
          </cell>
          <cell r="AM481" t="str">
            <v>OK</v>
          </cell>
          <cell r="AO481">
            <v>4.2451851080246952</v>
          </cell>
          <cell r="AP481">
            <v>-3.7548148919753048</v>
          </cell>
          <cell r="AQ481">
            <v>0</v>
          </cell>
          <cell r="AR481">
            <v>4.2451851080246952</v>
          </cell>
          <cell r="AS481">
            <v>0</v>
          </cell>
          <cell r="AT481">
            <v>46111</v>
          </cell>
          <cell r="AU481">
            <v>-3.7548148919753048</v>
          </cell>
          <cell r="AV481">
            <v>127.35555324074086</v>
          </cell>
          <cell r="AW481">
            <v>-3.7548148919753048</v>
          </cell>
          <cell r="AY481">
            <v>132.46369178241002</v>
          </cell>
          <cell r="AZ481" t="str">
            <v>F18</v>
          </cell>
          <cell r="BA481">
            <v>12.2</v>
          </cell>
          <cell r="BB481" t="str">
            <v>NSSC</v>
          </cell>
          <cell r="BC481" t="str">
            <v>F18</v>
          </cell>
        </row>
        <row r="482">
          <cell r="A482" t="str">
            <v>545A2A</v>
          </cell>
          <cell r="B482" t="str">
            <v>3</v>
          </cell>
          <cell r="C482" t="str">
            <v>05</v>
          </cell>
          <cell r="D482">
            <v>19</v>
          </cell>
          <cell r="E482" t="str">
            <v>545A2A</v>
          </cell>
          <cell r="F482">
            <v>8.32</v>
          </cell>
          <cell r="G482">
            <v>7.01</v>
          </cell>
          <cell r="H482">
            <v>7.01</v>
          </cell>
          <cell r="I482" t="str">
            <v>FC</v>
          </cell>
          <cell r="J482" t="str">
            <v>ST</v>
          </cell>
          <cell r="K482">
            <v>14</v>
          </cell>
          <cell r="L482">
            <v>45595</v>
          </cell>
          <cell r="M482">
            <v>45595</v>
          </cell>
          <cell r="N482">
            <v>399</v>
          </cell>
          <cell r="O482" t="str">
            <v>NS</v>
          </cell>
          <cell r="P482" t="str">
            <v>NSGP3CK3</v>
          </cell>
          <cell r="Q482">
            <v>46022</v>
          </cell>
          <cell r="R482" t="str">
            <v/>
          </cell>
          <cell r="S482" t="str">
            <v/>
          </cell>
          <cell r="T482" t="str">
            <v/>
          </cell>
          <cell r="U482">
            <v>62755</v>
          </cell>
          <cell r="V482">
            <v>62039</v>
          </cell>
          <cell r="W482" t="str">
            <v/>
          </cell>
          <cell r="X482" t="str">
            <v>Lokasi Produksi 545A2A ( pecahan 545A2 )</v>
          </cell>
          <cell r="Z482">
            <v>14</v>
          </cell>
          <cell r="AA482">
            <v>46022</v>
          </cell>
          <cell r="AB482">
            <v>292.59733611111005</v>
          </cell>
          <cell r="AC482">
            <v>9.753244537037002</v>
          </cell>
          <cell r="AD482">
            <v>1.753244537037002</v>
          </cell>
          <cell r="AE482">
            <v>14.67</v>
          </cell>
          <cell r="AF482">
            <v>0</v>
          </cell>
          <cell r="AG482">
            <v>-1364.9333333333334</v>
          </cell>
          <cell r="AK482">
            <v>40297</v>
          </cell>
          <cell r="AM482" t="str">
            <v>OK</v>
          </cell>
          <cell r="AO482">
            <v>13.311851774691361</v>
          </cell>
          <cell r="AP482">
            <v>-0.68814822530863928</v>
          </cell>
          <cell r="AQ482">
            <v>0</v>
          </cell>
          <cell r="AR482">
            <v>13.311851774691361</v>
          </cell>
          <cell r="AS482">
            <v>0</v>
          </cell>
          <cell r="AT482">
            <v>46022</v>
          </cell>
          <cell r="AU482">
            <v>-0.68814822530863928</v>
          </cell>
          <cell r="AV482">
            <v>399.35555324074085</v>
          </cell>
          <cell r="AW482">
            <v>-0.68814822530863928</v>
          </cell>
          <cell r="AY482">
            <v>404.46369178241002</v>
          </cell>
          <cell r="AZ482" t="str">
            <v>GP3</v>
          </cell>
          <cell r="BA482">
            <v>7.01</v>
          </cell>
          <cell r="BB482" t="str">
            <v>NSFC</v>
          </cell>
          <cell r="BC482" t="str">
            <v>GP3CK</v>
          </cell>
        </row>
        <row r="483">
          <cell r="A483" t="str">
            <v>545A2B</v>
          </cell>
          <cell r="B483" t="str">
            <v>3</v>
          </cell>
          <cell r="C483" t="str">
            <v>05</v>
          </cell>
          <cell r="D483">
            <v>19</v>
          </cell>
          <cell r="E483" t="str">
            <v>545A2B</v>
          </cell>
          <cell r="F483">
            <v>8.18</v>
          </cell>
          <cell r="G483">
            <v>6.82</v>
          </cell>
          <cell r="H483">
            <v>6.82</v>
          </cell>
          <cell r="I483" t="str">
            <v>FC</v>
          </cell>
          <cell r="J483" t="str">
            <v>ST</v>
          </cell>
          <cell r="K483">
            <v>14</v>
          </cell>
          <cell r="L483">
            <v>45590</v>
          </cell>
          <cell r="M483">
            <v>45590</v>
          </cell>
          <cell r="N483">
            <v>404</v>
          </cell>
          <cell r="O483" t="str">
            <v>NS</v>
          </cell>
          <cell r="P483" t="str">
            <v>NSGP3CK3</v>
          </cell>
          <cell r="Q483">
            <v>46017</v>
          </cell>
          <cell r="R483" t="str">
            <v/>
          </cell>
          <cell r="S483" t="str">
            <v/>
          </cell>
          <cell r="T483" t="str">
            <v/>
          </cell>
          <cell r="U483">
            <v>63949</v>
          </cell>
          <cell r="V483">
            <v>60715</v>
          </cell>
          <cell r="W483" t="str">
            <v/>
          </cell>
          <cell r="X483" t="str">
            <v>Lokasi Produksi 545A2B ( pecahan 545A2 )</v>
          </cell>
          <cell r="Z483">
            <v>14</v>
          </cell>
          <cell r="AA483">
            <v>46017</v>
          </cell>
          <cell r="AB483">
            <v>169.59733611111005</v>
          </cell>
          <cell r="AC483">
            <v>5.6532445370370015</v>
          </cell>
          <cell r="AD483">
            <v>-20</v>
          </cell>
          <cell r="AE483">
            <v>0</v>
          </cell>
          <cell r="AF483">
            <v>0</v>
          </cell>
          <cell r="AG483">
            <v>-1369.0333333333333</v>
          </cell>
          <cell r="AM483" t="str">
            <v>OK</v>
          </cell>
          <cell r="AO483">
            <v>13.478518441358029</v>
          </cell>
          <cell r="AP483">
            <v>-0.52148155864197143</v>
          </cell>
          <cell r="AQ483">
            <v>0</v>
          </cell>
          <cell r="AR483">
            <v>13.478518441358029</v>
          </cell>
          <cell r="AS483">
            <v>0</v>
          </cell>
          <cell r="AT483">
            <v>46017</v>
          </cell>
          <cell r="AU483">
            <v>-0.52148155864197143</v>
          </cell>
          <cell r="AV483">
            <v>404.35555324074085</v>
          </cell>
          <cell r="AW483">
            <v>-0.52148155864197143</v>
          </cell>
          <cell r="AY483">
            <v>409.46369178241002</v>
          </cell>
          <cell r="AZ483" t="str">
            <v>GP3</v>
          </cell>
          <cell r="BA483">
            <v>6.82</v>
          </cell>
          <cell r="BB483" t="str">
            <v>NSFC</v>
          </cell>
          <cell r="BC483" t="str">
            <v>GP3CK</v>
          </cell>
        </row>
        <row r="484">
          <cell r="A484" t="str">
            <v>545AS</v>
          </cell>
          <cell r="B484" t="str">
            <v>3</v>
          </cell>
          <cell r="C484" t="str">
            <v>05</v>
          </cell>
          <cell r="D484">
            <v>19</v>
          </cell>
          <cell r="E484" t="str">
            <v>545AS</v>
          </cell>
          <cell r="F484">
            <v>1.1200000000000001</v>
          </cell>
          <cell r="G484">
            <v>1.1200000000000001</v>
          </cell>
          <cell r="H484">
            <v>1.1200000000000001</v>
          </cell>
          <cell r="I484" t="str">
            <v>FC</v>
          </cell>
          <cell r="J484" t="str">
            <v>ST</v>
          </cell>
          <cell r="K484">
            <v>0</v>
          </cell>
          <cell r="L484">
            <v>45612</v>
          </cell>
          <cell r="M484">
            <v>45612</v>
          </cell>
          <cell r="N484">
            <v>382</v>
          </cell>
          <cell r="O484" t="str">
            <v>SK</v>
          </cell>
          <cell r="P484" t="str">
            <v/>
          </cell>
          <cell r="Q484">
            <v>45612</v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>Lokasi Produksi 545AS ( singkong )</v>
          </cell>
          <cell r="Z484">
            <v>0</v>
          </cell>
          <cell r="AA484">
            <v>45612</v>
          </cell>
          <cell r="AB484">
            <v>169.59733611111005</v>
          </cell>
          <cell r="AC484">
            <v>5.6532445370370015</v>
          </cell>
          <cell r="AD484">
            <v>-20</v>
          </cell>
          <cell r="AE484">
            <v>0</v>
          </cell>
          <cell r="AF484">
            <v>0</v>
          </cell>
          <cell r="AG484">
            <v>-1369.0333333333333</v>
          </cell>
          <cell r="AM484" t="str">
            <v>OK</v>
          </cell>
          <cell r="AO484">
            <v>12.745185108024694</v>
          </cell>
          <cell r="AP484">
            <v>12.745185108024694</v>
          </cell>
          <cell r="AQ484">
            <v>0</v>
          </cell>
          <cell r="AR484">
            <v>12.745185108024694</v>
          </cell>
          <cell r="AS484">
            <v>0</v>
          </cell>
          <cell r="AT484">
            <v>45612</v>
          </cell>
          <cell r="AU484">
            <v>12.745185108024694</v>
          </cell>
          <cell r="AV484">
            <v>382.35555324074085</v>
          </cell>
          <cell r="AW484">
            <v>12.745185108024694</v>
          </cell>
          <cell r="AY484">
            <v>387.46369178241002</v>
          </cell>
          <cell r="AZ484" t="str">
            <v>F18</v>
          </cell>
          <cell r="BA484">
            <v>0</v>
          </cell>
          <cell r="BB484" t="str">
            <v>SKFC</v>
          </cell>
          <cell r="BC484" t="str">
            <v>F18</v>
          </cell>
        </row>
        <row r="485">
          <cell r="A485" t="str">
            <v>545B1</v>
          </cell>
          <cell r="B485" t="str">
            <v>3</v>
          </cell>
          <cell r="C485" t="str">
            <v>05</v>
          </cell>
          <cell r="D485">
            <v>19</v>
          </cell>
          <cell r="E485" t="str">
            <v>545B1</v>
          </cell>
          <cell r="F485">
            <v>5.8</v>
          </cell>
          <cell r="G485">
            <v>4.13</v>
          </cell>
          <cell r="H485">
            <v>4.13</v>
          </cell>
          <cell r="I485" t="str">
            <v>Y2</v>
          </cell>
          <cell r="J485" t="str">
            <v>FC</v>
          </cell>
          <cell r="K485">
            <v>0</v>
          </cell>
          <cell r="L485">
            <v>45644</v>
          </cell>
          <cell r="M485">
            <v>45644</v>
          </cell>
          <cell r="N485">
            <v>350</v>
          </cell>
          <cell r="O485" t="str">
            <v>PS</v>
          </cell>
          <cell r="P485" t="str">
            <v/>
          </cell>
          <cell r="Q485">
            <v>45644</v>
          </cell>
          <cell r="R485" t="str">
            <v/>
          </cell>
          <cell r="S485" t="str">
            <v/>
          </cell>
          <cell r="T485" t="str">
            <v/>
          </cell>
          <cell r="U485">
            <v>11802</v>
          </cell>
          <cell r="V485" t="str">
            <v/>
          </cell>
          <cell r="W485">
            <v>45644</v>
          </cell>
          <cell r="X485" t="str">
            <v>Lokasi Produksi 545B1 ( pecahan 545B )</v>
          </cell>
          <cell r="Z485">
            <v>0</v>
          </cell>
          <cell r="AA485">
            <v>45644</v>
          </cell>
          <cell r="AB485">
            <v>379.59733611111005</v>
          </cell>
          <cell r="AC485">
            <v>12.653244537037002</v>
          </cell>
          <cell r="AD485">
            <v>4.6532445370370024</v>
          </cell>
          <cell r="AE485">
            <v>6.81</v>
          </cell>
          <cell r="AF485">
            <v>0</v>
          </cell>
          <cell r="AG485">
            <v>-1362.0333333333333</v>
          </cell>
          <cell r="AM485" t="str">
            <v>OK</v>
          </cell>
          <cell r="AO485">
            <v>11.678518441358028</v>
          </cell>
          <cell r="AP485">
            <v>11.678518441358028</v>
          </cell>
          <cell r="AQ485">
            <v>0</v>
          </cell>
          <cell r="AR485">
            <v>11.678518441358028</v>
          </cell>
          <cell r="AS485">
            <v>0</v>
          </cell>
          <cell r="AT485">
            <v>45644</v>
          </cell>
          <cell r="AU485">
            <v>11.678518441358028</v>
          </cell>
          <cell r="AV485">
            <v>350.35555324074085</v>
          </cell>
          <cell r="AW485">
            <v>11.678518441358028</v>
          </cell>
          <cell r="AY485">
            <v>355.46369178241002</v>
          </cell>
          <cell r="AZ485" t="str">
            <v>F18</v>
          </cell>
          <cell r="BA485">
            <v>0</v>
          </cell>
          <cell r="BB485" t="str">
            <v>PSY2</v>
          </cell>
          <cell r="BC485" t="str">
            <v>F18</v>
          </cell>
        </row>
        <row r="486">
          <cell r="A486" t="str">
            <v>545B2</v>
          </cell>
          <cell r="B486" t="str">
            <v>3</v>
          </cell>
          <cell r="C486" t="str">
            <v>05</v>
          </cell>
          <cell r="D486">
            <v>19</v>
          </cell>
          <cell r="E486" t="str">
            <v>545B2</v>
          </cell>
          <cell r="F486">
            <v>7.01</v>
          </cell>
          <cell r="G486">
            <v>5.09</v>
          </cell>
          <cell r="H486">
            <v>5.09</v>
          </cell>
          <cell r="I486" t="str">
            <v>Y2</v>
          </cell>
          <cell r="J486" t="str">
            <v>FC</v>
          </cell>
          <cell r="K486">
            <v>0</v>
          </cell>
          <cell r="L486">
            <v>45644</v>
          </cell>
          <cell r="M486">
            <v>45644</v>
          </cell>
          <cell r="N486">
            <v>350</v>
          </cell>
          <cell r="O486" t="str">
            <v>PS</v>
          </cell>
          <cell r="P486" t="str">
            <v/>
          </cell>
          <cell r="Q486">
            <v>45644</v>
          </cell>
          <cell r="R486" t="str">
            <v/>
          </cell>
          <cell r="S486" t="str">
            <v/>
          </cell>
          <cell r="T486" t="str">
            <v/>
          </cell>
          <cell r="U486">
            <v>13431</v>
          </cell>
          <cell r="V486" t="str">
            <v/>
          </cell>
          <cell r="W486">
            <v>45644</v>
          </cell>
          <cell r="X486" t="str">
            <v>Lokasi Produksi 545B2 ( pecahan 545B )</v>
          </cell>
          <cell r="Z486">
            <v>0</v>
          </cell>
          <cell r="AA486">
            <v>45644</v>
          </cell>
          <cell r="AB486">
            <v>350.59733611111005</v>
          </cell>
          <cell r="AC486">
            <v>11.686577870370336</v>
          </cell>
          <cell r="AD486">
            <v>3.6865778703703356</v>
          </cell>
          <cell r="AE486">
            <v>17.87</v>
          </cell>
          <cell r="AF486">
            <v>0</v>
          </cell>
          <cell r="AG486">
            <v>-1363</v>
          </cell>
          <cell r="AM486" t="str">
            <v>OK</v>
          </cell>
          <cell r="AO486">
            <v>11.678518441358028</v>
          </cell>
          <cell r="AP486">
            <v>11.678518441358028</v>
          </cell>
          <cell r="AQ486">
            <v>0</v>
          </cell>
          <cell r="AR486">
            <v>11.678518441358028</v>
          </cell>
          <cell r="AS486">
            <v>0</v>
          </cell>
          <cell r="AT486">
            <v>45644</v>
          </cell>
          <cell r="AU486">
            <v>11.678518441358028</v>
          </cell>
          <cell r="AV486">
            <v>350.35555324074085</v>
          </cell>
          <cell r="AW486">
            <v>11.678518441358028</v>
          </cell>
          <cell r="AY486">
            <v>355.46369178241002</v>
          </cell>
          <cell r="AZ486" t="str">
            <v>F18</v>
          </cell>
          <cell r="BA486">
            <v>0</v>
          </cell>
          <cell r="BB486" t="str">
            <v>PSY2</v>
          </cell>
          <cell r="BC486" t="str">
            <v>F18</v>
          </cell>
        </row>
        <row r="487">
          <cell r="A487" t="str">
            <v>545B3</v>
          </cell>
          <cell r="B487" t="str">
            <v>3</v>
          </cell>
          <cell r="C487" t="str">
            <v>05</v>
          </cell>
          <cell r="D487">
            <v>19</v>
          </cell>
          <cell r="E487" t="str">
            <v>545B3</v>
          </cell>
          <cell r="F487">
            <v>6.31</v>
          </cell>
          <cell r="G487">
            <v>4.6500000000000004</v>
          </cell>
          <cell r="H487">
            <v>4.6500000000000004</v>
          </cell>
          <cell r="I487" t="str">
            <v>Y2</v>
          </cell>
          <cell r="J487" t="str">
            <v>FC</v>
          </cell>
          <cell r="K487">
            <v>0</v>
          </cell>
          <cell r="L487">
            <v>45644</v>
          </cell>
          <cell r="M487">
            <v>45644</v>
          </cell>
          <cell r="N487">
            <v>350</v>
          </cell>
          <cell r="O487" t="str">
            <v>PS</v>
          </cell>
          <cell r="P487" t="str">
            <v/>
          </cell>
          <cell r="Q487">
            <v>45644</v>
          </cell>
          <cell r="R487" t="str">
            <v/>
          </cell>
          <cell r="S487" t="str">
            <v/>
          </cell>
          <cell r="T487" t="str">
            <v/>
          </cell>
          <cell r="U487">
            <v>12396</v>
          </cell>
          <cell r="V487" t="str">
            <v/>
          </cell>
          <cell r="W487">
            <v>45644</v>
          </cell>
          <cell r="X487" t="str">
            <v>Lokasi Produksi 545B3 ( pecahan 545B )</v>
          </cell>
          <cell r="Z487">
            <v>0</v>
          </cell>
          <cell r="AA487">
            <v>45644</v>
          </cell>
          <cell r="AB487">
            <v>5115.5973361111101</v>
          </cell>
          <cell r="AC487">
            <v>170.51991120370366</v>
          </cell>
          <cell r="AD487">
            <v>-20</v>
          </cell>
          <cell r="AE487">
            <v>0</v>
          </cell>
          <cell r="AF487">
            <v>0</v>
          </cell>
          <cell r="AG487">
            <v>-1204.1666666666667</v>
          </cell>
          <cell r="AM487" t="str">
            <v>OK</v>
          </cell>
          <cell r="AO487">
            <v>11.678518441358028</v>
          </cell>
          <cell r="AP487">
            <v>11.678518441358028</v>
          </cell>
          <cell r="AQ487">
            <v>0</v>
          </cell>
          <cell r="AR487">
            <v>11.678518441358028</v>
          </cell>
          <cell r="AS487">
            <v>0</v>
          </cell>
          <cell r="AT487">
            <v>45644</v>
          </cell>
          <cell r="AU487">
            <v>11.678518441358028</v>
          </cell>
          <cell r="AV487">
            <v>350.35555324074085</v>
          </cell>
          <cell r="AW487">
            <v>11.678518441358028</v>
          </cell>
          <cell r="AY487">
            <v>355.46369178241002</v>
          </cell>
          <cell r="AZ487" t="str">
            <v>F18</v>
          </cell>
          <cell r="BA487">
            <v>0</v>
          </cell>
          <cell r="BB487" t="str">
            <v>PSY2</v>
          </cell>
          <cell r="BC487" t="str">
            <v>F18</v>
          </cell>
        </row>
        <row r="488">
          <cell r="A488" t="str">
            <v>545C1</v>
          </cell>
          <cell r="B488" t="str">
            <v>3</v>
          </cell>
          <cell r="C488" t="str">
            <v>05</v>
          </cell>
          <cell r="D488">
            <v>19</v>
          </cell>
          <cell r="E488" t="str">
            <v>545C1</v>
          </cell>
          <cell r="F488">
            <v>6.4</v>
          </cell>
          <cell r="G488">
            <v>4.42</v>
          </cell>
          <cell r="H488">
            <v>4.42</v>
          </cell>
          <cell r="I488" t="str">
            <v>SR</v>
          </cell>
          <cell r="J488" t="str">
            <v>SC</v>
          </cell>
          <cell r="K488">
            <v>0</v>
          </cell>
          <cell r="L488">
            <v>45604</v>
          </cell>
          <cell r="M488">
            <v>45604</v>
          </cell>
          <cell r="N488">
            <v>390</v>
          </cell>
          <cell r="O488" t="str">
            <v>PS</v>
          </cell>
          <cell r="P488" t="str">
            <v/>
          </cell>
          <cell r="Q488">
            <v>45604</v>
          </cell>
          <cell r="R488" t="str">
            <v/>
          </cell>
          <cell r="S488" t="str">
            <v/>
          </cell>
          <cell r="T488" t="str">
            <v/>
          </cell>
          <cell r="U488">
            <v>11934</v>
          </cell>
          <cell r="V488" t="str">
            <v/>
          </cell>
          <cell r="W488">
            <v>45604</v>
          </cell>
          <cell r="X488" t="str">
            <v>Lokasi Produksi 545C1 ( pecahan 545C )</v>
          </cell>
          <cell r="Z488">
            <v>0</v>
          </cell>
          <cell r="AA488">
            <v>45604</v>
          </cell>
          <cell r="AB488">
            <v>384.59733611111005</v>
          </cell>
          <cell r="AC488">
            <v>12.819911203703668</v>
          </cell>
          <cell r="AD488">
            <v>4.8199112037036684</v>
          </cell>
          <cell r="AE488">
            <v>4.82</v>
          </cell>
          <cell r="AF488">
            <v>0</v>
          </cell>
          <cell r="AG488">
            <v>-1361.8666666666666</v>
          </cell>
          <cell r="AM488" t="str">
            <v>OK</v>
          </cell>
          <cell r="AO488">
            <v>13.011851774691362</v>
          </cell>
          <cell r="AP488">
            <v>13.011851774691362</v>
          </cell>
          <cell r="AQ488">
            <v>0</v>
          </cell>
          <cell r="AR488">
            <v>13.011851774691362</v>
          </cell>
          <cell r="AS488">
            <v>0</v>
          </cell>
          <cell r="AT488">
            <v>45604</v>
          </cell>
          <cell r="AU488">
            <v>13.011851774691362</v>
          </cell>
          <cell r="AV488">
            <v>390.35555324074085</v>
          </cell>
          <cell r="AW488">
            <v>13.011851774691362</v>
          </cell>
          <cell r="AY488">
            <v>395.46369178241002</v>
          </cell>
          <cell r="AZ488" t="str">
            <v>F18</v>
          </cell>
          <cell r="BA488">
            <v>0</v>
          </cell>
          <cell r="BB488" t="str">
            <v>PSSR</v>
          </cell>
          <cell r="BC488" t="str">
            <v>F18</v>
          </cell>
        </row>
        <row r="489">
          <cell r="A489" t="str">
            <v>545C2</v>
          </cell>
          <cell r="B489" t="str">
            <v>3</v>
          </cell>
          <cell r="C489" t="str">
            <v>05</v>
          </cell>
          <cell r="D489">
            <v>19</v>
          </cell>
          <cell r="E489" t="str">
            <v>545C2</v>
          </cell>
          <cell r="F489">
            <v>11.78</v>
          </cell>
          <cell r="G489">
            <v>7.82</v>
          </cell>
          <cell r="H489">
            <v>7.82</v>
          </cell>
          <cell r="I489" t="str">
            <v>SR</v>
          </cell>
          <cell r="J489" t="str">
            <v>SC</v>
          </cell>
          <cell r="K489">
            <v>0</v>
          </cell>
          <cell r="L489">
            <v>45604</v>
          </cell>
          <cell r="M489">
            <v>45604</v>
          </cell>
          <cell r="N489">
            <v>390</v>
          </cell>
          <cell r="O489" t="str">
            <v>PS</v>
          </cell>
          <cell r="P489" t="str">
            <v/>
          </cell>
          <cell r="Q489">
            <v>45604</v>
          </cell>
          <cell r="R489" t="str">
            <v/>
          </cell>
          <cell r="S489" t="str">
            <v/>
          </cell>
          <cell r="T489" t="str">
            <v/>
          </cell>
          <cell r="U489">
            <v>21114</v>
          </cell>
          <cell r="V489">
            <v>21103</v>
          </cell>
          <cell r="W489">
            <v>45604</v>
          </cell>
          <cell r="X489" t="str">
            <v>Lokasi Produksi 545C2 ( pecahan 545C )</v>
          </cell>
          <cell r="Z489">
            <v>0</v>
          </cell>
          <cell r="AA489">
            <v>45604</v>
          </cell>
          <cell r="AB489">
            <v>485.59733611111005</v>
          </cell>
          <cell r="AC489">
            <v>16.186577870370336</v>
          </cell>
          <cell r="AD489">
            <v>-20</v>
          </cell>
          <cell r="AE489">
            <v>0</v>
          </cell>
          <cell r="AF489">
            <v>0</v>
          </cell>
          <cell r="AG489">
            <v>-1358.5</v>
          </cell>
          <cell r="AM489" t="str">
            <v>OK</v>
          </cell>
          <cell r="AO489">
            <v>13.011851774691362</v>
          </cell>
          <cell r="AP489">
            <v>13.011851774691362</v>
          </cell>
          <cell r="AQ489">
            <v>0</v>
          </cell>
          <cell r="AR489">
            <v>13.011851774691362</v>
          </cell>
          <cell r="AS489">
            <v>0</v>
          </cell>
          <cell r="AT489">
            <v>45604</v>
          </cell>
          <cell r="AU489">
            <v>13.011851774691362</v>
          </cell>
          <cell r="AV489">
            <v>390.35555324074085</v>
          </cell>
          <cell r="AW489">
            <v>13.011851774691362</v>
          </cell>
          <cell r="AY489">
            <v>395.46369178241002</v>
          </cell>
          <cell r="AZ489" t="str">
            <v>F18</v>
          </cell>
          <cell r="BA489">
            <v>0</v>
          </cell>
          <cell r="BB489" t="str">
            <v>PSSR</v>
          </cell>
          <cell r="BC489" t="str">
            <v>F18</v>
          </cell>
        </row>
        <row r="490">
          <cell r="A490" t="str">
            <v>545D</v>
          </cell>
          <cell r="B490" t="str">
            <v>3</v>
          </cell>
          <cell r="C490" t="str">
            <v>05</v>
          </cell>
          <cell r="D490">
            <v>19</v>
          </cell>
          <cell r="E490" t="str">
            <v>545D</v>
          </cell>
          <cell r="F490">
            <v>12.57</v>
          </cell>
          <cell r="G490">
            <v>8.6999999999999993</v>
          </cell>
          <cell r="H490">
            <v>8.6999999999999993</v>
          </cell>
          <cell r="I490" t="str">
            <v>SR</v>
          </cell>
          <cell r="J490" t="str">
            <v>SC</v>
          </cell>
          <cell r="K490">
            <v>0</v>
          </cell>
          <cell r="L490">
            <v>45635</v>
          </cell>
          <cell r="M490">
            <v>45635</v>
          </cell>
          <cell r="N490">
            <v>359</v>
          </cell>
          <cell r="O490" t="str">
            <v>PS</v>
          </cell>
          <cell r="P490" t="str">
            <v/>
          </cell>
          <cell r="Q490">
            <v>45635</v>
          </cell>
          <cell r="R490" t="str">
            <v/>
          </cell>
          <cell r="S490" t="str">
            <v/>
          </cell>
          <cell r="T490" t="str">
            <v/>
          </cell>
          <cell r="U490">
            <v>23490</v>
          </cell>
          <cell r="V490">
            <v>64653</v>
          </cell>
          <cell r="W490">
            <v>45635</v>
          </cell>
          <cell r="X490" t="str">
            <v>Lokasi Produksi 545D</v>
          </cell>
          <cell r="Z490">
            <v>0</v>
          </cell>
          <cell r="AA490">
            <v>45635</v>
          </cell>
          <cell r="AB490">
            <v>465.59733611111005</v>
          </cell>
          <cell r="AC490">
            <v>15.519911203703668</v>
          </cell>
          <cell r="AD490">
            <v>-20</v>
          </cell>
          <cell r="AE490">
            <v>0</v>
          </cell>
          <cell r="AF490">
            <v>0</v>
          </cell>
          <cell r="AG490">
            <v>-1359.1666666666667</v>
          </cell>
          <cell r="AM490" t="str">
            <v>OK</v>
          </cell>
          <cell r="AO490">
            <v>11.978518441358029</v>
          </cell>
          <cell r="AP490">
            <v>11.978518441358029</v>
          </cell>
          <cell r="AQ490">
            <v>0</v>
          </cell>
          <cell r="AR490">
            <v>11.978518441358029</v>
          </cell>
          <cell r="AS490">
            <v>0</v>
          </cell>
          <cell r="AT490">
            <v>45635</v>
          </cell>
          <cell r="AU490">
            <v>11.978518441358029</v>
          </cell>
          <cell r="AV490">
            <v>359.35555324074085</v>
          </cell>
          <cell r="AW490">
            <v>11.978518441358029</v>
          </cell>
          <cell r="AY490">
            <v>364.46369178241002</v>
          </cell>
          <cell r="AZ490" t="str">
            <v>F18</v>
          </cell>
          <cell r="BA490">
            <v>0</v>
          </cell>
          <cell r="BB490" t="str">
            <v>PSSR</v>
          </cell>
          <cell r="BC490" t="str">
            <v>F18</v>
          </cell>
        </row>
        <row r="491">
          <cell r="A491" t="str">
            <v>545E1</v>
          </cell>
          <cell r="B491" t="str">
            <v>3</v>
          </cell>
          <cell r="C491" t="str">
            <v>05</v>
          </cell>
          <cell r="D491">
            <v>19</v>
          </cell>
          <cell r="E491" t="str">
            <v>545E1</v>
          </cell>
          <cell r="F491">
            <v>7.98</v>
          </cell>
          <cell r="G491">
            <v>5.65</v>
          </cell>
          <cell r="H491">
            <v>5.65</v>
          </cell>
          <cell r="I491" t="str">
            <v>Y1</v>
          </cell>
          <cell r="J491" t="str">
            <v>TU</v>
          </cell>
          <cell r="K491">
            <v>0</v>
          </cell>
          <cell r="L491">
            <v>45649</v>
          </cell>
          <cell r="M491">
            <v>45649</v>
          </cell>
          <cell r="N491">
            <v>345</v>
          </cell>
          <cell r="O491" t="str">
            <v>PS</v>
          </cell>
          <cell r="P491" t="str">
            <v/>
          </cell>
          <cell r="Q491">
            <v>45649</v>
          </cell>
          <cell r="R491" t="str">
            <v/>
          </cell>
          <cell r="S491" t="str">
            <v/>
          </cell>
          <cell r="T491" t="str">
            <v/>
          </cell>
          <cell r="U491">
            <v>15673</v>
          </cell>
          <cell r="V491" t="str">
            <v/>
          </cell>
          <cell r="W491" t="str">
            <v/>
          </cell>
          <cell r="X491" t="str">
            <v>Lokasi Produksi 545E1 ( pecahan 545E )</v>
          </cell>
          <cell r="Z491">
            <v>0</v>
          </cell>
          <cell r="AA491">
            <v>45649</v>
          </cell>
          <cell r="AB491">
            <v>341.59733611111005</v>
          </cell>
          <cell r="AC491">
            <v>11.386577870370335</v>
          </cell>
          <cell r="AD491">
            <v>3.3865778703703349</v>
          </cell>
          <cell r="AE491">
            <v>11.27</v>
          </cell>
          <cell r="AF491">
            <v>0</v>
          </cell>
          <cell r="AG491">
            <v>-1363.3</v>
          </cell>
          <cell r="AM491" t="str">
            <v>OK</v>
          </cell>
          <cell r="AO491">
            <v>11.511851774691362</v>
          </cell>
          <cell r="AP491">
            <v>11.511851774691362</v>
          </cell>
          <cell r="AQ491">
            <v>0</v>
          </cell>
          <cell r="AR491">
            <v>11.511851774691362</v>
          </cell>
          <cell r="AS491">
            <v>0</v>
          </cell>
          <cell r="AT491">
            <v>45649</v>
          </cell>
          <cell r="AU491">
            <v>11.511851774691362</v>
          </cell>
          <cell r="AV491">
            <v>345.35555324074085</v>
          </cell>
          <cell r="AW491">
            <v>11.511851774691362</v>
          </cell>
          <cell r="AY491">
            <v>350.46369178241002</v>
          </cell>
          <cell r="AZ491" t="str">
            <v>F18</v>
          </cell>
          <cell r="BA491">
            <v>0</v>
          </cell>
          <cell r="BB491" t="str">
            <v>PSY1</v>
          </cell>
          <cell r="BC491" t="str">
            <v>F18</v>
          </cell>
        </row>
        <row r="492">
          <cell r="A492" t="str">
            <v>545E2</v>
          </cell>
          <cell r="B492" t="str">
            <v>3</v>
          </cell>
          <cell r="C492" t="str">
            <v>05</v>
          </cell>
          <cell r="D492">
            <v>19</v>
          </cell>
          <cell r="E492" t="str">
            <v>545E2</v>
          </cell>
          <cell r="F492">
            <v>6.1</v>
          </cell>
          <cell r="G492">
            <v>5.04</v>
          </cell>
          <cell r="H492">
            <v>5.04</v>
          </cell>
          <cell r="I492" t="str">
            <v>FC</v>
          </cell>
          <cell r="J492" t="str">
            <v>ST</v>
          </cell>
          <cell r="K492">
            <v>10</v>
          </cell>
          <cell r="L492">
            <v>45697</v>
          </cell>
          <cell r="M492">
            <v>45697</v>
          </cell>
          <cell r="N492">
            <v>297</v>
          </cell>
          <cell r="O492" t="str">
            <v>NS</v>
          </cell>
          <cell r="P492" t="str">
            <v>NSGP3SB3</v>
          </cell>
          <cell r="Q492">
            <v>46002</v>
          </cell>
          <cell r="R492" t="str">
            <v/>
          </cell>
          <cell r="S492" t="str">
            <v/>
          </cell>
          <cell r="T492" t="str">
            <v/>
          </cell>
          <cell r="U492">
            <v>69438</v>
          </cell>
          <cell r="V492">
            <v>70972</v>
          </cell>
          <cell r="W492">
            <v>45565</v>
          </cell>
          <cell r="X492" t="str">
            <v>Lokasi Produksi 545E2 ( pecahan 545E )</v>
          </cell>
          <cell r="Z492">
            <v>10</v>
          </cell>
          <cell r="AA492">
            <v>46002</v>
          </cell>
          <cell r="AB492">
            <v>245.59733611111005</v>
          </cell>
          <cell r="AC492">
            <v>8.1865778703703356</v>
          </cell>
          <cell r="AD492">
            <v>-20</v>
          </cell>
          <cell r="AE492">
            <v>0</v>
          </cell>
          <cell r="AF492">
            <v>0</v>
          </cell>
          <cell r="AG492">
            <v>-1366.5</v>
          </cell>
          <cell r="AM492" t="str">
            <v>OK</v>
          </cell>
          <cell r="AO492">
            <v>9.9118517746913621</v>
          </cell>
          <cell r="AP492">
            <v>-8.8148225308637862E-2</v>
          </cell>
          <cell r="AQ492">
            <v>0</v>
          </cell>
          <cell r="AR492">
            <v>9.9118517746913621</v>
          </cell>
          <cell r="AS492">
            <v>0</v>
          </cell>
          <cell r="AT492">
            <v>46002</v>
          </cell>
          <cell r="AU492">
            <v>-8.8148225308637862E-2</v>
          </cell>
          <cell r="AV492">
            <v>297.35555324074085</v>
          </cell>
          <cell r="AW492">
            <v>-8.8148225308637862E-2</v>
          </cell>
          <cell r="AY492">
            <v>302.46369178241002</v>
          </cell>
          <cell r="AZ492" t="str">
            <v>GP3</v>
          </cell>
          <cell r="BA492">
            <v>5.04</v>
          </cell>
          <cell r="BB492" t="str">
            <v>NSFC</v>
          </cell>
          <cell r="BC492" t="str">
            <v>GP3SB</v>
          </cell>
        </row>
        <row r="493">
          <cell r="A493" t="str">
            <v>545ES</v>
          </cell>
          <cell r="B493" t="str">
            <v>3</v>
          </cell>
          <cell r="C493" t="str">
            <v>05</v>
          </cell>
          <cell r="D493">
            <v>19</v>
          </cell>
          <cell r="E493" t="str">
            <v>545ES</v>
          </cell>
          <cell r="F493">
            <v>0.56000000000000005</v>
          </cell>
          <cell r="G493">
            <v>0.56000000000000005</v>
          </cell>
          <cell r="H493">
            <v>0.56000000000000005</v>
          </cell>
          <cell r="I493" t="str">
            <v>FC</v>
          </cell>
          <cell r="J493" t="str">
            <v>ST</v>
          </cell>
          <cell r="K493">
            <v>0</v>
          </cell>
          <cell r="L493">
            <v>45794</v>
          </cell>
          <cell r="M493">
            <v>45794</v>
          </cell>
          <cell r="N493">
            <v>200</v>
          </cell>
          <cell r="O493" t="str">
            <v>SK</v>
          </cell>
          <cell r="P493" t="str">
            <v/>
          </cell>
          <cell r="Q493">
            <v>45794</v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>
            <v>74237</v>
          </cell>
          <cell r="W493" t="str">
            <v/>
          </cell>
          <cell r="X493" t="str">
            <v>Lokasi Produksi 545ES ( singkong )</v>
          </cell>
          <cell r="Z493">
            <v>0</v>
          </cell>
          <cell r="AA493">
            <v>45794</v>
          </cell>
          <cell r="AB493">
            <v>4750.5973361111101</v>
          </cell>
          <cell r="AC493">
            <v>158.353244537037</v>
          </cell>
          <cell r="AD493">
            <v>-20</v>
          </cell>
          <cell r="AE493">
            <v>0</v>
          </cell>
          <cell r="AF493">
            <v>0</v>
          </cell>
          <cell r="AG493">
            <v>-1216.3333333333333</v>
          </cell>
          <cell r="AM493" t="str">
            <v>OK</v>
          </cell>
          <cell r="AO493">
            <v>6.6785184413580279</v>
          </cell>
          <cell r="AP493">
            <v>6.6785184413580279</v>
          </cell>
          <cell r="AQ493">
            <v>0</v>
          </cell>
          <cell r="AR493">
            <v>6.6785184413580279</v>
          </cell>
          <cell r="AS493">
            <v>0</v>
          </cell>
          <cell r="AT493">
            <v>45794</v>
          </cell>
          <cell r="AU493">
            <v>6.6785184413580279</v>
          </cell>
          <cell r="AV493">
            <v>200.35555324074085</v>
          </cell>
          <cell r="AW493">
            <v>6.6785184413580279</v>
          </cell>
          <cell r="AY493">
            <v>205.46369178241002</v>
          </cell>
          <cell r="AZ493" t="str">
            <v>F18</v>
          </cell>
          <cell r="BA493">
            <v>0</v>
          </cell>
          <cell r="BB493" t="str">
            <v>SKFC</v>
          </cell>
          <cell r="BC493" t="str">
            <v>F18</v>
          </cell>
        </row>
        <row r="494">
          <cell r="A494" t="str">
            <v>545F</v>
          </cell>
          <cell r="B494" t="str">
            <v>3</v>
          </cell>
          <cell r="C494" t="str">
            <v>05</v>
          </cell>
          <cell r="D494">
            <v>19</v>
          </cell>
          <cell r="E494" t="str">
            <v>545F</v>
          </cell>
          <cell r="F494">
            <v>9.86</v>
          </cell>
          <cell r="G494">
            <v>7.69</v>
          </cell>
          <cell r="H494">
            <v>7.69</v>
          </cell>
          <cell r="I494" t="str">
            <v>BB</v>
          </cell>
          <cell r="J494" t="str">
            <v>FC</v>
          </cell>
          <cell r="K494">
            <v>0</v>
          </cell>
          <cell r="L494">
            <v>45733</v>
          </cell>
          <cell r="M494">
            <v>45733</v>
          </cell>
          <cell r="N494">
            <v>261</v>
          </cell>
          <cell r="O494" t="str">
            <v>NS</v>
          </cell>
          <cell r="P494" t="str">
            <v/>
          </cell>
          <cell r="Q494">
            <v>45733</v>
          </cell>
          <cell r="R494" t="str">
            <v/>
          </cell>
          <cell r="S494" t="str">
            <v/>
          </cell>
          <cell r="T494" t="str">
            <v/>
          </cell>
          <cell r="U494">
            <v>69306</v>
          </cell>
          <cell r="V494">
            <v>70336</v>
          </cell>
          <cell r="W494">
            <v>45340</v>
          </cell>
          <cell r="X494" t="str">
            <v>Lokasi Produksi 545F</v>
          </cell>
          <cell r="Z494">
            <v>0</v>
          </cell>
          <cell r="AA494">
            <v>45733</v>
          </cell>
          <cell r="AB494">
            <v>347.59733611111005</v>
          </cell>
          <cell r="AC494">
            <v>11.586577870370336</v>
          </cell>
          <cell r="AD494">
            <v>3.5865778703703359</v>
          </cell>
          <cell r="AE494">
            <v>18.43</v>
          </cell>
          <cell r="AF494">
            <v>0</v>
          </cell>
          <cell r="AG494">
            <v>-1363.1</v>
          </cell>
          <cell r="AM494" t="str">
            <v>OK</v>
          </cell>
          <cell r="AO494">
            <v>8.7118517746913611</v>
          </cell>
          <cell r="AP494">
            <v>8.7118517746913611</v>
          </cell>
          <cell r="AQ494">
            <v>0</v>
          </cell>
          <cell r="AR494">
            <v>8.7118517746913611</v>
          </cell>
          <cell r="AS494">
            <v>0</v>
          </cell>
          <cell r="AT494">
            <v>45733</v>
          </cell>
          <cell r="AU494">
            <v>8.7118517746913611</v>
          </cell>
          <cell r="AV494">
            <v>261.35555324074085</v>
          </cell>
          <cell r="AW494">
            <v>8.7118517746913611</v>
          </cell>
          <cell r="AY494">
            <v>266.46369178241002</v>
          </cell>
          <cell r="AZ494" t="str">
            <v>F18</v>
          </cell>
          <cell r="BA494">
            <v>0</v>
          </cell>
          <cell r="BB494" t="str">
            <v>NSBB</v>
          </cell>
          <cell r="BC494" t="str">
            <v>F18</v>
          </cell>
        </row>
        <row r="495">
          <cell r="A495" t="str">
            <v>546A1</v>
          </cell>
          <cell r="B495" t="str">
            <v>3</v>
          </cell>
          <cell r="C495" t="str">
            <v>05</v>
          </cell>
          <cell r="D495">
            <v>19</v>
          </cell>
          <cell r="E495" t="str">
            <v>546A1</v>
          </cell>
          <cell r="F495">
            <v>5.51</v>
          </cell>
          <cell r="G495">
            <v>4.5599999999999996</v>
          </cell>
          <cell r="H495">
            <v>4.5599999999999996</v>
          </cell>
          <cell r="I495" t="str">
            <v>FC</v>
          </cell>
          <cell r="J495" t="str">
            <v>ST</v>
          </cell>
          <cell r="K495">
            <v>14</v>
          </cell>
          <cell r="L495">
            <v>45601</v>
          </cell>
          <cell r="M495">
            <v>45601</v>
          </cell>
          <cell r="N495">
            <v>393</v>
          </cell>
          <cell r="O495" t="str">
            <v>NS</v>
          </cell>
          <cell r="P495" t="str">
            <v>NSGP3CK3</v>
          </cell>
          <cell r="Q495">
            <v>46028</v>
          </cell>
          <cell r="R495" t="str">
            <v/>
          </cell>
          <cell r="S495" t="str">
            <v/>
          </cell>
          <cell r="T495" t="str">
            <v/>
          </cell>
          <cell r="U495">
            <v>65985</v>
          </cell>
          <cell r="V495">
            <v>63864</v>
          </cell>
          <cell r="W495">
            <v>44245</v>
          </cell>
          <cell r="X495" t="str">
            <v>Lokasi Produksi 546A1 ( pecahan 546A )</v>
          </cell>
          <cell r="Z495">
            <v>14</v>
          </cell>
          <cell r="AA495">
            <v>46028</v>
          </cell>
          <cell r="AB495">
            <v>54.597336111110053</v>
          </cell>
          <cell r="AC495">
            <v>1.8199112037036684</v>
          </cell>
          <cell r="AD495">
            <v>-6.1800887962963316</v>
          </cell>
          <cell r="AE495">
            <v>12.92</v>
          </cell>
          <cell r="AF495">
            <v>0</v>
          </cell>
          <cell r="AG495">
            <v>-1372.8666666666666</v>
          </cell>
          <cell r="AM495" t="str">
            <v>OK</v>
          </cell>
          <cell r="AO495">
            <v>13.111851774691361</v>
          </cell>
          <cell r="AP495">
            <v>-0.88814822530863857</v>
          </cell>
          <cell r="AQ495">
            <v>0</v>
          </cell>
          <cell r="AR495">
            <v>13.111851774691361</v>
          </cell>
          <cell r="AS495">
            <v>0</v>
          </cell>
          <cell r="AT495">
            <v>46028</v>
          </cell>
          <cell r="AU495">
            <v>-0.88814822530863857</v>
          </cell>
          <cell r="AV495">
            <v>393.35555324074085</v>
          </cell>
          <cell r="AW495">
            <v>-0.88814822530863857</v>
          </cell>
          <cell r="AY495">
            <v>398.46369178241002</v>
          </cell>
          <cell r="AZ495" t="str">
            <v>GP3</v>
          </cell>
          <cell r="BA495">
            <v>4.5599999999999996</v>
          </cell>
          <cell r="BB495" t="str">
            <v>NSFC</v>
          </cell>
          <cell r="BC495" t="str">
            <v>GP3CK</v>
          </cell>
        </row>
        <row r="496">
          <cell r="A496" t="str">
            <v>546A2</v>
          </cell>
          <cell r="B496" t="str">
            <v>3</v>
          </cell>
          <cell r="C496" t="str">
            <v>05</v>
          </cell>
          <cell r="D496">
            <v>19</v>
          </cell>
          <cell r="E496" t="str">
            <v>546A2</v>
          </cell>
          <cell r="F496">
            <v>7.12</v>
          </cell>
          <cell r="G496">
            <v>5.87</v>
          </cell>
          <cell r="H496">
            <v>5.87</v>
          </cell>
          <cell r="I496" t="str">
            <v>FC</v>
          </cell>
          <cell r="J496" t="str">
            <v>ST</v>
          </cell>
          <cell r="K496">
            <v>12</v>
          </cell>
          <cell r="L496">
            <v>45656</v>
          </cell>
          <cell r="M496">
            <v>45656</v>
          </cell>
          <cell r="N496">
            <v>338</v>
          </cell>
          <cell r="O496" t="str">
            <v>NS</v>
          </cell>
          <cell r="P496" t="str">
            <v>NSGP3SS3</v>
          </cell>
          <cell r="Q496">
            <v>46022</v>
          </cell>
          <cell r="R496" t="str">
            <v/>
          </cell>
          <cell r="S496" t="str">
            <v/>
          </cell>
          <cell r="T496" t="str">
            <v/>
          </cell>
          <cell r="U496">
            <v>70182</v>
          </cell>
          <cell r="V496">
            <v>71481</v>
          </cell>
          <cell r="W496" t="str">
            <v/>
          </cell>
          <cell r="X496" t="str">
            <v>Lokasi Produksi 545A2 ( pecahan 546A )</v>
          </cell>
          <cell r="Z496">
            <v>12</v>
          </cell>
          <cell r="AA496">
            <v>46022</v>
          </cell>
          <cell r="AB496">
            <v>77.597336111110053</v>
          </cell>
          <cell r="AC496">
            <v>2.586577870370335</v>
          </cell>
          <cell r="AD496">
            <v>-5.413422129629665</v>
          </cell>
          <cell r="AE496">
            <v>22.94</v>
          </cell>
          <cell r="AF496">
            <v>0</v>
          </cell>
          <cell r="AG496">
            <v>-1372.1</v>
          </cell>
          <cell r="AM496" t="str">
            <v>OK</v>
          </cell>
          <cell r="AO496">
            <v>11.278518441358028</v>
          </cell>
          <cell r="AP496">
            <v>-0.7214815586419725</v>
          </cell>
          <cell r="AQ496">
            <v>0</v>
          </cell>
          <cell r="AR496">
            <v>11.278518441358028</v>
          </cell>
          <cell r="AS496">
            <v>0</v>
          </cell>
          <cell r="AT496">
            <v>46022</v>
          </cell>
          <cell r="AU496">
            <v>-0.7214815586419725</v>
          </cell>
          <cell r="AV496">
            <v>338.35555324074085</v>
          </cell>
          <cell r="AW496">
            <v>-0.7214815586419725</v>
          </cell>
          <cell r="AY496">
            <v>343.46369178241002</v>
          </cell>
          <cell r="AZ496" t="str">
            <v>GP3</v>
          </cell>
          <cell r="BA496">
            <v>5.87</v>
          </cell>
          <cell r="BB496" t="str">
            <v>NSFC</v>
          </cell>
          <cell r="BC496" t="str">
            <v>GP3SS</v>
          </cell>
        </row>
        <row r="497">
          <cell r="A497" t="str">
            <v>546A3</v>
          </cell>
          <cell r="B497" t="str">
            <v>3</v>
          </cell>
          <cell r="C497" t="str">
            <v>05</v>
          </cell>
          <cell r="D497">
            <v>19</v>
          </cell>
          <cell r="E497" t="str">
            <v>546A3</v>
          </cell>
          <cell r="F497">
            <v>5.66</v>
          </cell>
          <cell r="G497">
            <v>4.75</v>
          </cell>
          <cell r="H497">
            <v>4.75</v>
          </cell>
          <cell r="I497" t="str">
            <v>FC</v>
          </cell>
          <cell r="J497" t="str">
            <v>ST</v>
          </cell>
          <cell r="K497">
            <v>14</v>
          </cell>
          <cell r="L497">
            <v>45610</v>
          </cell>
          <cell r="M497">
            <v>45610</v>
          </cell>
          <cell r="N497">
            <v>384</v>
          </cell>
          <cell r="O497" t="str">
            <v>NS</v>
          </cell>
          <cell r="P497" t="str">
            <v>NSGP3SK3</v>
          </cell>
          <cell r="Q497">
            <v>46037</v>
          </cell>
          <cell r="R497" t="str">
            <v/>
          </cell>
          <cell r="S497" t="str">
            <v/>
          </cell>
          <cell r="T497" t="str">
            <v/>
          </cell>
          <cell r="U497">
            <v>69037</v>
          </cell>
          <cell r="V497">
            <v>66764</v>
          </cell>
          <cell r="W497" t="str">
            <v/>
          </cell>
          <cell r="X497" t="str">
            <v>Lokasi Produksi 546A3 ( pecahan 546A )</v>
          </cell>
          <cell r="Z497">
            <v>14</v>
          </cell>
          <cell r="AA497">
            <v>46037</v>
          </cell>
          <cell r="AB497">
            <v>4746.5973361111101</v>
          </cell>
          <cell r="AC497">
            <v>158.21991120370367</v>
          </cell>
          <cell r="AD497">
            <v>-20</v>
          </cell>
          <cell r="AE497">
            <v>0</v>
          </cell>
          <cell r="AF497">
            <v>0</v>
          </cell>
          <cell r="AG497">
            <v>-1216.4666666666667</v>
          </cell>
          <cell r="AM497" t="str">
            <v>OK</v>
          </cell>
          <cell r="AO497">
            <v>12.811851774691361</v>
          </cell>
          <cell r="AP497">
            <v>-1.1881482253086393</v>
          </cell>
          <cell r="AQ497">
            <v>0</v>
          </cell>
          <cell r="AR497">
            <v>12.811851774691361</v>
          </cell>
          <cell r="AS497">
            <v>0</v>
          </cell>
          <cell r="AT497">
            <v>46037</v>
          </cell>
          <cell r="AU497">
            <v>-1.1881482253086393</v>
          </cell>
          <cell r="AV497">
            <v>384.35555324074085</v>
          </cell>
          <cell r="AW497">
            <v>-1.1881482253086393</v>
          </cell>
          <cell r="AY497">
            <v>389.46369178241002</v>
          </cell>
          <cell r="AZ497" t="str">
            <v>GP3</v>
          </cell>
          <cell r="BA497">
            <v>4.75</v>
          </cell>
          <cell r="BB497" t="str">
            <v>NSFC</v>
          </cell>
          <cell r="BC497" t="str">
            <v>GP3SK</v>
          </cell>
        </row>
        <row r="498">
          <cell r="A498" t="str">
            <v>546B</v>
          </cell>
          <cell r="B498" t="str">
            <v>3</v>
          </cell>
          <cell r="C498" t="str">
            <v>05</v>
          </cell>
          <cell r="D498">
            <v>19</v>
          </cell>
          <cell r="E498" t="str">
            <v>546B</v>
          </cell>
          <cell r="F498">
            <v>9.31</v>
          </cell>
          <cell r="G498">
            <v>7.94</v>
          </cell>
          <cell r="H498">
            <v>7.94</v>
          </cell>
          <cell r="I498" t="str">
            <v>FC</v>
          </cell>
          <cell r="J498" t="str">
            <v>ST</v>
          </cell>
          <cell r="K498">
            <v>14</v>
          </cell>
          <cell r="L498">
            <v>45600</v>
          </cell>
          <cell r="M498">
            <v>45600</v>
          </cell>
          <cell r="N498">
            <v>394</v>
          </cell>
          <cell r="O498" t="str">
            <v>NS</v>
          </cell>
          <cell r="P498" t="str">
            <v>NSGP3CK3</v>
          </cell>
          <cell r="Q498">
            <v>46027</v>
          </cell>
          <cell r="R498" t="str">
            <v/>
          </cell>
          <cell r="S498" t="str">
            <v/>
          </cell>
          <cell r="T498" t="str">
            <v/>
          </cell>
          <cell r="U498">
            <v>65287</v>
          </cell>
          <cell r="V498">
            <v>65085</v>
          </cell>
          <cell r="W498">
            <v>44129</v>
          </cell>
          <cell r="X498" t="str">
            <v>Lokasi Nursery GP3 ex. Lokasi Produksi 546B</v>
          </cell>
          <cell r="Z498">
            <v>14</v>
          </cell>
          <cell r="AA498">
            <v>46027</v>
          </cell>
          <cell r="AB498">
            <v>437.59733611111005</v>
          </cell>
          <cell r="AC498">
            <v>14.586577870370336</v>
          </cell>
          <cell r="AD498">
            <v>6.5865778703703359</v>
          </cell>
          <cell r="AE498">
            <v>13.02</v>
          </cell>
          <cell r="AF498">
            <v>0</v>
          </cell>
          <cell r="AG498">
            <v>-1360.1</v>
          </cell>
          <cell r="AK498">
            <v>40384</v>
          </cell>
          <cell r="AM498" t="str">
            <v>OK</v>
          </cell>
          <cell r="AO498">
            <v>13.145185108024695</v>
          </cell>
          <cell r="AP498">
            <v>-0.85481489197530536</v>
          </cell>
          <cell r="AQ498">
            <v>0</v>
          </cell>
          <cell r="AR498">
            <v>13.145185108024695</v>
          </cell>
          <cell r="AS498">
            <v>0</v>
          </cell>
          <cell r="AT498">
            <v>46027</v>
          </cell>
          <cell r="AU498">
            <v>-0.85481489197530536</v>
          </cell>
          <cell r="AV498">
            <v>394.35555324074085</v>
          </cell>
          <cell r="AW498">
            <v>-0.85481489197530536</v>
          </cell>
          <cell r="AY498">
            <v>399.46369178241002</v>
          </cell>
          <cell r="AZ498" t="str">
            <v>GP3</v>
          </cell>
          <cell r="BA498">
            <v>7.94</v>
          </cell>
          <cell r="BB498" t="str">
            <v>NSFC</v>
          </cell>
          <cell r="BC498" t="str">
            <v>GP3CK</v>
          </cell>
        </row>
        <row r="499">
          <cell r="A499" t="str">
            <v>546C</v>
          </cell>
          <cell r="B499" t="str">
            <v>3</v>
          </cell>
          <cell r="C499" t="str">
            <v>05</v>
          </cell>
          <cell r="D499">
            <v>19</v>
          </cell>
          <cell r="E499" t="str">
            <v>546C</v>
          </cell>
          <cell r="F499">
            <v>6.44</v>
          </cell>
          <cell r="G499">
            <v>5.41</v>
          </cell>
          <cell r="H499">
            <v>5.41</v>
          </cell>
          <cell r="I499" t="str">
            <v>BB</v>
          </cell>
          <cell r="J499" t="str">
            <v>FC</v>
          </cell>
          <cell r="K499">
            <v>0</v>
          </cell>
          <cell r="L499">
            <v>45954</v>
          </cell>
          <cell r="M499">
            <v>45954</v>
          </cell>
          <cell r="N499">
            <v>40</v>
          </cell>
          <cell r="O499" t="str">
            <v>NS</v>
          </cell>
          <cell r="P499" t="str">
            <v/>
          </cell>
          <cell r="Q499">
            <v>45954</v>
          </cell>
          <cell r="R499" t="str">
            <v/>
          </cell>
          <cell r="S499" t="str">
            <v/>
          </cell>
          <cell r="T499" t="str">
            <v/>
          </cell>
          <cell r="U499">
            <v>70287</v>
          </cell>
          <cell r="V499">
            <v>68197</v>
          </cell>
          <cell r="W499">
            <v>43820</v>
          </cell>
          <cell r="X499" t="str">
            <v>Lokasi Produksi 546C</v>
          </cell>
          <cell r="Z499">
            <v>0</v>
          </cell>
          <cell r="AA499">
            <v>45954</v>
          </cell>
          <cell r="AB499">
            <v>299.59733611111005</v>
          </cell>
          <cell r="AC499">
            <v>9.9865778703703345</v>
          </cell>
          <cell r="AD499">
            <v>-4.0134221296296655</v>
          </cell>
          <cell r="AE499">
            <v>29.76</v>
          </cell>
          <cell r="AF499">
            <v>0</v>
          </cell>
          <cell r="AG499">
            <v>-1364.7</v>
          </cell>
          <cell r="AM499" t="str">
            <v>OK</v>
          </cell>
          <cell r="AO499">
            <v>1.3451851080246948</v>
          </cell>
          <cell r="AP499">
            <v>1.3451851080246948</v>
          </cell>
          <cell r="AQ499">
            <v>0</v>
          </cell>
          <cell r="AR499">
            <v>1.3451851080246948</v>
          </cell>
          <cell r="AS499">
            <v>0</v>
          </cell>
          <cell r="AT499">
            <v>45954</v>
          </cell>
          <cell r="AU499">
            <v>1.3451851080246948</v>
          </cell>
          <cell r="AV499">
            <v>40.355553240740846</v>
          </cell>
          <cell r="AW499">
            <v>1.3451851080246948</v>
          </cell>
          <cell r="AY499">
            <v>45.463691782410024</v>
          </cell>
          <cell r="AZ499" t="str">
            <v>F18</v>
          </cell>
          <cell r="BA499">
            <v>0</v>
          </cell>
          <cell r="BB499" t="str">
            <v>NSBB</v>
          </cell>
          <cell r="BC499" t="str">
            <v>F18</v>
          </cell>
        </row>
        <row r="500">
          <cell r="A500" t="str">
            <v>546D</v>
          </cell>
          <cell r="B500" t="str">
            <v>3</v>
          </cell>
          <cell r="C500" t="str">
            <v>05</v>
          </cell>
          <cell r="D500">
            <v>19</v>
          </cell>
          <cell r="E500" t="str">
            <v>546D</v>
          </cell>
          <cell r="F500">
            <v>10.44</v>
          </cell>
          <cell r="G500">
            <v>8.76</v>
          </cell>
          <cell r="H500">
            <v>8.76</v>
          </cell>
          <cell r="I500" t="str">
            <v>FC</v>
          </cell>
          <cell r="J500" t="str">
            <v>ST</v>
          </cell>
          <cell r="K500">
            <v>14</v>
          </cell>
          <cell r="L500">
            <v>45813</v>
          </cell>
          <cell r="M500">
            <v>45813</v>
          </cell>
          <cell r="N500">
            <v>181</v>
          </cell>
          <cell r="O500" t="str">
            <v>NS</v>
          </cell>
          <cell r="P500" t="str">
            <v>NSGP3CK3</v>
          </cell>
          <cell r="Q500">
            <v>46240</v>
          </cell>
          <cell r="R500" t="str">
            <v/>
          </cell>
          <cell r="S500" t="str">
            <v/>
          </cell>
          <cell r="T500" t="str">
            <v/>
          </cell>
          <cell r="U500">
            <v>65723</v>
          </cell>
          <cell r="V500">
            <v>52823</v>
          </cell>
          <cell r="W500">
            <v>44395</v>
          </cell>
          <cell r="X500" t="str">
            <v>Lokasi Produksi 546D</v>
          </cell>
          <cell r="Z500">
            <v>14</v>
          </cell>
          <cell r="AA500">
            <v>46240</v>
          </cell>
          <cell r="AB500">
            <v>224.59733611111005</v>
          </cell>
          <cell r="AC500">
            <v>7.4865778703703354</v>
          </cell>
          <cell r="AD500">
            <v>-0.5134221296296646</v>
          </cell>
          <cell r="AE500">
            <v>8.01</v>
          </cell>
          <cell r="AF500">
            <v>0</v>
          </cell>
          <cell r="AG500">
            <v>-1367.2</v>
          </cell>
          <cell r="AM500" t="str">
            <v>OK</v>
          </cell>
          <cell r="AO500">
            <v>6.045185108024695</v>
          </cell>
          <cell r="AP500">
            <v>-7.954814891975305</v>
          </cell>
          <cell r="AQ500">
            <v>0</v>
          </cell>
          <cell r="AR500">
            <v>6.045185108024695</v>
          </cell>
          <cell r="AS500">
            <v>0</v>
          </cell>
          <cell r="AT500">
            <v>46240</v>
          </cell>
          <cell r="AU500">
            <v>-7.954814891975305</v>
          </cell>
          <cell r="AV500">
            <v>181.35555324074085</v>
          </cell>
          <cell r="AW500">
            <v>-7.954814891975305</v>
          </cell>
          <cell r="AY500">
            <v>186.46369178241002</v>
          </cell>
          <cell r="AZ500" t="str">
            <v>GP3</v>
          </cell>
          <cell r="BA500">
            <v>8.76</v>
          </cell>
          <cell r="BB500" t="str">
            <v>NSFC</v>
          </cell>
          <cell r="BC500" t="str">
            <v>GP3CK</v>
          </cell>
        </row>
        <row r="501">
          <cell r="A501" t="str">
            <v>546E1</v>
          </cell>
          <cell r="B501" t="str">
            <v>3</v>
          </cell>
          <cell r="C501" t="str">
            <v>05</v>
          </cell>
          <cell r="D501">
            <v>19</v>
          </cell>
          <cell r="E501" t="str">
            <v>546E1</v>
          </cell>
          <cell r="F501">
            <v>8.44</v>
          </cell>
          <cell r="G501">
            <v>7.08</v>
          </cell>
          <cell r="H501">
            <v>7.08</v>
          </cell>
          <cell r="I501" t="str">
            <v>SC</v>
          </cell>
          <cell r="J501" t="str">
            <v>FC</v>
          </cell>
          <cell r="K501">
            <v>8</v>
          </cell>
          <cell r="L501">
            <v>45980</v>
          </cell>
          <cell r="M501">
            <v>45980</v>
          </cell>
          <cell r="N501">
            <v>14</v>
          </cell>
          <cell r="O501" t="str">
            <v>NS</v>
          </cell>
          <cell r="P501" t="str">
            <v/>
          </cell>
          <cell r="Q501">
            <v>46224</v>
          </cell>
          <cell r="R501" t="str">
            <v/>
          </cell>
          <cell r="S501" t="str">
            <v/>
          </cell>
          <cell r="T501" t="str">
            <v/>
          </cell>
          <cell r="U501">
            <v>70992</v>
          </cell>
          <cell r="V501">
            <v>69339</v>
          </cell>
          <cell r="W501">
            <v>43721</v>
          </cell>
          <cell r="X501" t="str">
            <v>Lokasi Produksi 546E1 ( pecahan 546E )</v>
          </cell>
          <cell r="Z501">
            <v>8</v>
          </cell>
          <cell r="AA501">
            <v>46224</v>
          </cell>
          <cell r="AB501">
            <v>84.597336111110053</v>
          </cell>
          <cell r="AC501">
            <v>2.8199112037036684</v>
          </cell>
          <cell r="AD501">
            <v>-5.1800887962963316</v>
          </cell>
          <cell r="AE501">
            <v>9.3800000000000008</v>
          </cell>
          <cell r="AF501">
            <v>0</v>
          </cell>
          <cell r="AG501">
            <v>-1371.8666666666666</v>
          </cell>
          <cell r="AM501" t="str">
            <v>OK</v>
          </cell>
          <cell r="AO501">
            <v>0.47851844135802823</v>
          </cell>
          <cell r="AP501">
            <v>-7.5214815586419714</v>
          </cell>
          <cell r="AQ501">
            <v>0</v>
          </cell>
          <cell r="AR501">
            <v>0.47851844135802823</v>
          </cell>
          <cell r="AS501">
            <v>0</v>
          </cell>
          <cell r="AT501">
            <v>46224</v>
          </cell>
          <cell r="AU501">
            <v>-7.5214815586419714</v>
          </cell>
          <cell r="AV501">
            <v>14.355553240740846</v>
          </cell>
          <cell r="AW501">
            <v>-7.5214815586419714</v>
          </cell>
          <cell r="AY501">
            <v>19.463691782410024</v>
          </cell>
          <cell r="AZ501" t="str">
            <v>F18</v>
          </cell>
          <cell r="BA501">
            <v>7.08</v>
          </cell>
          <cell r="BB501" t="str">
            <v>NSSC</v>
          </cell>
          <cell r="BC501" t="str">
            <v>F18</v>
          </cell>
        </row>
        <row r="502">
          <cell r="A502" t="str">
            <v>546E1S</v>
          </cell>
          <cell r="B502" t="str">
            <v>3</v>
          </cell>
          <cell r="C502" t="str">
            <v>05</v>
          </cell>
          <cell r="D502">
            <v>19</v>
          </cell>
          <cell r="E502" t="str">
            <v>546E1S</v>
          </cell>
          <cell r="F502">
            <v>0.55000000000000004</v>
          </cell>
          <cell r="G502">
            <v>0.55000000000000004</v>
          </cell>
          <cell r="H502">
            <v>0.55000000000000004</v>
          </cell>
          <cell r="I502" t="str">
            <v>FC</v>
          </cell>
          <cell r="J502" t="str">
            <v>ST</v>
          </cell>
          <cell r="K502">
            <v>0</v>
          </cell>
          <cell r="L502">
            <v>45880</v>
          </cell>
          <cell r="M502">
            <v>45880</v>
          </cell>
          <cell r="N502">
            <v>114</v>
          </cell>
          <cell r="O502" t="str">
            <v>SK</v>
          </cell>
          <cell r="P502" t="str">
            <v/>
          </cell>
          <cell r="Q502">
            <v>45880</v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>Lokasi Produksi 546E1S ( singkong )</v>
          </cell>
          <cell r="Z502">
            <v>0</v>
          </cell>
          <cell r="AA502">
            <v>45880</v>
          </cell>
          <cell r="AB502">
            <v>4714.5973361111101</v>
          </cell>
          <cell r="AC502">
            <v>157.15324453703701</v>
          </cell>
          <cell r="AD502">
            <v>-20</v>
          </cell>
          <cell r="AE502">
            <v>0</v>
          </cell>
          <cell r="AF502">
            <v>0</v>
          </cell>
          <cell r="AG502">
            <v>-1217.5333333333333</v>
          </cell>
          <cell r="AM502" t="str">
            <v>OK</v>
          </cell>
          <cell r="AO502">
            <v>3.8118517746913616</v>
          </cell>
          <cell r="AP502">
            <v>3.8118517746913616</v>
          </cell>
          <cell r="AQ502">
            <v>0</v>
          </cell>
          <cell r="AR502">
            <v>3.8118517746913616</v>
          </cell>
          <cell r="AS502">
            <v>0</v>
          </cell>
          <cell r="AT502">
            <v>45880</v>
          </cell>
          <cell r="AU502">
            <v>3.8118517746913616</v>
          </cell>
          <cell r="AV502">
            <v>114.35555324074085</v>
          </cell>
          <cell r="AW502">
            <v>3.8118517746913616</v>
          </cell>
          <cell r="AY502">
            <v>119.46369178241002</v>
          </cell>
          <cell r="AZ502" t="str">
            <v>F18</v>
          </cell>
          <cell r="BA502">
            <v>0</v>
          </cell>
          <cell r="BB502" t="str">
            <v>SKFC</v>
          </cell>
          <cell r="BC502" t="str">
            <v>F18</v>
          </cell>
        </row>
        <row r="503">
          <cell r="A503" t="str">
            <v>546E2</v>
          </cell>
          <cell r="B503" t="str">
            <v>3</v>
          </cell>
          <cell r="C503" t="str">
            <v>05</v>
          </cell>
          <cell r="D503">
            <v>19</v>
          </cell>
          <cell r="E503" t="str">
            <v>546E2</v>
          </cell>
          <cell r="F503">
            <v>6.45</v>
          </cell>
          <cell r="G503">
            <v>5.66</v>
          </cell>
          <cell r="H503">
            <v>5.66</v>
          </cell>
          <cell r="I503" t="str">
            <v>SC</v>
          </cell>
          <cell r="J503" t="str">
            <v>FC</v>
          </cell>
          <cell r="K503">
            <v>8</v>
          </cell>
          <cell r="L503">
            <v>45919</v>
          </cell>
          <cell r="M503">
            <v>45919</v>
          </cell>
          <cell r="N503">
            <v>75</v>
          </cell>
          <cell r="O503" t="str">
            <v>NS</v>
          </cell>
          <cell r="P503" t="str">
            <v/>
          </cell>
          <cell r="Q503">
            <v>46163</v>
          </cell>
          <cell r="R503" t="str">
            <v/>
          </cell>
          <cell r="S503" t="str">
            <v/>
          </cell>
          <cell r="T503" t="str">
            <v/>
          </cell>
          <cell r="U503">
            <v>70657</v>
          </cell>
          <cell r="V503">
            <v>68799</v>
          </cell>
          <cell r="W503">
            <v>43079</v>
          </cell>
          <cell r="X503" t="str">
            <v>Lokasi Produksi 546E2 ( pecahan 546E )</v>
          </cell>
          <cell r="Z503">
            <v>8</v>
          </cell>
          <cell r="AA503">
            <v>46163</v>
          </cell>
          <cell r="AB503">
            <v>249.59733611111005</v>
          </cell>
          <cell r="AC503">
            <v>8.3199112037036684</v>
          </cell>
          <cell r="AD503">
            <v>-5.6800887962963316</v>
          </cell>
          <cell r="AE503">
            <v>22.46</v>
          </cell>
          <cell r="AF503">
            <v>0</v>
          </cell>
          <cell r="AG503">
            <v>-1366.3666666666666</v>
          </cell>
          <cell r="AM503" t="str">
            <v>OK</v>
          </cell>
          <cell r="AO503">
            <v>2.5118517746913613</v>
          </cell>
          <cell r="AP503">
            <v>-5.4881482253086382</v>
          </cell>
          <cell r="AQ503">
            <v>0</v>
          </cell>
          <cell r="AR503">
            <v>2.5118517746913613</v>
          </cell>
          <cell r="AS503">
            <v>0</v>
          </cell>
          <cell r="AT503">
            <v>46163</v>
          </cell>
          <cell r="AU503">
            <v>-5.4881482253086382</v>
          </cell>
          <cell r="AV503">
            <v>75.355553240740846</v>
          </cell>
          <cell r="AW503">
            <v>-5.4881482253086382</v>
          </cell>
          <cell r="AY503">
            <v>80.463691782410024</v>
          </cell>
          <cell r="AZ503" t="str">
            <v>F18</v>
          </cell>
          <cell r="BA503">
            <v>5.66</v>
          </cell>
          <cell r="BB503" t="str">
            <v>NSSC</v>
          </cell>
          <cell r="BC503" t="str">
            <v>F18</v>
          </cell>
        </row>
        <row r="504">
          <cell r="A504" t="str">
            <v>546F1</v>
          </cell>
          <cell r="B504" t="str">
            <v>3</v>
          </cell>
          <cell r="C504" t="str">
            <v>05</v>
          </cell>
          <cell r="D504">
            <v>19</v>
          </cell>
          <cell r="E504" t="str">
            <v>546F1</v>
          </cell>
          <cell r="F504">
            <v>8.98</v>
          </cell>
          <cell r="G504">
            <v>7.11</v>
          </cell>
          <cell r="H504">
            <v>7.11</v>
          </cell>
          <cell r="I504" t="str">
            <v>SC</v>
          </cell>
          <cell r="J504" t="str">
            <v>FC</v>
          </cell>
          <cell r="K504">
            <v>8</v>
          </cell>
          <cell r="L504">
            <v>45779</v>
          </cell>
          <cell r="M504">
            <v>45779</v>
          </cell>
          <cell r="N504">
            <v>215</v>
          </cell>
          <cell r="O504" t="str">
            <v>NS</v>
          </cell>
          <cell r="P504" t="str">
            <v/>
          </cell>
          <cell r="Q504">
            <v>46023</v>
          </cell>
          <cell r="R504" t="str">
            <v/>
          </cell>
          <cell r="S504" t="str">
            <v/>
          </cell>
          <cell r="T504" t="str">
            <v/>
          </cell>
          <cell r="U504">
            <v>69234</v>
          </cell>
          <cell r="V504">
            <v>70207</v>
          </cell>
          <cell r="W504">
            <v>45419</v>
          </cell>
          <cell r="X504" t="str">
            <v>Lokasi Produksi 546F1 ( pecahan 546F )</v>
          </cell>
          <cell r="Z504">
            <v>8</v>
          </cell>
          <cell r="AA504">
            <v>46023</v>
          </cell>
          <cell r="AB504">
            <v>76.597336111110053</v>
          </cell>
          <cell r="AC504">
            <v>2.5532445370370018</v>
          </cell>
          <cell r="AD504">
            <v>-11.446755462962997</v>
          </cell>
          <cell r="AE504">
            <v>20.8</v>
          </cell>
          <cell r="AF504">
            <v>0</v>
          </cell>
          <cell r="AG504">
            <v>-1372.1333333333334</v>
          </cell>
          <cell r="AM504" t="str">
            <v>OK</v>
          </cell>
          <cell r="AO504">
            <v>7.1785184413580279</v>
          </cell>
          <cell r="AP504">
            <v>-0.82148155864197214</v>
          </cell>
          <cell r="AQ504">
            <v>0</v>
          </cell>
          <cell r="AR504">
            <v>7.1785184413580279</v>
          </cell>
          <cell r="AS504">
            <v>0</v>
          </cell>
          <cell r="AT504">
            <v>46023</v>
          </cell>
          <cell r="AU504">
            <v>-0.82148155864197214</v>
          </cell>
          <cell r="AV504">
            <v>215.35555324074085</v>
          </cell>
          <cell r="AW504">
            <v>-0.82148155864197214</v>
          </cell>
          <cell r="AY504">
            <v>220.46369178241002</v>
          </cell>
          <cell r="AZ504" t="str">
            <v>F18</v>
          </cell>
          <cell r="BA504">
            <v>7.11</v>
          </cell>
          <cell r="BB504" t="str">
            <v>NSSC</v>
          </cell>
          <cell r="BC504" t="str">
            <v>F18</v>
          </cell>
        </row>
        <row r="505">
          <cell r="A505" t="str">
            <v>546F2</v>
          </cell>
          <cell r="B505" t="str">
            <v>3</v>
          </cell>
          <cell r="C505" t="str">
            <v>05</v>
          </cell>
          <cell r="D505">
            <v>19</v>
          </cell>
          <cell r="E505" t="str">
            <v>546F2</v>
          </cell>
          <cell r="F505">
            <v>6.58</v>
          </cell>
          <cell r="G505">
            <v>5.57</v>
          </cell>
          <cell r="H505">
            <v>5.57</v>
          </cell>
          <cell r="I505" t="str">
            <v>FC</v>
          </cell>
          <cell r="J505" t="str">
            <v>ST</v>
          </cell>
          <cell r="K505">
            <v>14</v>
          </cell>
          <cell r="L505">
            <v>45510</v>
          </cell>
          <cell r="M505">
            <v>45510</v>
          </cell>
          <cell r="N505">
            <v>484</v>
          </cell>
          <cell r="O505" t="str">
            <v>NS</v>
          </cell>
          <cell r="P505" t="str">
            <v>NSF18CK3</v>
          </cell>
          <cell r="Q505">
            <v>45937</v>
          </cell>
          <cell r="R505" t="str">
            <v/>
          </cell>
          <cell r="S505" t="str">
            <v/>
          </cell>
          <cell r="T505">
            <v>45931</v>
          </cell>
          <cell r="U505">
            <v>63504</v>
          </cell>
          <cell r="V505">
            <v>68087</v>
          </cell>
          <cell r="W505">
            <v>43721</v>
          </cell>
          <cell r="X505" t="str">
            <v>Lokasi Produksi 546F2 ( pecahan 546F ) "J"</v>
          </cell>
          <cell r="Z505">
            <v>14</v>
          </cell>
          <cell r="AA505">
            <v>45937</v>
          </cell>
          <cell r="AB505">
            <v>50.597336111110053</v>
          </cell>
          <cell r="AC505">
            <v>1.6865778703703351</v>
          </cell>
          <cell r="AD505">
            <v>-14.313422129629664</v>
          </cell>
          <cell r="AE505">
            <v>18.3</v>
          </cell>
          <cell r="AF505">
            <v>0</v>
          </cell>
          <cell r="AG505">
            <v>-1373</v>
          </cell>
          <cell r="AM505" t="str">
            <v>OK</v>
          </cell>
          <cell r="AO505">
            <v>16.145185108024695</v>
          </cell>
          <cell r="AP505">
            <v>2.1451851080246946</v>
          </cell>
          <cell r="AQ505">
            <v>45931</v>
          </cell>
          <cell r="AR505">
            <v>14.033333333333333</v>
          </cell>
          <cell r="AS505">
            <v>2.1118517746913614</v>
          </cell>
          <cell r="AT505">
            <v>45937</v>
          </cell>
          <cell r="AU505">
            <v>2.1118517746913614</v>
          </cell>
          <cell r="AV505">
            <v>421</v>
          </cell>
          <cell r="AW505">
            <v>2.1118517746913614</v>
          </cell>
          <cell r="AY505">
            <v>489.46369178241002</v>
          </cell>
          <cell r="AZ505" t="str">
            <v>F18</v>
          </cell>
          <cell r="BA505">
            <v>5.57</v>
          </cell>
          <cell r="BB505" t="str">
            <v>NSFC</v>
          </cell>
          <cell r="BC505" t="str">
            <v>F18CK</v>
          </cell>
        </row>
        <row r="506">
          <cell r="A506" t="str">
            <v>546G</v>
          </cell>
          <cell r="B506" t="str">
            <v>3</v>
          </cell>
          <cell r="C506" t="str">
            <v>05</v>
          </cell>
          <cell r="D506">
            <v>19</v>
          </cell>
          <cell r="E506" t="str">
            <v>546G</v>
          </cell>
          <cell r="F506">
            <v>13.3</v>
          </cell>
          <cell r="G506">
            <v>10.36</v>
          </cell>
          <cell r="H506">
            <v>10.36</v>
          </cell>
          <cell r="I506" t="str">
            <v>BK</v>
          </cell>
          <cell r="J506" t="str">
            <v>BB</v>
          </cell>
          <cell r="K506">
            <v>0</v>
          </cell>
          <cell r="L506">
            <v>45901</v>
          </cell>
          <cell r="M506">
            <v>45901</v>
          </cell>
          <cell r="N506">
            <v>93</v>
          </cell>
          <cell r="O506" t="str">
            <v>NS</v>
          </cell>
          <cell r="P506" t="str">
            <v/>
          </cell>
          <cell r="Q506">
            <v>45901</v>
          </cell>
          <cell r="R506" t="str">
            <v/>
          </cell>
          <cell r="S506" t="str">
            <v/>
          </cell>
          <cell r="T506" t="str">
            <v/>
          </cell>
          <cell r="U506">
            <v>73962</v>
          </cell>
          <cell r="V506">
            <v>72264</v>
          </cell>
          <cell r="W506">
            <v>43223</v>
          </cell>
          <cell r="X506" t="str">
            <v>Lokasi Produksi 546G</v>
          </cell>
          <cell r="Z506">
            <v>0</v>
          </cell>
          <cell r="AA506">
            <v>45901</v>
          </cell>
          <cell r="AB506">
            <v>249.59733611111005</v>
          </cell>
          <cell r="AC506">
            <v>8.3199112037036684</v>
          </cell>
          <cell r="AD506">
            <v>-20</v>
          </cell>
          <cell r="AE506">
            <v>0</v>
          </cell>
          <cell r="AF506">
            <v>0</v>
          </cell>
          <cell r="AG506">
            <v>-1366.3666666666666</v>
          </cell>
          <cell r="AM506" t="str">
            <v>OK</v>
          </cell>
          <cell r="AO506">
            <v>3.1118517746913614</v>
          </cell>
          <cell r="AP506">
            <v>3.1118517746913614</v>
          </cell>
          <cell r="AQ506">
            <v>0</v>
          </cell>
          <cell r="AR506">
            <v>3.1118517746913614</v>
          </cell>
          <cell r="AS506">
            <v>0</v>
          </cell>
          <cell r="AT506">
            <v>45901</v>
          </cell>
          <cell r="AU506">
            <v>3.1118517746913614</v>
          </cell>
          <cell r="AV506">
            <v>93.355553240740846</v>
          </cell>
          <cell r="AW506">
            <v>3.1118517746913614</v>
          </cell>
          <cell r="AY506">
            <v>98.463691782410024</v>
          </cell>
          <cell r="AZ506" t="str">
            <v>F18</v>
          </cell>
          <cell r="BA506">
            <v>0</v>
          </cell>
          <cell r="BB506" t="str">
            <v>NSBK</v>
          </cell>
          <cell r="BC506" t="str">
            <v>F18</v>
          </cell>
        </row>
        <row r="507">
          <cell r="A507" t="str">
            <v>546I4</v>
          </cell>
          <cell r="B507" t="str">
            <v>3</v>
          </cell>
          <cell r="C507" t="str">
            <v>05</v>
          </cell>
          <cell r="D507">
            <v>19</v>
          </cell>
          <cell r="E507" t="str">
            <v>546I4</v>
          </cell>
          <cell r="F507">
            <v>13.14</v>
          </cell>
          <cell r="G507">
            <v>10.94</v>
          </cell>
          <cell r="H507">
            <v>10.94</v>
          </cell>
          <cell r="I507" t="str">
            <v>FC</v>
          </cell>
          <cell r="J507" t="str">
            <v>ST</v>
          </cell>
          <cell r="K507">
            <v>12</v>
          </cell>
          <cell r="L507">
            <v>45777</v>
          </cell>
          <cell r="M507">
            <v>45777</v>
          </cell>
          <cell r="N507">
            <v>217</v>
          </cell>
          <cell r="O507" t="str">
            <v>NS</v>
          </cell>
          <cell r="P507" t="str">
            <v>NSF18SS3</v>
          </cell>
          <cell r="Q507">
            <v>46143</v>
          </cell>
          <cell r="R507" t="str">
            <v/>
          </cell>
          <cell r="S507" t="str">
            <v/>
          </cell>
          <cell r="T507" t="str">
            <v/>
          </cell>
          <cell r="U507">
            <v>70524</v>
          </cell>
          <cell r="V507">
            <v>71959</v>
          </cell>
          <cell r="W507">
            <v>45628</v>
          </cell>
          <cell r="X507" t="str">
            <v>Lokasi Produksi 546I4 ( gabungan 546I1,546I2,546I3 )</v>
          </cell>
          <cell r="Z507">
            <v>12</v>
          </cell>
          <cell r="AA507">
            <v>46143</v>
          </cell>
          <cell r="AB507">
            <v>89.597336111110053</v>
          </cell>
          <cell r="AC507">
            <v>2.986577870370335</v>
          </cell>
          <cell r="AD507">
            <v>-5.0134221296296655</v>
          </cell>
          <cell r="AE507">
            <v>11.75</v>
          </cell>
          <cell r="AF507">
            <v>0</v>
          </cell>
          <cell r="AG507">
            <v>-1371.7</v>
          </cell>
          <cell r="AM507" t="str">
            <v>OK</v>
          </cell>
          <cell r="AO507">
            <v>7.2451851080246952</v>
          </cell>
          <cell r="AP507">
            <v>-4.7548148919753048</v>
          </cell>
          <cell r="AQ507">
            <v>0</v>
          </cell>
          <cell r="AR507">
            <v>7.2451851080246952</v>
          </cell>
          <cell r="AS507">
            <v>0</v>
          </cell>
          <cell r="AT507">
            <v>46143</v>
          </cell>
          <cell r="AU507">
            <v>-4.7548148919753048</v>
          </cell>
          <cell r="AV507">
            <v>217.35555324074085</v>
          </cell>
          <cell r="AW507">
            <v>-4.7548148919753048</v>
          </cell>
          <cell r="AY507">
            <v>222.46369178241002</v>
          </cell>
          <cell r="AZ507" t="str">
            <v>F18</v>
          </cell>
          <cell r="BA507">
            <v>10.94</v>
          </cell>
          <cell r="BB507" t="str">
            <v>NSFC</v>
          </cell>
          <cell r="BC507" t="str">
            <v>F18SS</v>
          </cell>
        </row>
        <row r="508">
          <cell r="A508" t="str">
            <v>547A</v>
          </cell>
          <cell r="B508" t="str">
            <v>3</v>
          </cell>
          <cell r="C508" t="str">
            <v>06</v>
          </cell>
          <cell r="D508">
            <v>20</v>
          </cell>
          <cell r="E508" t="str">
            <v>547A</v>
          </cell>
          <cell r="F508">
            <v>12.28</v>
          </cell>
          <cell r="G508">
            <v>9.67</v>
          </cell>
          <cell r="H508">
            <v>9.67</v>
          </cell>
          <cell r="I508" t="str">
            <v>SC</v>
          </cell>
          <cell r="J508" t="str">
            <v>FC</v>
          </cell>
          <cell r="K508">
            <v>8</v>
          </cell>
          <cell r="L508">
            <v>45774</v>
          </cell>
          <cell r="M508">
            <v>45774</v>
          </cell>
          <cell r="N508">
            <v>220</v>
          </cell>
          <cell r="O508" t="str">
            <v>NS</v>
          </cell>
          <cell r="P508" t="str">
            <v/>
          </cell>
          <cell r="Q508">
            <v>46018</v>
          </cell>
          <cell r="R508" t="str">
            <v/>
          </cell>
          <cell r="S508" t="str">
            <v/>
          </cell>
          <cell r="T508" t="str">
            <v/>
          </cell>
          <cell r="U508">
            <v>65233</v>
          </cell>
          <cell r="V508">
            <v>70743</v>
          </cell>
          <cell r="W508" t="str">
            <v/>
          </cell>
          <cell r="X508" t="str">
            <v>Lokasi Produksi 547A</v>
          </cell>
          <cell r="Z508">
            <v>8</v>
          </cell>
          <cell r="AA508">
            <v>46018</v>
          </cell>
          <cell r="AB508">
            <v>5309.5973361111101</v>
          </cell>
          <cell r="AC508">
            <v>176.98657787037033</v>
          </cell>
          <cell r="AD508">
            <v>-20</v>
          </cell>
          <cell r="AE508">
            <v>0</v>
          </cell>
          <cell r="AF508">
            <v>0</v>
          </cell>
          <cell r="AG508">
            <v>-1197.7</v>
          </cell>
          <cell r="AM508" t="str">
            <v>OK</v>
          </cell>
          <cell r="AO508">
            <v>7.3451851080246948</v>
          </cell>
          <cell r="AP508">
            <v>-0.65481489197530518</v>
          </cell>
          <cell r="AQ508">
            <v>0</v>
          </cell>
          <cell r="AR508">
            <v>7.3451851080246948</v>
          </cell>
          <cell r="AS508">
            <v>0</v>
          </cell>
          <cell r="AT508">
            <v>46018</v>
          </cell>
          <cell r="AU508">
            <v>-0.65481489197530518</v>
          </cell>
          <cell r="AV508">
            <v>220.35555324074085</v>
          </cell>
          <cell r="AW508">
            <v>-0.65481489197530518</v>
          </cell>
          <cell r="AY508">
            <v>225.46369178241002</v>
          </cell>
          <cell r="AZ508" t="str">
            <v>F18</v>
          </cell>
          <cell r="BA508">
            <v>9.67</v>
          </cell>
          <cell r="BB508" t="str">
            <v>NSSC</v>
          </cell>
          <cell r="BC508" t="str">
            <v>F18</v>
          </cell>
        </row>
        <row r="509">
          <cell r="A509" t="str">
            <v>547B</v>
          </cell>
          <cell r="B509" t="str">
            <v>3</v>
          </cell>
          <cell r="C509" t="str">
            <v>06</v>
          </cell>
          <cell r="D509">
            <v>20</v>
          </cell>
          <cell r="E509" t="str">
            <v>547B</v>
          </cell>
          <cell r="F509">
            <v>14.62</v>
          </cell>
          <cell r="G509">
            <v>11.55</v>
          </cell>
          <cell r="H509">
            <v>11.55</v>
          </cell>
          <cell r="I509" t="str">
            <v>BB</v>
          </cell>
          <cell r="J509" t="str">
            <v>FC</v>
          </cell>
          <cell r="K509">
            <v>0</v>
          </cell>
          <cell r="L509">
            <v>45775</v>
          </cell>
          <cell r="M509">
            <v>45775</v>
          </cell>
          <cell r="N509">
            <v>219</v>
          </cell>
          <cell r="O509" t="str">
            <v>NS</v>
          </cell>
          <cell r="P509" t="str">
            <v/>
          </cell>
          <cell r="Q509">
            <v>45775</v>
          </cell>
          <cell r="R509" t="str">
            <v/>
          </cell>
          <cell r="S509" t="str">
            <v/>
          </cell>
          <cell r="T509" t="str">
            <v/>
          </cell>
          <cell r="U509">
            <v>66243</v>
          </cell>
          <cell r="V509">
            <v>70781</v>
          </cell>
          <cell r="W509">
            <v>44009</v>
          </cell>
          <cell r="X509" t="str">
            <v>Lokasi Produksi 547B</v>
          </cell>
          <cell r="Z509">
            <v>0</v>
          </cell>
          <cell r="AA509">
            <v>45775</v>
          </cell>
          <cell r="AB509">
            <v>230.59733611111005</v>
          </cell>
          <cell r="AC509">
            <v>7.6865778703703347</v>
          </cell>
          <cell r="AD509">
            <v>-0.31342212962966531</v>
          </cell>
          <cell r="AE509">
            <v>24.07</v>
          </cell>
          <cell r="AF509">
            <v>0</v>
          </cell>
          <cell r="AG509">
            <v>-1367</v>
          </cell>
          <cell r="AM509" t="str">
            <v>OK</v>
          </cell>
          <cell r="AO509">
            <v>7.3118517746913616</v>
          </cell>
          <cell r="AP509">
            <v>7.3118517746913616</v>
          </cell>
          <cell r="AQ509">
            <v>0</v>
          </cell>
          <cell r="AR509">
            <v>7.3118517746913616</v>
          </cell>
          <cell r="AS509">
            <v>0</v>
          </cell>
          <cell r="AT509">
            <v>45775</v>
          </cell>
          <cell r="AU509">
            <v>7.3118517746913616</v>
          </cell>
          <cell r="AV509">
            <v>219.35555324074085</v>
          </cell>
          <cell r="AW509">
            <v>7.3118517746913616</v>
          </cell>
          <cell r="AY509">
            <v>224.46369178241002</v>
          </cell>
          <cell r="AZ509" t="str">
            <v>F18</v>
          </cell>
          <cell r="BA509">
            <v>0</v>
          </cell>
          <cell r="BB509" t="str">
            <v>NSBB</v>
          </cell>
          <cell r="BC509" t="str">
            <v>F18</v>
          </cell>
        </row>
        <row r="510">
          <cell r="A510" t="str">
            <v>547C</v>
          </cell>
          <cell r="B510" t="str">
            <v>3</v>
          </cell>
          <cell r="C510" t="str">
            <v>06</v>
          </cell>
          <cell r="D510">
            <v>20</v>
          </cell>
          <cell r="E510" t="str">
            <v>547C</v>
          </cell>
          <cell r="F510">
            <v>17.07</v>
          </cell>
          <cell r="G510">
            <v>13.97</v>
          </cell>
          <cell r="H510">
            <v>13.97</v>
          </cell>
          <cell r="I510" t="str">
            <v>FC</v>
          </cell>
          <cell r="J510" t="str">
            <v>ST</v>
          </cell>
          <cell r="K510">
            <v>14</v>
          </cell>
          <cell r="L510">
            <v>45492</v>
          </cell>
          <cell r="M510">
            <v>45492</v>
          </cell>
          <cell r="N510">
            <v>502</v>
          </cell>
          <cell r="O510" t="str">
            <v>NS</v>
          </cell>
          <cell r="P510" t="str">
            <v>NSGP3CK3</v>
          </cell>
          <cell r="Q510">
            <v>45919</v>
          </cell>
          <cell r="R510" t="str">
            <v/>
          </cell>
          <cell r="S510" t="str">
            <v/>
          </cell>
          <cell r="T510">
            <v>45866</v>
          </cell>
          <cell r="U510">
            <v>65689</v>
          </cell>
          <cell r="V510">
            <v>69490</v>
          </cell>
          <cell r="W510">
            <v>43721</v>
          </cell>
          <cell r="X510" t="str">
            <v>Lokasi Produksi 547C</v>
          </cell>
          <cell r="Z510">
            <v>14</v>
          </cell>
          <cell r="AA510">
            <v>45919</v>
          </cell>
          <cell r="AB510">
            <v>239.59733611111005</v>
          </cell>
          <cell r="AC510">
            <v>7.9865778703703354</v>
          </cell>
          <cell r="AD510">
            <v>-1.3422129629664603E-2</v>
          </cell>
          <cell r="AE510">
            <v>18.79</v>
          </cell>
          <cell r="AF510">
            <v>0</v>
          </cell>
          <cell r="AG510">
            <v>-1366.7</v>
          </cell>
          <cell r="AM510" t="str">
            <v>OK</v>
          </cell>
          <cell r="AO510">
            <v>16.745185108024696</v>
          </cell>
          <cell r="AP510">
            <v>2.7451851080246961</v>
          </cell>
          <cell r="AQ510">
            <v>45866</v>
          </cell>
          <cell r="AR510">
            <v>12.466666666666667</v>
          </cell>
          <cell r="AS510">
            <v>4.2785184413580293</v>
          </cell>
          <cell r="AT510">
            <v>45919</v>
          </cell>
          <cell r="AU510">
            <v>4.2785184413580293</v>
          </cell>
          <cell r="AV510">
            <v>374</v>
          </cell>
          <cell r="AW510">
            <v>4.2785184413580293</v>
          </cell>
          <cell r="AY510">
            <v>507.46369178241002</v>
          </cell>
          <cell r="AZ510" t="str">
            <v>GP3</v>
          </cell>
          <cell r="BA510">
            <v>13.97</v>
          </cell>
          <cell r="BB510" t="str">
            <v>NSFC</v>
          </cell>
          <cell r="BC510" t="str">
            <v>GP3CK</v>
          </cell>
        </row>
        <row r="511">
          <cell r="A511" t="str">
            <v>547D1</v>
          </cell>
          <cell r="B511" t="str">
            <v>3</v>
          </cell>
          <cell r="C511" t="str">
            <v>06</v>
          </cell>
          <cell r="D511">
            <v>20</v>
          </cell>
          <cell r="E511" t="str">
            <v>547D1</v>
          </cell>
          <cell r="F511">
            <v>9.09</v>
          </cell>
          <cell r="G511">
            <v>7.08</v>
          </cell>
          <cell r="H511">
            <v>7.08</v>
          </cell>
          <cell r="I511" t="str">
            <v>BB</v>
          </cell>
          <cell r="J511" t="str">
            <v>FC</v>
          </cell>
          <cell r="K511">
            <v>0</v>
          </cell>
          <cell r="L511">
            <v>45877</v>
          </cell>
          <cell r="M511">
            <v>45877</v>
          </cell>
          <cell r="N511">
            <v>117</v>
          </cell>
          <cell r="O511" t="str">
            <v>NS</v>
          </cell>
          <cell r="P511" t="str">
            <v/>
          </cell>
          <cell r="Q511">
            <v>45877</v>
          </cell>
          <cell r="R511" t="str">
            <v/>
          </cell>
          <cell r="S511" t="str">
            <v/>
          </cell>
          <cell r="T511" t="str">
            <v/>
          </cell>
          <cell r="U511">
            <v>69512</v>
          </cell>
          <cell r="V511">
            <v>72066</v>
          </cell>
          <cell r="W511">
            <v>43023</v>
          </cell>
          <cell r="X511" t="str">
            <v>Lokasi Produksi 547D1 ( pecahan 547D )</v>
          </cell>
          <cell r="Z511">
            <v>0</v>
          </cell>
          <cell r="AA511">
            <v>45877</v>
          </cell>
          <cell r="AB511">
            <v>253.59733611111005</v>
          </cell>
          <cell r="AC511">
            <v>8.4532445370370013</v>
          </cell>
          <cell r="AD511">
            <v>0.45324453703700129</v>
          </cell>
          <cell r="AE511">
            <v>9.68</v>
          </cell>
          <cell r="AF511">
            <v>0</v>
          </cell>
          <cell r="AG511">
            <v>-1366.2333333333333</v>
          </cell>
          <cell r="AM511" t="str">
            <v>OK</v>
          </cell>
          <cell r="AO511">
            <v>3.9118517746913617</v>
          </cell>
          <cell r="AP511">
            <v>3.9118517746913617</v>
          </cell>
          <cell r="AQ511">
            <v>0</v>
          </cell>
          <cell r="AR511">
            <v>3.9118517746913617</v>
          </cell>
          <cell r="AS511">
            <v>0</v>
          </cell>
          <cell r="AT511">
            <v>45877</v>
          </cell>
          <cell r="AU511">
            <v>3.9118517746913617</v>
          </cell>
          <cell r="AV511">
            <v>117.35555324074085</v>
          </cell>
          <cell r="AW511">
            <v>3.9118517746913617</v>
          </cell>
          <cell r="AY511">
            <v>122.46369178241002</v>
          </cell>
          <cell r="AZ511" t="str">
            <v>F18</v>
          </cell>
          <cell r="BA511">
            <v>0</v>
          </cell>
          <cell r="BB511" t="str">
            <v>NSBB</v>
          </cell>
          <cell r="BC511" t="str">
            <v>F18</v>
          </cell>
        </row>
        <row r="512">
          <cell r="A512" t="str">
            <v>547D2</v>
          </cell>
          <cell r="B512" t="str">
            <v>3</v>
          </cell>
          <cell r="C512" t="str">
            <v>06</v>
          </cell>
          <cell r="D512">
            <v>20</v>
          </cell>
          <cell r="E512" t="str">
            <v>547D2</v>
          </cell>
          <cell r="F512">
            <v>9.15</v>
          </cell>
          <cell r="G512">
            <v>7.23</v>
          </cell>
          <cell r="H512">
            <v>7.23</v>
          </cell>
          <cell r="I512" t="str">
            <v>SC</v>
          </cell>
          <cell r="J512" t="str">
            <v>BB</v>
          </cell>
          <cell r="K512">
            <v>8</v>
          </cell>
          <cell r="L512">
            <v>45877</v>
          </cell>
          <cell r="M512">
            <v>45877</v>
          </cell>
          <cell r="N512">
            <v>117</v>
          </cell>
          <cell r="O512" t="str">
            <v>NS</v>
          </cell>
          <cell r="P512" t="str">
            <v/>
          </cell>
          <cell r="Q512">
            <v>46121</v>
          </cell>
          <cell r="R512" t="str">
            <v/>
          </cell>
          <cell r="S512" t="str">
            <v/>
          </cell>
          <cell r="T512" t="str">
            <v/>
          </cell>
          <cell r="U512">
            <v>68036</v>
          </cell>
          <cell r="V512">
            <v>72331</v>
          </cell>
          <cell r="W512">
            <v>45410</v>
          </cell>
          <cell r="X512" t="str">
            <v>Lokasi Produksi 547D2 ( pecahan 547D )</v>
          </cell>
          <cell r="Z512">
            <v>8</v>
          </cell>
          <cell r="AA512">
            <v>46121</v>
          </cell>
          <cell r="AB512">
            <v>336.59733611111005</v>
          </cell>
          <cell r="AC512">
            <v>11.219911203703669</v>
          </cell>
          <cell r="AD512">
            <v>3.2199112037036688</v>
          </cell>
          <cell r="AE512">
            <v>14.39</v>
          </cell>
          <cell r="AF512">
            <v>0</v>
          </cell>
          <cell r="AG512">
            <v>-1363.4666666666667</v>
          </cell>
          <cell r="AM512" t="str">
            <v>OK</v>
          </cell>
          <cell r="AO512">
            <v>3.9118517746913617</v>
          </cell>
          <cell r="AP512">
            <v>-4.0881482253086379</v>
          </cell>
          <cell r="AQ512">
            <v>0</v>
          </cell>
          <cell r="AR512">
            <v>3.9118517746913617</v>
          </cell>
          <cell r="AS512">
            <v>0</v>
          </cell>
          <cell r="AT512">
            <v>46121</v>
          </cell>
          <cell r="AU512">
            <v>-4.0881482253086379</v>
          </cell>
          <cell r="AV512">
            <v>117.35555324074085</v>
          </cell>
          <cell r="AW512">
            <v>-4.0881482253086379</v>
          </cell>
          <cell r="AY512">
            <v>122.46369178241002</v>
          </cell>
          <cell r="AZ512" t="str">
            <v>F18</v>
          </cell>
          <cell r="BA512">
            <v>7.23</v>
          </cell>
          <cell r="BB512" t="str">
            <v>NSSC</v>
          </cell>
          <cell r="BC512" t="str">
            <v>F18</v>
          </cell>
        </row>
        <row r="513">
          <cell r="A513" t="str">
            <v>547E1</v>
          </cell>
          <cell r="B513" t="str">
            <v>3</v>
          </cell>
          <cell r="C513" t="str">
            <v>06</v>
          </cell>
          <cell r="D513">
            <v>20</v>
          </cell>
          <cell r="E513" t="str">
            <v>547E1</v>
          </cell>
          <cell r="F513">
            <v>4.28</v>
          </cell>
          <cell r="G513">
            <v>3.4</v>
          </cell>
          <cell r="H513">
            <v>3.4</v>
          </cell>
          <cell r="I513" t="str">
            <v>SC</v>
          </cell>
          <cell r="J513" t="str">
            <v>FC</v>
          </cell>
          <cell r="K513">
            <v>8</v>
          </cell>
          <cell r="L513">
            <v>45625</v>
          </cell>
          <cell r="M513">
            <v>45625</v>
          </cell>
          <cell r="N513">
            <v>369</v>
          </cell>
          <cell r="O513" t="str">
            <v>NS</v>
          </cell>
          <cell r="P513" t="str">
            <v/>
          </cell>
          <cell r="Q513">
            <v>45869</v>
          </cell>
          <cell r="R513" t="str">
            <v/>
          </cell>
          <cell r="S513" t="str">
            <v/>
          </cell>
          <cell r="T513">
            <v>45847</v>
          </cell>
          <cell r="U513">
            <v>71046</v>
          </cell>
          <cell r="V513">
            <v>52366</v>
          </cell>
          <cell r="W513" t="str">
            <v/>
          </cell>
          <cell r="X513" t="str">
            <v>Lokasi Produksi 5487E1 ( pecahan )</v>
          </cell>
          <cell r="Z513">
            <v>8</v>
          </cell>
          <cell r="AA513">
            <v>45869</v>
          </cell>
          <cell r="AB513">
            <v>442.59733611111005</v>
          </cell>
          <cell r="AC513">
            <v>14.753244537037002</v>
          </cell>
          <cell r="AD513">
            <v>6.753244537037002</v>
          </cell>
          <cell r="AE513">
            <v>10.07</v>
          </cell>
          <cell r="AF513">
            <v>0</v>
          </cell>
          <cell r="AG513">
            <v>-1359.9333333333334</v>
          </cell>
          <cell r="AM513" t="str">
            <v>OK</v>
          </cell>
          <cell r="AO513">
            <v>12.311851774691361</v>
          </cell>
          <cell r="AP513">
            <v>4.3118517746913607</v>
          </cell>
          <cell r="AQ513">
            <v>45847</v>
          </cell>
          <cell r="AR513">
            <v>7.4</v>
          </cell>
          <cell r="AS513">
            <v>4.9118517746913604</v>
          </cell>
          <cell r="AT513">
            <v>45869</v>
          </cell>
          <cell r="AU513">
            <v>4.9118517746913604</v>
          </cell>
          <cell r="AV513">
            <v>222</v>
          </cell>
          <cell r="AW513">
            <v>4.9118517746913604</v>
          </cell>
          <cell r="AY513">
            <v>374.46369178241002</v>
          </cell>
          <cell r="AZ513" t="str">
            <v>F18</v>
          </cell>
          <cell r="BA513">
            <v>3.4</v>
          </cell>
          <cell r="BB513" t="str">
            <v>NSSC</v>
          </cell>
          <cell r="BC513" t="str">
            <v>F18</v>
          </cell>
        </row>
        <row r="514">
          <cell r="A514" t="str">
            <v>547E2</v>
          </cell>
          <cell r="B514" t="str">
            <v>3</v>
          </cell>
          <cell r="C514" t="str">
            <v>06</v>
          </cell>
          <cell r="D514">
            <v>20</v>
          </cell>
          <cell r="E514" t="str">
            <v>547E2</v>
          </cell>
          <cell r="F514">
            <v>7.76</v>
          </cell>
          <cell r="G514">
            <v>6.29</v>
          </cell>
          <cell r="H514">
            <v>6.29</v>
          </cell>
          <cell r="I514" t="str">
            <v>BK</v>
          </cell>
          <cell r="J514" t="str">
            <v>BB</v>
          </cell>
          <cell r="K514">
            <v>0</v>
          </cell>
          <cell r="L514">
            <v>45946</v>
          </cell>
          <cell r="M514">
            <v>45946</v>
          </cell>
          <cell r="N514">
            <v>48</v>
          </cell>
          <cell r="O514" t="str">
            <v>NS</v>
          </cell>
          <cell r="P514" t="str">
            <v/>
          </cell>
          <cell r="Q514">
            <v>45946</v>
          </cell>
          <cell r="R514" t="str">
            <v/>
          </cell>
          <cell r="S514" t="str">
            <v/>
          </cell>
          <cell r="T514" t="str">
            <v/>
          </cell>
          <cell r="U514">
            <v>71291</v>
          </cell>
          <cell r="V514">
            <v>72036</v>
          </cell>
          <cell r="W514" t="str">
            <v/>
          </cell>
          <cell r="X514" t="str">
            <v>Lokasi Produksi 547E2 ( pecahan 547E )</v>
          </cell>
          <cell r="Z514">
            <v>0</v>
          </cell>
          <cell r="AA514">
            <v>45946</v>
          </cell>
          <cell r="AB514">
            <v>294.59733611111005</v>
          </cell>
          <cell r="AC514">
            <v>9.8199112037036684</v>
          </cell>
          <cell r="AD514">
            <v>1.8199112037036684</v>
          </cell>
          <cell r="AE514">
            <v>17.64</v>
          </cell>
          <cell r="AF514">
            <v>0</v>
          </cell>
          <cell r="AG514">
            <v>-1364.8666666666666</v>
          </cell>
          <cell r="AM514" t="str">
            <v>OK</v>
          </cell>
          <cell r="AO514">
            <v>1.6118517746913616</v>
          </cell>
          <cell r="AP514">
            <v>1.6118517746913616</v>
          </cell>
          <cell r="AQ514">
            <v>0</v>
          </cell>
          <cell r="AR514">
            <v>1.6118517746913616</v>
          </cell>
          <cell r="AS514">
            <v>0</v>
          </cell>
          <cell r="AT514">
            <v>45946</v>
          </cell>
          <cell r="AU514">
            <v>1.6118517746913616</v>
          </cell>
          <cell r="AV514">
            <v>48.355553240740846</v>
          </cell>
          <cell r="AW514">
            <v>1.6118517746913616</v>
          </cell>
          <cell r="AY514">
            <v>53.463691782410024</v>
          </cell>
          <cell r="AZ514" t="str">
            <v>F18</v>
          </cell>
          <cell r="BA514">
            <v>0</v>
          </cell>
          <cell r="BB514" t="str">
            <v>NSBK</v>
          </cell>
          <cell r="BC514" t="str">
            <v>F18</v>
          </cell>
        </row>
        <row r="515">
          <cell r="A515" t="str">
            <v>547E3</v>
          </cell>
          <cell r="B515" t="str">
            <v>3</v>
          </cell>
          <cell r="C515" t="str">
            <v>06</v>
          </cell>
          <cell r="D515">
            <v>20</v>
          </cell>
          <cell r="E515" t="str">
            <v>547E3</v>
          </cell>
          <cell r="F515">
            <v>5.5</v>
          </cell>
          <cell r="G515">
            <v>4.41</v>
          </cell>
          <cell r="H515">
            <v>4.41</v>
          </cell>
          <cell r="I515" t="str">
            <v>BK</v>
          </cell>
          <cell r="J515" t="str">
            <v>BB</v>
          </cell>
          <cell r="K515">
            <v>0</v>
          </cell>
          <cell r="L515">
            <v>45946</v>
          </cell>
          <cell r="M515">
            <v>45946</v>
          </cell>
          <cell r="N515">
            <v>48</v>
          </cell>
          <cell r="O515" t="str">
            <v>NS</v>
          </cell>
          <cell r="P515" t="str">
            <v/>
          </cell>
          <cell r="Q515">
            <v>45946</v>
          </cell>
          <cell r="R515" t="str">
            <v/>
          </cell>
          <cell r="S515" t="str">
            <v/>
          </cell>
          <cell r="T515" t="str">
            <v/>
          </cell>
          <cell r="U515">
            <v>71137</v>
          </cell>
          <cell r="V515">
            <v>72815</v>
          </cell>
          <cell r="W515" t="str">
            <v/>
          </cell>
          <cell r="X515" t="str">
            <v>Lokasi Produksi 547E3 ( pecahan 547E )</v>
          </cell>
          <cell r="Z515">
            <v>0</v>
          </cell>
          <cell r="AA515">
            <v>45946</v>
          </cell>
          <cell r="AB515">
            <v>4734.5973361111101</v>
          </cell>
          <cell r="AC515">
            <v>157.81991120370367</v>
          </cell>
          <cell r="AD515">
            <v>-20</v>
          </cell>
          <cell r="AE515">
            <v>0</v>
          </cell>
          <cell r="AF515">
            <v>0</v>
          </cell>
          <cell r="AG515">
            <v>-1216.8666666666666</v>
          </cell>
          <cell r="AM515" t="str">
            <v>OK</v>
          </cell>
          <cell r="AO515">
            <v>1.6118517746913616</v>
          </cell>
          <cell r="AP515">
            <v>1.6118517746913616</v>
          </cell>
          <cell r="AQ515">
            <v>0</v>
          </cell>
          <cell r="AR515">
            <v>1.6118517746913616</v>
          </cell>
          <cell r="AS515">
            <v>0</v>
          </cell>
          <cell r="AT515">
            <v>45946</v>
          </cell>
          <cell r="AU515">
            <v>1.6118517746913616</v>
          </cell>
          <cell r="AV515">
            <v>48.355553240740846</v>
          </cell>
          <cell r="AW515">
            <v>1.6118517746913616</v>
          </cell>
          <cell r="AY515">
            <v>53.463691782410024</v>
          </cell>
          <cell r="AZ515" t="str">
            <v>F18</v>
          </cell>
          <cell r="BA515">
            <v>0</v>
          </cell>
          <cell r="BB515" t="str">
            <v>NSBK</v>
          </cell>
          <cell r="BC515" t="str">
            <v>F18</v>
          </cell>
        </row>
        <row r="516">
          <cell r="A516" t="str">
            <v>547F1</v>
          </cell>
          <cell r="B516" t="str">
            <v>3</v>
          </cell>
          <cell r="C516" t="str">
            <v>06</v>
          </cell>
          <cell r="D516">
            <v>20</v>
          </cell>
          <cell r="E516" t="str">
            <v>547F1</v>
          </cell>
          <cell r="F516">
            <v>7.35</v>
          </cell>
          <cell r="G516">
            <v>6.21</v>
          </cell>
          <cell r="H516">
            <v>6.21</v>
          </cell>
          <cell r="I516" t="str">
            <v>FC</v>
          </cell>
          <cell r="J516" t="str">
            <v>ST</v>
          </cell>
          <cell r="K516">
            <v>14</v>
          </cell>
          <cell r="L516">
            <v>45973</v>
          </cell>
          <cell r="M516">
            <v>45973</v>
          </cell>
          <cell r="N516">
            <v>21</v>
          </cell>
          <cell r="O516" t="str">
            <v>NS</v>
          </cell>
          <cell r="P516" t="str">
            <v>NSGP3CK3</v>
          </cell>
          <cell r="Q516">
            <v>46400</v>
          </cell>
          <cell r="R516" t="str">
            <v/>
          </cell>
          <cell r="S516" t="str">
            <v/>
          </cell>
          <cell r="T516" t="str">
            <v/>
          </cell>
          <cell r="U516">
            <v>68404</v>
          </cell>
          <cell r="V516">
            <v>52239</v>
          </cell>
          <cell r="W516" t="str">
            <v/>
          </cell>
          <cell r="X516" t="str">
            <v>Lokasi Produksi 547F1 ( pecahan 547F )</v>
          </cell>
          <cell r="Z516">
            <v>14</v>
          </cell>
          <cell r="AA516">
            <v>46400</v>
          </cell>
          <cell r="AB516">
            <v>271.59733611111005</v>
          </cell>
          <cell r="AC516">
            <v>9.0532445370370009</v>
          </cell>
          <cell r="AD516">
            <v>-2.9467554629629991</v>
          </cell>
          <cell r="AE516">
            <v>18.739999999999998</v>
          </cell>
          <cell r="AF516">
            <v>0</v>
          </cell>
          <cell r="AG516">
            <v>-1365.6333333333334</v>
          </cell>
          <cell r="AM516" t="str">
            <v>OK</v>
          </cell>
          <cell r="AO516">
            <v>0.71185177469136152</v>
          </cell>
          <cell r="AP516">
            <v>-13.288148225308639</v>
          </cell>
          <cell r="AQ516">
            <v>0</v>
          </cell>
          <cell r="AR516">
            <v>0.71185177469136152</v>
          </cell>
          <cell r="AS516">
            <v>0</v>
          </cell>
          <cell r="AT516">
            <v>46400</v>
          </cell>
          <cell r="AU516">
            <v>-13.288148225308639</v>
          </cell>
          <cell r="AV516">
            <v>21.355553240740846</v>
          </cell>
          <cell r="AW516">
            <v>-13.288148225308639</v>
          </cell>
          <cell r="AY516">
            <v>26.463691782410024</v>
          </cell>
          <cell r="AZ516" t="str">
            <v>GP3</v>
          </cell>
          <cell r="BA516">
            <v>6.21</v>
          </cell>
          <cell r="BB516" t="str">
            <v>NSFC</v>
          </cell>
          <cell r="BC516" t="str">
            <v>GP3CK</v>
          </cell>
        </row>
        <row r="517">
          <cell r="A517" t="str">
            <v>547F2</v>
          </cell>
          <cell r="B517" t="str">
            <v>3</v>
          </cell>
          <cell r="C517" t="str">
            <v>06</v>
          </cell>
          <cell r="D517">
            <v>20</v>
          </cell>
          <cell r="E517" t="str">
            <v>547F2</v>
          </cell>
          <cell r="F517">
            <v>6.6</v>
          </cell>
          <cell r="G517">
            <v>5.53</v>
          </cell>
          <cell r="H517">
            <v>5.53</v>
          </cell>
          <cell r="I517" t="str">
            <v>FC</v>
          </cell>
          <cell r="J517" t="str">
            <v>ST</v>
          </cell>
          <cell r="K517">
            <v>14</v>
          </cell>
          <cell r="L517">
            <v>45974</v>
          </cell>
          <cell r="M517">
            <v>45974</v>
          </cell>
          <cell r="N517">
            <v>20</v>
          </cell>
          <cell r="O517" t="str">
            <v>NS</v>
          </cell>
          <cell r="P517" t="str">
            <v>NSGP3CK3</v>
          </cell>
          <cell r="Q517">
            <v>46401</v>
          </cell>
          <cell r="R517" t="str">
            <v/>
          </cell>
          <cell r="S517" t="str">
            <v/>
          </cell>
          <cell r="T517" t="str">
            <v/>
          </cell>
          <cell r="U517">
            <v>69587</v>
          </cell>
          <cell r="V517">
            <v>52452</v>
          </cell>
          <cell r="W517" t="str">
            <v/>
          </cell>
          <cell r="X517" t="str">
            <v>Lokasi Produksi 547F2 ( pecahan 547F )</v>
          </cell>
          <cell r="Z517">
            <v>14</v>
          </cell>
          <cell r="AA517">
            <v>46401</v>
          </cell>
          <cell r="AB517">
            <v>292.59733611111005</v>
          </cell>
          <cell r="AC517">
            <v>9.753244537037002</v>
          </cell>
          <cell r="AD517">
            <v>-4.246755462962998</v>
          </cell>
          <cell r="AE517">
            <v>21.28</v>
          </cell>
          <cell r="AF517">
            <v>0</v>
          </cell>
          <cell r="AG517">
            <v>-1364.9333333333334</v>
          </cell>
          <cell r="AM517" t="str">
            <v>OK</v>
          </cell>
          <cell r="AO517">
            <v>0.67851844135802819</v>
          </cell>
          <cell r="AP517">
            <v>-13.321481558641972</v>
          </cell>
          <cell r="AQ517">
            <v>0</v>
          </cell>
          <cell r="AR517">
            <v>0.67851844135802819</v>
          </cell>
          <cell r="AS517">
            <v>0</v>
          </cell>
          <cell r="AT517">
            <v>46401</v>
          </cell>
          <cell r="AU517">
            <v>-13.321481558641972</v>
          </cell>
          <cell r="AV517">
            <v>20.355553240740846</v>
          </cell>
          <cell r="AW517">
            <v>-13.321481558641972</v>
          </cell>
          <cell r="AY517">
            <v>25.463691782410024</v>
          </cell>
          <cell r="AZ517" t="str">
            <v>GP3</v>
          </cell>
          <cell r="BA517">
            <v>5.53</v>
          </cell>
          <cell r="BB517" t="str">
            <v>NSFC</v>
          </cell>
          <cell r="BC517" t="str">
            <v>GP3CK</v>
          </cell>
        </row>
        <row r="518">
          <cell r="A518" t="str">
            <v>547G1</v>
          </cell>
          <cell r="B518" t="str">
            <v>3</v>
          </cell>
          <cell r="C518" t="str">
            <v>06</v>
          </cell>
          <cell r="D518">
            <v>20</v>
          </cell>
          <cell r="E518" t="str">
            <v>547G1</v>
          </cell>
          <cell r="F518">
            <v>7.84</v>
          </cell>
          <cell r="G518">
            <v>5.18</v>
          </cell>
          <cell r="H518">
            <v>5.18</v>
          </cell>
          <cell r="I518" t="str">
            <v>Y2</v>
          </cell>
          <cell r="J518" t="str">
            <v>FC</v>
          </cell>
          <cell r="K518">
            <v>0</v>
          </cell>
          <cell r="L518">
            <v>45502</v>
          </cell>
          <cell r="M518">
            <v>45502</v>
          </cell>
          <cell r="N518">
            <v>492</v>
          </cell>
          <cell r="O518" t="str">
            <v>PS</v>
          </cell>
          <cell r="P518" t="str">
            <v>PSCJ4MTX</v>
          </cell>
          <cell r="Q518">
            <v>45502</v>
          </cell>
          <cell r="R518" t="str">
            <v/>
          </cell>
          <cell r="S518" t="str">
            <v/>
          </cell>
          <cell r="T518" t="str">
            <v/>
          </cell>
          <cell r="U518">
            <v>13445</v>
          </cell>
          <cell r="V518">
            <v>65795</v>
          </cell>
          <cell r="W518">
            <v>45644</v>
          </cell>
          <cell r="X518" t="str">
            <v>Lokasi Produksi 547G1 ( pecahan 547G )</v>
          </cell>
          <cell r="Z518">
            <v>0</v>
          </cell>
          <cell r="AA518">
            <v>45502</v>
          </cell>
          <cell r="AB518">
            <v>33.597336111110053</v>
          </cell>
          <cell r="AC518">
            <v>1.1199112037036685</v>
          </cell>
          <cell r="AD518">
            <v>-6.8800887962963317</v>
          </cell>
          <cell r="AE518">
            <v>24.18</v>
          </cell>
          <cell r="AF518">
            <v>0</v>
          </cell>
          <cell r="AG518">
            <v>-1373.5666666666666</v>
          </cell>
          <cell r="AM518" t="str">
            <v>OK</v>
          </cell>
          <cell r="AO518">
            <v>16.41185177469136</v>
          </cell>
          <cell r="AP518">
            <v>16.41185177469136</v>
          </cell>
          <cell r="AQ518">
            <v>0</v>
          </cell>
          <cell r="AR518">
            <v>16.41185177469136</v>
          </cell>
          <cell r="AS518">
            <v>0</v>
          </cell>
          <cell r="AT518">
            <v>45502</v>
          </cell>
          <cell r="AU518">
            <v>16.41185177469136</v>
          </cell>
          <cell r="AV518">
            <v>492.35555324074079</v>
          </cell>
          <cell r="AW518">
            <v>16.41185177469136</v>
          </cell>
          <cell r="AY518">
            <v>497.46369178241002</v>
          </cell>
          <cell r="AZ518" t="str">
            <v>CJ4</v>
          </cell>
          <cell r="BA518">
            <v>0</v>
          </cell>
          <cell r="BB518" t="str">
            <v>PSY2</v>
          </cell>
          <cell r="BC518" t="str">
            <v>CJ4MT</v>
          </cell>
        </row>
        <row r="519">
          <cell r="A519" t="str">
            <v>547G2</v>
          </cell>
          <cell r="B519" t="str">
            <v>3</v>
          </cell>
          <cell r="C519" t="str">
            <v>06</v>
          </cell>
          <cell r="D519">
            <v>20</v>
          </cell>
          <cell r="E519" t="str">
            <v>547G2</v>
          </cell>
          <cell r="F519">
            <v>11.94</v>
          </cell>
          <cell r="G519">
            <v>8.27</v>
          </cell>
          <cell r="H519">
            <v>8.27</v>
          </cell>
          <cell r="I519" t="str">
            <v>Y2</v>
          </cell>
          <cell r="J519" t="str">
            <v>FC</v>
          </cell>
          <cell r="K519">
            <v>0</v>
          </cell>
          <cell r="L519">
            <v>45502</v>
          </cell>
          <cell r="M519">
            <v>45502</v>
          </cell>
          <cell r="N519">
            <v>492</v>
          </cell>
          <cell r="O519" t="str">
            <v>PS</v>
          </cell>
          <cell r="P519" t="str">
            <v>PSCJ4MTX</v>
          </cell>
          <cell r="Q519">
            <v>45502</v>
          </cell>
          <cell r="R519" t="str">
            <v/>
          </cell>
          <cell r="S519" t="str">
            <v/>
          </cell>
          <cell r="T519" t="str">
            <v/>
          </cell>
          <cell r="U519">
            <v>21357</v>
          </cell>
          <cell r="V519">
            <v>64401</v>
          </cell>
          <cell r="W519">
            <v>45644</v>
          </cell>
          <cell r="X519" t="str">
            <v>Lokasi Produksi 547G2 ( pecahan 547G )</v>
          </cell>
          <cell r="Z519">
            <v>0</v>
          </cell>
          <cell r="AA519">
            <v>45502</v>
          </cell>
          <cell r="AB519">
            <v>210.59733611111005</v>
          </cell>
          <cell r="AC519">
            <v>7.0199112037036686</v>
          </cell>
          <cell r="AD519">
            <v>-20</v>
          </cell>
          <cell r="AE519">
            <v>0</v>
          </cell>
          <cell r="AF519">
            <v>0</v>
          </cell>
          <cell r="AG519">
            <v>-1367.6666666666667</v>
          </cell>
          <cell r="AM519" t="str">
            <v>OK</v>
          </cell>
          <cell r="AO519">
            <v>16.41185177469136</v>
          </cell>
          <cell r="AP519">
            <v>16.41185177469136</v>
          </cell>
          <cell r="AQ519">
            <v>0</v>
          </cell>
          <cell r="AR519">
            <v>16.41185177469136</v>
          </cell>
          <cell r="AS519">
            <v>0</v>
          </cell>
          <cell r="AT519">
            <v>45502</v>
          </cell>
          <cell r="AU519">
            <v>16.41185177469136</v>
          </cell>
          <cell r="AV519">
            <v>492.35555324074079</v>
          </cell>
          <cell r="AW519">
            <v>16.41185177469136</v>
          </cell>
          <cell r="AY519">
            <v>497.46369178241002</v>
          </cell>
          <cell r="AZ519" t="str">
            <v>CJ4</v>
          </cell>
          <cell r="BA519">
            <v>0</v>
          </cell>
          <cell r="BB519" t="str">
            <v>PSY2</v>
          </cell>
          <cell r="BC519" t="str">
            <v>CJ4MT</v>
          </cell>
        </row>
        <row r="520">
          <cell r="A520" t="str">
            <v>547H1</v>
          </cell>
          <cell r="B520" t="str">
            <v>3</v>
          </cell>
          <cell r="C520" t="str">
            <v>06</v>
          </cell>
          <cell r="D520">
            <v>20</v>
          </cell>
          <cell r="E520" t="str">
            <v>547H1</v>
          </cell>
          <cell r="F520">
            <v>13.39</v>
          </cell>
          <cell r="G520">
            <v>10.98</v>
          </cell>
          <cell r="H520">
            <v>10.98</v>
          </cell>
          <cell r="I520" t="str">
            <v>BB</v>
          </cell>
          <cell r="J520" t="str">
            <v>FC</v>
          </cell>
          <cell r="K520">
            <v>0</v>
          </cell>
          <cell r="L520">
            <v>45961</v>
          </cell>
          <cell r="M520">
            <v>45961</v>
          </cell>
          <cell r="N520">
            <v>33</v>
          </cell>
          <cell r="O520" t="str">
            <v>NS</v>
          </cell>
          <cell r="P520" t="str">
            <v/>
          </cell>
          <cell r="Q520">
            <v>45961</v>
          </cell>
          <cell r="R520" t="str">
            <v/>
          </cell>
          <cell r="S520" t="str">
            <v/>
          </cell>
          <cell r="T520" t="str">
            <v/>
          </cell>
          <cell r="U520">
            <v>69908</v>
          </cell>
          <cell r="V520">
            <v>69493</v>
          </cell>
          <cell r="W520">
            <v>43223</v>
          </cell>
          <cell r="X520" t="str">
            <v>Lokasi Produksi 547H1 ( pecahan 547H )</v>
          </cell>
          <cell r="Z520">
            <v>0</v>
          </cell>
          <cell r="AA520">
            <v>45961</v>
          </cell>
          <cell r="AB520">
            <v>220.59733611111005</v>
          </cell>
          <cell r="AC520">
            <v>7.3532445370370016</v>
          </cell>
          <cell r="AD520">
            <v>-4.6467554629629984</v>
          </cell>
          <cell r="AE520">
            <v>8.16</v>
          </cell>
          <cell r="AF520">
            <v>0</v>
          </cell>
          <cell r="AG520">
            <v>-1367.3333333333333</v>
          </cell>
          <cell r="AM520" t="str">
            <v>OK</v>
          </cell>
          <cell r="AO520">
            <v>1.1118517746913616</v>
          </cell>
          <cell r="AP520">
            <v>1.1118517746913616</v>
          </cell>
          <cell r="AQ520">
            <v>0</v>
          </cell>
          <cell r="AR520">
            <v>1.1118517746913616</v>
          </cell>
          <cell r="AS520">
            <v>0</v>
          </cell>
          <cell r="AT520">
            <v>45961</v>
          </cell>
          <cell r="AU520">
            <v>1.1118517746913616</v>
          </cell>
          <cell r="AV520">
            <v>33.355553240740846</v>
          </cell>
          <cell r="AW520">
            <v>1.1118517746913616</v>
          </cell>
          <cell r="AY520">
            <v>38.463691782410024</v>
          </cell>
          <cell r="AZ520" t="str">
            <v>F18</v>
          </cell>
          <cell r="BA520">
            <v>0</v>
          </cell>
          <cell r="BB520" t="str">
            <v>NSBB</v>
          </cell>
          <cell r="BC520" t="str">
            <v>F18</v>
          </cell>
        </row>
        <row r="521">
          <cell r="A521" t="str">
            <v>547H2</v>
          </cell>
          <cell r="B521" t="str">
            <v>3</v>
          </cell>
          <cell r="C521" t="str">
            <v>06</v>
          </cell>
          <cell r="D521">
            <v>20</v>
          </cell>
          <cell r="E521" t="str">
            <v>547H2</v>
          </cell>
          <cell r="F521">
            <v>7.97</v>
          </cell>
          <cell r="G521">
            <v>6.49</v>
          </cell>
          <cell r="H521">
            <v>6.49</v>
          </cell>
          <cell r="I521" t="str">
            <v>SC</v>
          </cell>
          <cell r="J521" t="str">
            <v>FC</v>
          </cell>
          <cell r="K521">
            <v>8</v>
          </cell>
          <cell r="L521">
            <v>45961</v>
          </cell>
          <cell r="M521">
            <v>45961</v>
          </cell>
          <cell r="N521">
            <v>33</v>
          </cell>
          <cell r="O521" t="str">
            <v>NS</v>
          </cell>
          <cell r="P521" t="str">
            <v/>
          </cell>
          <cell r="Q521">
            <v>46205</v>
          </cell>
          <cell r="R521" t="str">
            <v/>
          </cell>
          <cell r="S521" t="str">
            <v/>
          </cell>
          <cell r="T521" t="str">
            <v/>
          </cell>
          <cell r="U521">
            <v>62591</v>
          </cell>
          <cell r="V521">
            <v>69116</v>
          </cell>
          <cell r="W521">
            <v>43223</v>
          </cell>
          <cell r="X521" t="str">
            <v>Lokasi Produksi 547H2 ( pecahan 547H )</v>
          </cell>
          <cell r="Z521">
            <v>8</v>
          </cell>
          <cell r="AA521">
            <v>46205</v>
          </cell>
          <cell r="AB521">
            <v>5364.5973361111101</v>
          </cell>
          <cell r="AC521">
            <v>178.81991120370367</v>
          </cell>
          <cell r="AD521">
            <v>-20</v>
          </cell>
          <cell r="AE521">
            <v>0</v>
          </cell>
          <cell r="AF521">
            <v>0</v>
          </cell>
          <cell r="AG521">
            <v>-1195.8666666666666</v>
          </cell>
          <cell r="AK521">
            <v>40390</v>
          </cell>
          <cell r="AM521" t="str">
            <v>OK</v>
          </cell>
          <cell r="AO521">
            <v>1.1118517746913616</v>
          </cell>
          <cell r="AP521">
            <v>-6.8881482253086386</v>
          </cell>
          <cell r="AQ521">
            <v>0</v>
          </cell>
          <cell r="AR521">
            <v>1.1118517746913616</v>
          </cell>
          <cell r="AS521">
            <v>0</v>
          </cell>
          <cell r="AT521">
            <v>46205</v>
          </cell>
          <cell r="AU521">
            <v>-6.8881482253086386</v>
          </cell>
          <cell r="AV521">
            <v>33.355553240740846</v>
          </cell>
          <cell r="AW521">
            <v>-6.8881482253086386</v>
          </cell>
          <cell r="AY521">
            <v>38.463691782410024</v>
          </cell>
          <cell r="AZ521" t="str">
            <v>F18</v>
          </cell>
          <cell r="BA521">
            <v>6.49</v>
          </cell>
          <cell r="BB521" t="str">
            <v>NSSC</v>
          </cell>
          <cell r="BC521" t="str">
            <v>F18</v>
          </cell>
        </row>
        <row r="522">
          <cell r="A522" t="str">
            <v>548A1</v>
          </cell>
          <cell r="B522" t="str">
            <v>3</v>
          </cell>
          <cell r="C522" t="str">
            <v>06</v>
          </cell>
          <cell r="D522">
            <v>21</v>
          </cell>
          <cell r="E522" t="str">
            <v>548A1</v>
          </cell>
          <cell r="F522">
            <v>9.64</v>
          </cell>
          <cell r="G522">
            <v>7.61</v>
          </cell>
          <cell r="H522">
            <v>7.61</v>
          </cell>
          <cell r="I522" t="str">
            <v>SC</v>
          </cell>
          <cell r="J522" t="str">
            <v>FC</v>
          </cell>
          <cell r="K522">
            <v>8</v>
          </cell>
          <cell r="L522">
            <v>45829</v>
          </cell>
          <cell r="M522">
            <v>45829</v>
          </cell>
          <cell r="N522">
            <v>165</v>
          </cell>
          <cell r="O522" t="str">
            <v>NS</v>
          </cell>
          <cell r="P522" t="str">
            <v/>
          </cell>
          <cell r="Q522">
            <v>46073</v>
          </cell>
          <cell r="R522" t="str">
            <v/>
          </cell>
          <cell r="S522" t="str">
            <v/>
          </cell>
          <cell r="T522" t="str">
            <v/>
          </cell>
          <cell r="U522">
            <v>63256</v>
          </cell>
          <cell r="V522">
            <v>69580</v>
          </cell>
          <cell r="W522">
            <v>43182</v>
          </cell>
          <cell r="X522" t="str">
            <v>Lokasi Produksi 548A1 ( pecahan 548A )</v>
          </cell>
          <cell r="Z522">
            <v>8</v>
          </cell>
          <cell r="AA522">
            <v>46073</v>
          </cell>
          <cell r="AB522">
            <v>214.59733611111005</v>
          </cell>
          <cell r="AC522">
            <v>7.1532445370370015</v>
          </cell>
          <cell r="AD522">
            <v>-6.8467554629629985</v>
          </cell>
          <cell r="AE522">
            <v>13.73</v>
          </cell>
          <cell r="AF522">
            <v>0</v>
          </cell>
          <cell r="AG522">
            <v>-1367.5333333333333</v>
          </cell>
          <cell r="AM522" t="str">
            <v>OK</v>
          </cell>
          <cell r="AO522">
            <v>5.5118517746913618</v>
          </cell>
          <cell r="AP522">
            <v>-2.4881482253086382</v>
          </cell>
          <cell r="AQ522">
            <v>0</v>
          </cell>
          <cell r="AR522">
            <v>5.5118517746913618</v>
          </cell>
          <cell r="AS522">
            <v>0</v>
          </cell>
          <cell r="AT522">
            <v>46073</v>
          </cell>
          <cell r="AU522">
            <v>-2.4881482253086382</v>
          </cell>
          <cell r="AV522">
            <v>165.35555324074085</v>
          </cell>
          <cell r="AW522">
            <v>-2.4881482253086382</v>
          </cell>
          <cell r="AY522">
            <v>170.46369178241002</v>
          </cell>
          <cell r="AZ522" t="str">
            <v>F18</v>
          </cell>
          <cell r="BA522">
            <v>7.61</v>
          </cell>
          <cell r="BB522" t="str">
            <v>NSSC</v>
          </cell>
          <cell r="BC522" t="str">
            <v>F18</v>
          </cell>
        </row>
        <row r="523">
          <cell r="A523" t="str">
            <v>548A2</v>
          </cell>
          <cell r="B523" t="str">
            <v>3</v>
          </cell>
          <cell r="C523" t="str">
            <v>06</v>
          </cell>
          <cell r="D523">
            <v>21</v>
          </cell>
          <cell r="E523" t="str">
            <v>548A2</v>
          </cell>
          <cell r="F523">
            <v>13.96</v>
          </cell>
          <cell r="G523">
            <v>10.91</v>
          </cell>
          <cell r="H523">
            <v>10.91</v>
          </cell>
          <cell r="I523" t="str">
            <v>SC</v>
          </cell>
          <cell r="J523" t="str">
            <v>FC</v>
          </cell>
          <cell r="K523">
            <v>8</v>
          </cell>
          <cell r="L523">
            <v>45829</v>
          </cell>
          <cell r="M523">
            <v>45829</v>
          </cell>
          <cell r="N523">
            <v>165</v>
          </cell>
          <cell r="O523" t="str">
            <v>NS</v>
          </cell>
          <cell r="P523" t="str">
            <v/>
          </cell>
          <cell r="Q523">
            <v>46073</v>
          </cell>
          <cell r="R523" t="str">
            <v/>
          </cell>
          <cell r="S523" t="str">
            <v/>
          </cell>
          <cell r="T523" t="str">
            <v/>
          </cell>
          <cell r="U523">
            <v>62345</v>
          </cell>
          <cell r="V523">
            <v>69006</v>
          </cell>
          <cell r="W523">
            <v>43182</v>
          </cell>
          <cell r="X523" t="str">
            <v>Lokasi Produksi 548A2 ( pecahan 548A )</v>
          </cell>
          <cell r="Z523">
            <v>8</v>
          </cell>
          <cell r="AA523">
            <v>46073</v>
          </cell>
          <cell r="AB523">
            <v>314.59733611111005</v>
          </cell>
          <cell r="AC523">
            <v>10.486577870370335</v>
          </cell>
          <cell r="AD523">
            <v>-20</v>
          </cell>
          <cell r="AE523">
            <v>23.94</v>
          </cell>
          <cell r="AF523">
            <v>0</v>
          </cell>
          <cell r="AG523">
            <v>-1364.2</v>
          </cell>
          <cell r="AM523" t="str">
            <v>OK</v>
          </cell>
          <cell r="AO523">
            <v>5.5118517746913618</v>
          </cell>
          <cell r="AP523">
            <v>-2.4881482253086382</v>
          </cell>
          <cell r="AQ523">
            <v>0</v>
          </cell>
          <cell r="AR523">
            <v>5.5118517746913618</v>
          </cell>
          <cell r="AS523">
            <v>0</v>
          </cell>
          <cell r="AT523">
            <v>46073</v>
          </cell>
          <cell r="AU523">
            <v>-2.4881482253086382</v>
          </cell>
          <cell r="AV523">
            <v>165.35555324074085</v>
          </cell>
          <cell r="AW523">
            <v>-2.4881482253086382</v>
          </cell>
          <cell r="AY523">
            <v>170.46369178241002</v>
          </cell>
          <cell r="AZ523" t="str">
            <v>F18</v>
          </cell>
          <cell r="BA523">
            <v>10.91</v>
          </cell>
          <cell r="BB523" t="str">
            <v>NSSC</v>
          </cell>
          <cell r="BC523" t="str">
            <v>F18</v>
          </cell>
        </row>
        <row r="524">
          <cell r="A524" t="str">
            <v>548B1</v>
          </cell>
          <cell r="B524" t="str">
            <v>3</v>
          </cell>
          <cell r="C524" t="str">
            <v>06</v>
          </cell>
          <cell r="D524">
            <v>21</v>
          </cell>
          <cell r="E524" t="str">
            <v>548B1</v>
          </cell>
          <cell r="F524">
            <v>5.53</v>
          </cell>
          <cell r="G524">
            <v>4.3899999999999997</v>
          </cell>
          <cell r="H524">
            <v>4.3899999999999997</v>
          </cell>
          <cell r="I524" t="str">
            <v>BK</v>
          </cell>
          <cell r="J524" t="str">
            <v>SC</v>
          </cell>
          <cell r="K524">
            <v>0</v>
          </cell>
          <cell r="L524">
            <v>45982</v>
          </cell>
          <cell r="M524">
            <v>45982</v>
          </cell>
          <cell r="N524">
            <v>12</v>
          </cell>
          <cell r="O524" t="str">
            <v>NS</v>
          </cell>
          <cell r="P524" t="str">
            <v/>
          </cell>
          <cell r="Q524">
            <v>45982</v>
          </cell>
          <cell r="R524" t="str">
            <v/>
          </cell>
          <cell r="S524" t="str">
            <v/>
          </cell>
          <cell r="T524" t="str">
            <v/>
          </cell>
          <cell r="U524">
            <v>71401</v>
          </cell>
          <cell r="V524">
            <v>52458</v>
          </cell>
          <cell r="W524">
            <v>45556</v>
          </cell>
          <cell r="X524" t="str">
            <v>Lokasi Produksi 548B1 ( pecahan 548B )</v>
          </cell>
          <cell r="Z524">
            <v>0</v>
          </cell>
          <cell r="AA524">
            <v>45982</v>
          </cell>
          <cell r="AB524">
            <v>5369.5973361111101</v>
          </cell>
          <cell r="AC524">
            <v>178.98657787037033</v>
          </cell>
          <cell r="AD524">
            <v>-20</v>
          </cell>
          <cell r="AE524">
            <v>0</v>
          </cell>
          <cell r="AF524">
            <v>0</v>
          </cell>
          <cell r="AG524">
            <v>-1195.7</v>
          </cell>
          <cell r="AM524" t="str">
            <v>OK</v>
          </cell>
          <cell r="AO524">
            <v>0.41185177469136153</v>
          </cell>
          <cell r="AP524">
            <v>0.41185177469136153</v>
          </cell>
          <cell r="AQ524">
            <v>0</v>
          </cell>
          <cell r="AR524">
            <v>0.41185177469136153</v>
          </cell>
          <cell r="AS524">
            <v>0</v>
          </cell>
          <cell r="AT524">
            <v>45982</v>
          </cell>
          <cell r="AU524">
            <v>0.41185177469136153</v>
          </cell>
          <cell r="AV524">
            <v>12.355553240740846</v>
          </cell>
          <cell r="AW524">
            <v>0.41185177469136153</v>
          </cell>
          <cell r="AY524">
            <v>17.463691782410024</v>
          </cell>
          <cell r="AZ524" t="str">
            <v>F18</v>
          </cell>
          <cell r="BA524">
            <v>0</v>
          </cell>
          <cell r="BB524" t="str">
            <v>NSBK</v>
          </cell>
          <cell r="BC524" t="str">
            <v>F18</v>
          </cell>
        </row>
        <row r="525">
          <cell r="A525" t="str">
            <v>548B2</v>
          </cell>
          <cell r="B525" t="str">
            <v>3</v>
          </cell>
          <cell r="C525" t="str">
            <v>06</v>
          </cell>
          <cell r="D525">
            <v>21</v>
          </cell>
          <cell r="E525" t="str">
            <v>548B2</v>
          </cell>
          <cell r="F525">
            <v>6.84</v>
          </cell>
          <cell r="G525">
            <v>5.44</v>
          </cell>
          <cell r="H525">
            <v>5.44</v>
          </cell>
          <cell r="I525" t="str">
            <v>BK</v>
          </cell>
          <cell r="J525" t="str">
            <v>SC</v>
          </cell>
          <cell r="K525">
            <v>0</v>
          </cell>
          <cell r="L525">
            <v>45982</v>
          </cell>
          <cell r="M525">
            <v>45982</v>
          </cell>
          <cell r="N525">
            <v>12</v>
          </cell>
          <cell r="O525" t="str">
            <v>NS</v>
          </cell>
          <cell r="P525" t="str">
            <v/>
          </cell>
          <cell r="Q525">
            <v>45982</v>
          </cell>
          <cell r="R525" t="str">
            <v/>
          </cell>
          <cell r="S525" t="str">
            <v/>
          </cell>
          <cell r="T525" t="str">
            <v/>
          </cell>
          <cell r="U525">
            <v>71994</v>
          </cell>
          <cell r="V525">
            <v>52581</v>
          </cell>
          <cell r="W525">
            <v>44893</v>
          </cell>
          <cell r="X525" t="str">
            <v>Lokasi Produksi 548B2 ( pecahan 548B )</v>
          </cell>
          <cell r="Z525">
            <v>0</v>
          </cell>
          <cell r="AA525">
            <v>45982</v>
          </cell>
          <cell r="AB525">
            <v>665.59733611111005</v>
          </cell>
          <cell r="AC525">
            <v>22.186577870370336</v>
          </cell>
          <cell r="AD525">
            <v>-20</v>
          </cell>
          <cell r="AE525">
            <v>0</v>
          </cell>
          <cell r="AF525">
            <v>0</v>
          </cell>
          <cell r="AG525">
            <v>-1352.5</v>
          </cell>
          <cell r="AM525" t="str">
            <v>OK</v>
          </cell>
          <cell r="AO525">
            <v>0.41185177469136153</v>
          </cell>
          <cell r="AP525">
            <v>0.41185177469136153</v>
          </cell>
          <cell r="AQ525">
            <v>0</v>
          </cell>
          <cell r="AR525">
            <v>0.41185177469136153</v>
          </cell>
          <cell r="AS525">
            <v>0</v>
          </cell>
          <cell r="AT525">
            <v>45982</v>
          </cell>
          <cell r="AU525">
            <v>0.41185177469136153</v>
          </cell>
          <cell r="AV525">
            <v>12.355553240740846</v>
          </cell>
          <cell r="AW525">
            <v>0.41185177469136153</v>
          </cell>
          <cell r="AY525">
            <v>17.463691782410024</v>
          </cell>
          <cell r="AZ525" t="str">
            <v>F18</v>
          </cell>
          <cell r="BA525">
            <v>0</v>
          </cell>
          <cell r="BB525" t="str">
            <v>NSBK</v>
          </cell>
          <cell r="BC525" t="str">
            <v>F18</v>
          </cell>
        </row>
        <row r="526">
          <cell r="A526" t="str">
            <v>548B3</v>
          </cell>
          <cell r="B526" t="str">
            <v>3</v>
          </cell>
          <cell r="C526" t="str">
            <v>06</v>
          </cell>
          <cell r="D526">
            <v>21</v>
          </cell>
          <cell r="E526" t="str">
            <v>548B3</v>
          </cell>
          <cell r="F526">
            <v>6.63</v>
          </cell>
          <cell r="G526">
            <v>5.19</v>
          </cell>
          <cell r="H526">
            <v>5.19</v>
          </cell>
          <cell r="I526" t="str">
            <v>SC</v>
          </cell>
          <cell r="J526" t="str">
            <v>FC</v>
          </cell>
          <cell r="K526">
            <v>8</v>
          </cell>
          <cell r="L526">
            <v>45649</v>
          </cell>
          <cell r="M526">
            <v>45649</v>
          </cell>
          <cell r="N526">
            <v>345</v>
          </cell>
          <cell r="O526" t="str">
            <v>NS</v>
          </cell>
          <cell r="P526" t="str">
            <v/>
          </cell>
          <cell r="Q526">
            <v>45893</v>
          </cell>
          <cell r="R526" t="str">
            <v/>
          </cell>
          <cell r="S526" t="str">
            <v/>
          </cell>
          <cell r="T526">
            <v>45860</v>
          </cell>
          <cell r="U526">
            <v>72176</v>
          </cell>
          <cell r="V526">
            <v>52356</v>
          </cell>
          <cell r="W526">
            <v>44893</v>
          </cell>
          <cell r="X526" t="str">
            <v>Lokasi Produksi 548B3 ( pecahan 548B )</v>
          </cell>
          <cell r="Z526">
            <v>8</v>
          </cell>
          <cell r="AA526">
            <v>45893</v>
          </cell>
          <cell r="AB526">
            <v>272.59733611111005</v>
          </cell>
          <cell r="AC526">
            <v>9.0865778703703359</v>
          </cell>
          <cell r="AD526">
            <v>-20</v>
          </cell>
          <cell r="AE526">
            <v>0</v>
          </cell>
          <cell r="AF526">
            <v>0</v>
          </cell>
          <cell r="AG526">
            <v>-1365.6</v>
          </cell>
          <cell r="AM526" t="str">
            <v>OK</v>
          </cell>
          <cell r="AO526">
            <v>11.511851774691362</v>
          </cell>
          <cell r="AP526">
            <v>3.5118517746913618</v>
          </cell>
          <cell r="AQ526">
            <v>45860</v>
          </cell>
          <cell r="AR526">
            <v>7.0333333333333332</v>
          </cell>
          <cell r="AS526">
            <v>4.4785184413580286</v>
          </cell>
          <cell r="AT526">
            <v>45893</v>
          </cell>
          <cell r="AU526">
            <v>4.4785184413580286</v>
          </cell>
          <cell r="AV526">
            <v>211</v>
          </cell>
          <cell r="AW526">
            <v>4.4785184413580286</v>
          </cell>
          <cell r="AY526">
            <v>350.46369178241002</v>
          </cell>
          <cell r="AZ526" t="str">
            <v>F18</v>
          </cell>
          <cell r="BA526">
            <v>5.19</v>
          </cell>
          <cell r="BB526" t="str">
            <v>NSSC</v>
          </cell>
          <cell r="BC526" t="str">
            <v>F18</v>
          </cell>
        </row>
        <row r="527">
          <cell r="A527" t="str">
            <v>548BS</v>
          </cell>
          <cell r="B527" t="str">
            <v>3</v>
          </cell>
          <cell r="C527" t="str">
            <v>06</v>
          </cell>
          <cell r="D527">
            <v>21</v>
          </cell>
          <cell r="E527" t="str">
            <v>548BS</v>
          </cell>
          <cell r="F527">
            <v>0.34</v>
          </cell>
          <cell r="G527">
            <v>0.34</v>
          </cell>
          <cell r="H527">
            <v>0.34</v>
          </cell>
          <cell r="I527" t="str">
            <v>BK</v>
          </cell>
          <cell r="J527" t="str">
            <v>FC</v>
          </cell>
          <cell r="K527">
            <v>0</v>
          </cell>
          <cell r="L527">
            <v>45957</v>
          </cell>
          <cell r="M527">
            <v>45957</v>
          </cell>
          <cell r="N527">
            <v>37</v>
          </cell>
          <cell r="O527" t="str">
            <v>SK</v>
          </cell>
          <cell r="P527" t="str">
            <v/>
          </cell>
          <cell r="Q527">
            <v>45957</v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>Lokasi Produksi 548BS ( Singkong )</v>
          </cell>
          <cell r="Z527">
            <v>0</v>
          </cell>
          <cell r="AA527">
            <v>45957</v>
          </cell>
          <cell r="AB527">
            <v>236.59733611111005</v>
          </cell>
          <cell r="AC527">
            <v>7.8865778703703349</v>
          </cell>
          <cell r="AD527">
            <v>-20</v>
          </cell>
          <cell r="AE527">
            <v>0</v>
          </cell>
          <cell r="AF527">
            <v>0</v>
          </cell>
          <cell r="AG527">
            <v>-1366.8</v>
          </cell>
          <cell r="AM527" t="str">
            <v>OK</v>
          </cell>
          <cell r="AO527">
            <v>1.245185108024695</v>
          </cell>
          <cell r="AP527">
            <v>1.245185108024695</v>
          </cell>
          <cell r="AQ527">
            <v>0</v>
          </cell>
          <cell r="AR527">
            <v>1.245185108024695</v>
          </cell>
          <cell r="AS527">
            <v>0</v>
          </cell>
          <cell r="AT527">
            <v>45957</v>
          </cell>
          <cell r="AU527">
            <v>1.245185108024695</v>
          </cell>
          <cell r="AV527">
            <v>37.355553240740846</v>
          </cell>
          <cell r="AW527">
            <v>1.245185108024695</v>
          </cell>
          <cell r="AY527">
            <v>42.463691782410024</v>
          </cell>
          <cell r="AZ527" t="str">
            <v>F18</v>
          </cell>
          <cell r="BA527">
            <v>0</v>
          </cell>
          <cell r="BB527" t="str">
            <v>SKBK</v>
          </cell>
          <cell r="BC527" t="str">
            <v>F18</v>
          </cell>
        </row>
        <row r="528">
          <cell r="A528" t="str">
            <v>548D</v>
          </cell>
          <cell r="B528" t="str">
            <v>3</v>
          </cell>
          <cell r="C528" t="str">
            <v>06</v>
          </cell>
          <cell r="D528">
            <v>21</v>
          </cell>
          <cell r="E528" t="str">
            <v>548D</v>
          </cell>
          <cell r="F528">
            <v>5.44</v>
          </cell>
          <cell r="G528">
            <v>4.49</v>
          </cell>
          <cell r="H528">
            <v>4.49</v>
          </cell>
          <cell r="I528" t="str">
            <v>FC</v>
          </cell>
          <cell r="J528" t="str">
            <v>ST</v>
          </cell>
          <cell r="K528">
            <v>14</v>
          </cell>
          <cell r="L528">
            <v>45940</v>
          </cell>
          <cell r="M528">
            <v>45940</v>
          </cell>
          <cell r="N528">
            <v>54</v>
          </cell>
          <cell r="O528" t="str">
            <v>NS</v>
          </cell>
          <cell r="P528" t="str">
            <v>NSF18CK3</v>
          </cell>
          <cell r="Q528">
            <v>46367</v>
          </cell>
          <cell r="R528" t="str">
            <v/>
          </cell>
          <cell r="S528" t="str">
            <v/>
          </cell>
          <cell r="T528" t="str">
            <v/>
          </cell>
          <cell r="U528">
            <v>74410</v>
          </cell>
          <cell r="V528">
            <v>51459</v>
          </cell>
          <cell r="W528">
            <v>43128</v>
          </cell>
          <cell r="X528" t="str">
            <v>Lokasi Produksi 548D</v>
          </cell>
          <cell r="Z528">
            <v>14</v>
          </cell>
          <cell r="AA528">
            <v>46367</v>
          </cell>
          <cell r="AB528">
            <v>64.597336111110053</v>
          </cell>
          <cell r="AC528">
            <v>2.1532445370370019</v>
          </cell>
          <cell r="AD528">
            <v>-5.8467554629629976</v>
          </cell>
          <cell r="AE528">
            <v>28.54</v>
          </cell>
          <cell r="AF528">
            <v>0</v>
          </cell>
          <cell r="AG528">
            <v>-1372.5333333333333</v>
          </cell>
          <cell r="AM528" t="str">
            <v>OK</v>
          </cell>
          <cell r="AO528">
            <v>1.8118517746913616</v>
          </cell>
          <cell r="AP528">
            <v>-12.188148225308638</v>
          </cell>
          <cell r="AQ528">
            <v>0</v>
          </cell>
          <cell r="AR528">
            <v>1.8118517746913616</v>
          </cell>
          <cell r="AS528">
            <v>0</v>
          </cell>
          <cell r="AT528">
            <v>46367</v>
          </cell>
          <cell r="AU528">
            <v>-12.188148225308638</v>
          </cell>
          <cell r="AV528">
            <v>54.355553240740846</v>
          </cell>
          <cell r="AW528">
            <v>-12.188148225308638</v>
          </cell>
          <cell r="AY528">
            <v>59.463691782410024</v>
          </cell>
          <cell r="AZ528" t="str">
            <v>F18</v>
          </cell>
          <cell r="BA528">
            <v>4.49</v>
          </cell>
          <cell r="BB528" t="str">
            <v>NSFC</v>
          </cell>
          <cell r="BC528" t="str">
            <v>F18CK</v>
          </cell>
        </row>
        <row r="529">
          <cell r="A529" t="str">
            <v>548E1</v>
          </cell>
          <cell r="B529" t="str">
            <v>3</v>
          </cell>
          <cell r="C529" t="str">
            <v>06</v>
          </cell>
          <cell r="D529">
            <v>21</v>
          </cell>
          <cell r="E529" t="str">
            <v>548E1</v>
          </cell>
          <cell r="F529">
            <v>7.37</v>
          </cell>
          <cell r="G529">
            <v>6.06</v>
          </cell>
          <cell r="H529">
            <v>6.06</v>
          </cell>
          <cell r="I529" t="str">
            <v>SC</v>
          </cell>
          <cell r="J529" t="str">
            <v>FC</v>
          </cell>
          <cell r="K529">
            <v>8</v>
          </cell>
          <cell r="L529">
            <v>45794</v>
          </cell>
          <cell r="M529">
            <v>45794</v>
          </cell>
          <cell r="N529">
            <v>200</v>
          </cell>
          <cell r="O529" t="str">
            <v>NS</v>
          </cell>
          <cell r="P529" t="str">
            <v/>
          </cell>
          <cell r="Q529">
            <v>46038</v>
          </cell>
          <cell r="R529" t="str">
            <v/>
          </cell>
          <cell r="S529" t="str">
            <v/>
          </cell>
          <cell r="T529" t="str">
            <v/>
          </cell>
          <cell r="U529">
            <v>69061</v>
          </cell>
          <cell r="V529">
            <v>70546</v>
          </cell>
          <cell r="W529">
            <v>44770</v>
          </cell>
          <cell r="X529" t="str">
            <v>Lokasi Produksi 548E1 ( pecahan 548E )</v>
          </cell>
          <cell r="Z529">
            <v>8</v>
          </cell>
          <cell r="AA529">
            <v>46038</v>
          </cell>
          <cell r="AB529">
            <v>356.59733611111005</v>
          </cell>
          <cell r="AC529">
            <v>11.886577870370335</v>
          </cell>
          <cell r="AD529">
            <v>3.8865778703703349</v>
          </cell>
          <cell r="AE529">
            <v>10.92</v>
          </cell>
          <cell r="AF529">
            <v>0</v>
          </cell>
          <cell r="AG529">
            <v>-1362.8</v>
          </cell>
          <cell r="AM529" t="str">
            <v>OK</v>
          </cell>
          <cell r="AO529">
            <v>6.6785184413580279</v>
          </cell>
          <cell r="AP529">
            <v>-1.3214815586419721</v>
          </cell>
          <cell r="AQ529">
            <v>0</v>
          </cell>
          <cell r="AR529">
            <v>6.6785184413580279</v>
          </cell>
          <cell r="AS529">
            <v>0</v>
          </cell>
          <cell r="AT529">
            <v>46038</v>
          </cell>
          <cell r="AU529">
            <v>-1.3214815586419721</v>
          </cell>
          <cell r="AV529">
            <v>200.35555324074085</v>
          </cell>
          <cell r="AW529">
            <v>-1.3214815586419721</v>
          </cell>
          <cell r="AY529">
            <v>205.46369178241002</v>
          </cell>
          <cell r="AZ529" t="str">
            <v>F18</v>
          </cell>
          <cell r="BA529">
            <v>6.06</v>
          </cell>
          <cell r="BB529" t="str">
            <v>NSSC</v>
          </cell>
          <cell r="BC529" t="str">
            <v>F18</v>
          </cell>
        </row>
        <row r="530">
          <cell r="A530" t="str">
            <v>548E2</v>
          </cell>
          <cell r="B530" t="str">
            <v>3</v>
          </cell>
          <cell r="C530" t="str">
            <v>06</v>
          </cell>
          <cell r="D530">
            <v>21</v>
          </cell>
          <cell r="E530" t="str">
            <v>548E2</v>
          </cell>
          <cell r="F530">
            <v>7.54</v>
          </cell>
          <cell r="G530">
            <v>6.16</v>
          </cell>
          <cell r="H530">
            <v>6.16</v>
          </cell>
          <cell r="I530" t="str">
            <v>SC</v>
          </cell>
          <cell r="J530" t="str">
            <v>FC</v>
          </cell>
          <cell r="K530">
            <v>8</v>
          </cell>
          <cell r="L530">
            <v>45796</v>
          </cell>
          <cell r="M530">
            <v>45796</v>
          </cell>
          <cell r="N530">
            <v>198</v>
          </cell>
          <cell r="O530" t="str">
            <v>NS</v>
          </cell>
          <cell r="P530" t="str">
            <v/>
          </cell>
          <cell r="Q530">
            <v>46040</v>
          </cell>
          <cell r="R530" t="str">
            <v/>
          </cell>
          <cell r="S530" t="str">
            <v/>
          </cell>
          <cell r="T530" t="str">
            <v/>
          </cell>
          <cell r="U530">
            <v>68935</v>
          </cell>
          <cell r="V530">
            <v>70478</v>
          </cell>
          <cell r="W530">
            <v>44770</v>
          </cell>
          <cell r="X530" t="str">
            <v>Lokasi Produksi 548E2 ( pecahan 548E )</v>
          </cell>
          <cell r="Z530">
            <v>8</v>
          </cell>
          <cell r="AA530">
            <v>46040</v>
          </cell>
          <cell r="AB530">
            <v>84.597336111110053</v>
          </cell>
          <cell r="AC530">
            <v>2.8199112037036684</v>
          </cell>
          <cell r="AD530">
            <v>-5.1800887962963316</v>
          </cell>
          <cell r="AE530">
            <v>16.260000000000002</v>
          </cell>
          <cell r="AF530">
            <v>0</v>
          </cell>
          <cell r="AG530">
            <v>-1371.8666666666666</v>
          </cell>
          <cell r="AM530" t="str">
            <v>OK</v>
          </cell>
          <cell r="AO530">
            <v>6.6118517746913614</v>
          </cell>
          <cell r="AP530">
            <v>-1.3881482253086386</v>
          </cell>
          <cell r="AQ530">
            <v>0</v>
          </cell>
          <cell r="AR530">
            <v>6.6118517746913614</v>
          </cell>
          <cell r="AS530">
            <v>0</v>
          </cell>
          <cell r="AT530">
            <v>46040</v>
          </cell>
          <cell r="AU530">
            <v>-1.3881482253086386</v>
          </cell>
          <cell r="AV530">
            <v>198.35555324074085</v>
          </cell>
          <cell r="AW530">
            <v>-1.3881482253086386</v>
          </cell>
          <cell r="AY530">
            <v>203.46369178241002</v>
          </cell>
          <cell r="AZ530" t="str">
            <v>F18</v>
          </cell>
          <cell r="BA530">
            <v>6.16</v>
          </cell>
          <cell r="BB530" t="str">
            <v>NSSC</v>
          </cell>
          <cell r="BC530" t="str">
            <v>F18</v>
          </cell>
        </row>
        <row r="531">
          <cell r="A531" t="str">
            <v>548ES</v>
          </cell>
          <cell r="B531" t="str">
            <v>3</v>
          </cell>
          <cell r="C531" t="str">
            <v>06</v>
          </cell>
          <cell r="D531">
            <v>21</v>
          </cell>
          <cell r="E531" t="str">
            <v>548ES</v>
          </cell>
          <cell r="F531">
            <v>0.39</v>
          </cell>
          <cell r="G531">
            <v>0.39</v>
          </cell>
          <cell r="H531">
            <v>0.39</v>
          </cell>
          <cell r="I531" t="str">
            <v>BK</v>
          </cell>
          <cell r="J531" t="str">
            <v>FC</v>
          </cell>
          <cell r="K531">
            <v>0</v>
          </cell>
          <cell r="L531">
            <v>45959</v>
          </cell>
          <cell r="M531">
            <v>45959</v>
          </cell>
          <cell r="N531">
            <v>35</v>
          </cell>
          <cell r="O531" t="str">
            <v>SK</v>
          </cell>
          <cell r="P531" t="str">
            <v/>
          </cell>
          <cell r="Q531">
            <v>45959</v>
          </cell>
          <cell r="R531" t="str">
            <v/>
          </cell>
          <cell r="S531" t="str">
            <v/>
          </cell>
          <cell r="T531" t="str">
            <v/>
          </cell>
          <cell r="U531">
            <v>25766</v>
          </cell>
          <cell r="V531" t="str">
            <v/>
          </cell>
          <cell r="W531">
            <v>43446</v>
          </cell>
          <cell r="X531" t="str">
            <v>Lokasi Produksi 548ES ( Singkong )</v>
          </cell>
          <cell r="Z531">
            <v>0</v>
          </cell>
          <cell r="AA531">
            <v>45959</v>
          </cell>
          <cell r="AB531">
            <v>108.59733611111005</v>
          </cell>
          <cell r="AC531">
            <v>3.6199112037036683</v>
          </cell>
          <cell r="AD531">
            <v>-4.3800887962963317</v>
          </cell>
          <cell r="AE531">
            <v>14.91</v>
          </cell>
          <cell r="AF531">
            <v>0</v>
          </cell>
          <cell r="AG531">
            <v>-1371.0666666666666</v>
          </cell>
          <cell r="AM531" t="str">
            <v>OK</v>
          </cell>
          <cell r="AO531">
            <v>1.1785184413580283</v>
          </cell>
          <cell r="AP531">
            <v>1.1785184413580283</v>
          </cell>
          <cell r="AQ531">
            <v>0</v>
          </cell>
          <cell r="AR531">
            <v>1.1785184413580283</v>
          </cell>
          <cell r="AS531">
            <v>0</v>
          </cell>
          <cell r="AT531">
            <v>45959</v>
          </cell>
          <cell r="AU531">
            <v>1.1785184413580283</v>
          </cell>
          <cell r="AV531">
            <v>35.355553240740846</v>
          </cell>
          <cell r="AW531">
            <v>1.1785184413580283</v>
          </cell>
          <cell r="AY531">
            <v>40.463691782410024</v>
          </cell>
          <cell r="AZ531" t="str">
            <v>F18</v>
          </cell>
          <cell r="BA531">
            <v>0</v>
          </cell>
          <cell r="BB531" t="str">
            <v>SKBK</v>
          </cell>
          <cell r="BC531" t="str">
            <v>F18</v>
          </cell>
        </row>
        <row r="532">
          <cell r="A532" t="str">
            <v>548F</v>
          </cell>
          <cell r="B532" t="str">
            <v>3</v>
          </cell>
          <cell r="C532" t="str">
            <v>06</v>
          </cell>
          <cell r="D532">
            <v>21</v>
          </cell>
          <cell r="E532" t="str">
            <v>548F</v>
          </cell>
          <cell r="F532">
            <v>10.58</v>
          </cell>
          <cell r="G532">
            <v>8.5299999999999994</v>
          </cell>
          <cell r="H532">
            <v>8.5299999999999994</v>
          </cell>
          <cell r="I532" t="str">
            <v>SC</v>
          </cell>
          <cell r="J532" t="str">
            <v>FC</v>
          </cell>
          <cell r="K532">
            <v>8</v>
          </cell>
          <cell r="L532">
            <v>45681</v>
          </cell>
          <cell r="M532">
            <v>45681</v>
          </cell>
          <cell r="N532">
            <v>313</v>
          </cell>
          <cell r="O532" t="str">
            <v>NS</v>
          </cell>
          <cell r="P532" t="str">
            <v/>
          </cell>
          <cell r="Q532">
            <v>45925</v>
          </cell>
          <cell r="R532" t="str">
            <v/>
          </cell>
          <cell r="S532" t="str">
            <v/>
          </cell>
          <cell r="T532">
            <v>45918</v>
          </cell>
          <cell r="U532">
            <v>69220</v>
          </cell>
          <cell r="V532">
            <v>52616</v>
          </cell>
          <cell r="W532">
            <v>44666</v>
          </cell>
          <cell r="X532" t="str">
            <v>Lokasi Produksi 548F</v>
          </cell>
          <cell r="Z532">
            <v>8</v>
          </cell>
          <cell r="AA532">
            <v>45925</v>
          </cell>
          <cell r="AB532">
            <v>4806.5973361111101</v>
          </cell>
          <cell r="AC532">
            <v>160.21991120370367</v>
          </cell>
          <cell r="AD532">
            <v>-20</v>
          </cell>
          <cell r="AE532">
            <v>0</v>
          </cell>
          <cell r="AF532">
            <v>0</v>
          </cell>
          <cell r="AG532">
            <v>-1214.4666666666667</v>
          </cell>
          <cell r="AM532" t="str">
            <v>OK</v>
          </cell>
          <cell r="AO532">
            <v>10.445185108024695</v>
          </cell>
          <cell r="AP532">
            <v>2.4451851080246954</v>
          </cell>
          <cell r="AQ532">
            <v>45918</v>
          </cell>
          <cell r="AR532">
            <v>7.9</v>
          </cell>
          <cell r="AS532">
            <v>2.545185108024695</v>
          </cell>
          <cell r="AT532">
            <v>45925</v>
          </cell>
          <cell r="AU532">
            <v>2.545185108024695</v>
          </cell>
          <cell r="AV532">
            <v>237</v>
          </cell>
          <cell r="AW532">
            <v>2.545185108024695</v>
          </cell>
          <cell r="AY532">
            <v>318.46369178241002</v>
          </cell>
          <cell r="AZ532" t="str">
            <v>F18</v>
          </cell>
          <cell r="BA532">
            <v>8.5299999999999994</v>
          </cell>
          <cell r="BB532" t="str">
            <v>NSSC</v>
          </cell>
          <cell r="BC532" t="str">
            <v>F18</v>
          </cell>
        </row>
        <row r="533">
          <cell r="A533" t="str">
            <v>548G1A</v>
          </cell>
          <cell r="B533" t="str">
            <v>3</v>
          </cell>
          <cell r="C533" t="str">
            <v>06</v>
          </cell>
          <cell r="D533">
            <v>20</v>
          </cell>
          <cell r="E533" t="str">
            <v>548G1A</v>
          </cell>
          <cell r="F533">
            <v>4.74</v>
          </cell>
          <cell r="G533">
            <v>4.09</v>
          </cell>
          <cell r="H533">
            <v>4.09</v>
          </cell>
          <cell r="I533" t="str">
            <v>FC</v>
          </cell>
          <cell r="J533" t="str">
            <v>ST</v>
          </cell>
          <cell r="K533">
            <v>12</v>
          </cell>
          <cell r="L533">
            <v>45586</v>
          </cell>
          <cell r="M533">
            <v>45586</v>
          </cell>
          <cell r="N533">
            <v>408</v>
          </cell>
          <cell r="O533" t="str">
            <v>NS</v>
          </cell>
          <cell r="P533" t="str">
            <v>NSGP3SS3</v>
          </cell>
          <cell r="Q533">
            <v>45952</v>
          </cell>
          <cell r="R533" t="str">
            <v/>
          </cell>
          <cell r="S533" t="str">
            <v/>
          </cell>
          <cell r="T533">
            <v>45925</v>
          </cell>
          <cell r="U533">
            <v>68580</v>
          </cell>
          <cell r="V533">
            <v>69351</v>
          </cell>
          <cell r="W533">
            <v>45677</v>
          </cell>
          <cell r="X533" t="str">
            <v>Lokasi Produksi 548G1A ( pecahan 548G1 )</v>
          </cell>
          <cell r="Z533">
            <v>12</v>
          </cell>
          <cell r="AA533">
            <v>45952</v>
          </cell>
          <cell r="AB533">
            <v>260.59733611111005</v>
          </cell>
          <cell r="AC533">
            <v>8.6865778703703356</v>
          </cell>
          <cell r="AD533">
            <v>-3.3134221296296644</v>
          </cell>
          <cell r="AE533">
            <v>15.75</v>
          </cell>
          <cell r="AF533">
            <v>0</v>
          </cell>
          <cell r="AG533">
            <v>-1366</v>
          </cell>
          <cell r="AM533" t="str">
            <v>OK</v>
          </cell>
          <cell r="AO533">
            <v>13.611851774691361</v>
          </cell>
          <cell r="AP533">
            <v>1.6118517746913614</v>
          </cell>
          <cell r="AQ533">
            <v>45925</v>
          </cell>
          <cell r="AR533">
            <v>11.3</v>
          </cell>
          <cell r="AS533">
            <v>2.3118517746913607</v>
          </cell>
          <cell r="AT533">
            <v>45952</v>
          </cell>
          <cell r="AU533">
            <v>2.3118517746913607</v>
          </cell>
          <cell r="AV533">
            <v>339</v>
          </cell>
          <cell r="AW533">
            <v>2.3118517746913607</v>
          </cell>
          <cell r="AY533">
            <v>413.46369178241002</v>
          </cell>
          <cell r="AZ533" t="str">
            <v>GP3</v>
          </cell>
          <cell r="BA533">
            <v>4.09</v>
          </cell>
          <cell r="BB533" t="str">
            <v>NSFC</v>
          </cell>
          <cell r="BC533" t="str">
            <v>GP3SS</v>
          </cell>
        </row>
        <row r="534">
          <cell r="A534" t="str">
            <v>548G1B</v>
          </cell>
          <cell r="B534" t="str">
            <v>3</v>
          </cell>
          <cell r="C534" t="str">
            <v>06</v>
          </cell>
          <cell r="D534">
            <v>20</v>
          </cell>
          <cell r="E534" t="str">
            <v>548G1B</v>
          </cell>
          <cell r="F534">
            <v>5.25</v>
          </cell>
          <cell r="G534">
            <v>4.46</v>
          </cell>
          <cell r="H534">
            <v>4.46</v>
          </cell>
          <cell r="I534" t="str">
            <v>FC</v>
          </cell>
          <cell r="J534" t="str">
            <v>ST</v>
          </cell>
          <cell r="K534">
            <v>12</v>
          </cell>
          <cell r="L534">
            <v>45588</v>
          </cell>
          <cell r="M534">
            <v>45588</v>
          </cell>
          <cell r="N534">
            <v>406</v>
          </cell>
          <cell r="O534" t="str">
            <v>NS</v>
          </cell>
          <cell r="P534" t="str">
            <v>NSGP3SS3</v>
          </cell>
          <cell r="Q534">
            <v>45954</v>
          </cell>
          <cell r="R534" t="str">
            <v/>
          </cell>
          <cell r="S534" t="str">
            <v/>
          </cell>
          <cell r="T534">
            <v>45941</v>
          </cell>
          <cell r="U534">
            <v>68958</v>
          </cell>
          <cell r="V534">
            <v>65556</v>
          </cell>
          <cell r="W534">
            <v>45311</v>
          </cell>
          <cell r="X534" t="str">
            <v>Lokasi Produksi 548G1B ( pecahan 548G1 )</v>
          </cell>
          <cell r="Z534">
            <v>12</v>
          </cell>
          <cell r="AA534">
            <v>45954</v>
          </cell>
          <cell r="AB534">
            <v>76.597336111110053</v>
          </cell>
          <cell r="AC534">
            <v>2.5532445370370018</v>
          </cell>
          <cell r="AD534">
            <v>-11.446755462962997</v>
          </cell>
          <cell r="AE534">
            <v>14.5</v>
          </cell>
          <cell r="AF534">
            <v>0</v>
          </cell>
          <cell r="AG534">
            <v>-1372.1333333333334</v>
          </cell>
          <cell r="AM534" t="str">
            <v>OK</v>
          </cell>
          <cell r="AO534">
            <v>13.545185108024695</v>
          </cell>
          <cell r="AP534">
            <v>1.545185108024695</v>
          </cell>
          <cell r="AQ534">
            <v>45941</v>
          </cell>
          <cell r="AR534">
            <v>11.766666666666667</v>
          </cell>
          <cell r="AS534">
            <v>1.7785184413580275</v>
          </cell>
          <cell r="AT534">
            <v>45954</v>
          </cell>
          <cell r="AU534">
            <v>1.7785184413580275</v>
          </cell>
          <cell r="AV534">
            <v>353</v>
          </cell>
          <cell r="AW534">
            <v>1.7785184413580275</v>
          </cell>
          <cell r="AY534">
            <v>411.46369178241002</v>
          </cell>
          <cell r="AZ534" t="str">
            <v>GP3</v>
          </cell>
          <cell r="BA534">
            <v>4.46</v>
          </cell>
          <cell r="BB534" t="str">
            <v>NSFC</v>
          </cell>
          <cell r="BC534" t="str">
            <v>GP3SS</v>
          </cell>
        </row>
        <row r="535">
          <cell r="A535" t="str">
            <v>548G2A</v>
          </cell>
          <cell r="B535" t="str">
            <v>3</v>
          </cell>
          <cell r="C535" t="str">
            <v>06</v>
          </cell>
          <cell r="D535">
            <v>20</v>
          </cell>
          <cell r="E535" t="str">
            <v>548G2A</v>
          </cell>
          <cell r="F535">
            <v>5.1100000000000003</v>
          </cell>
          <cell r="G535">
            <v>4.38</v>
          </cell>
          <cell r="H535">
            <v>4.38</v>
          </cell>
          <cell r="I535" t="str">
            <v>SC</v>
          </cell>
          <cell r="J535" t="str">
            <v>FC</v>
          </cell>
          <cell r="K535">
            <v>8</v>
          </cell>
          <cell r="L535">
            <v>45891</v>
          </cell>
          <cell r="M535">
            <v>45891</v>
          </cell>
          <cell r="N535">
            <v>103</v>
          </cell>
          <cell r="O535" t="str">
            <v>NS</v>
          </cell>
          <cell r="P535" t="str">
            <v/>
          </cell>
          <cell r="Q535">
            <v>46135</v>
          </cell>
          <cell r="R535" t="str">
            <v/>
          </cell>
          <cell r="S535" t="str">
            <v/>
          </cell>
          <cell r="T535" t="str">
            <v/>
          </cell>
          <cell r="U535">
            <v>67557</v>
          </cell>
          <cell r="V535">
            <v>71685</v>
          </cell>
          <cell r="W535">
            <v>45148</v>
          </cell>
          <cell r="X535" t="str">
            <v>Lokasi Produksi 548G2A (pecahan 548G2)</v>
          </cell>
          <cell r="Z535">
            <v>8</v>
          </cell>
          <cell r="AA535">
            <v>46135</v>
          </cell>
          <cell r="AB535">
            <v>241.59733611111005</v>
          </cell>
          <cell r="AC535">
            <v>8.0532445370370009</v>
          </cell>
          <cell r="AD535">
            <v>-20</v>
          </cell>
          <cell r="AE535">
            <v>0</v>
          </cell>
          <cell r="AF535">
            <v>0</v>
          </cell>
          <cell r="AG535">
            <v>-1366.6333333333334</v>
          </cell>
          <cell r="AM535" t="str">
            <v>OK</v>
          </cell>
          <cell r="AO535">
            <v>3.4451851080246949</v>
          </cell>
          <cell r="AP535">
            <v>-4.5548148919753046</v>
          </cell>
          <cell r="AQ535">
            <v>0</v>
          </cell>
          <cell r="AR535">
            <v>3.4451851080246949</v>
          </cell>
          <cell r="AS535">
            <v>0</v>
          </cell>
          <cell r="AT535">
            <v>46135</v>
          </cell>
          <cell r="AU535">
            <v>-4.5548148919753046</v>
          </cell>
          <cell r="AV535">
            <v>103.35555324074085</v>
          </cell>
          <cell r="AW535">
            <v>-4.5548148919753046</v>
          </cell>
          <cell r="AY535">
            <v>108.46369178241002</v>
          </cell>
          <cell r="AZ535" t="str">
            <v>F18</v>
          </cell>
          <cell r="BA535">
            <v>4.38</v>
          </cell>
          <cell r="BB535" t="str">
            <v>NSSC</v>
          </cell>
          <cell r="BC535" t="str">
            <v>F18</v>
          </cell>
        </row>
        <row r="536">
          <cell r="A536" t="str">
            <v>548G2B</v>
          </cell>
          <cell r="B536" t="str">
            <v>3</v>
          </cell>
          <cell r="C536" t="str">
            <v>06</v>
          </cell>
          <cell r="D536">
            <v>20</v>
          </cell>
          <cell r="E536" t="str">
            <v>548G2B</v>
          </cell>
          <cell r="F536">
            <v>5.86</v>
          </cell>
          <cell r="G536">
            <v>4.97</v>
          </cell>
          <cell r="H536">
            <v>4.97</v>
          </cell>
          <cell r="I536" t="str">
            <v>SC</v>
          </cell>
          <cell r="J536" t="str">
            <v>FC</v>
          </cell>
          <cell r="K536">
            <v>8</v>
          </cell>
          <cell r="L536">
            <v>45908</v>
          </cell>
          <cell r="M536">
            <v>45908</v>
          </cell>
          <cell r="N536">
            <v>86</v>
          </cell>
          <cell r="O536" t="str">
            <v>NS</v>
          </cell>
          <cell r="P536" t="str">
            <v/>
          </cell>
          <cell r="Q536">
            <v>46152</v>
          </cell>
          <cell r="R536" t="str">
            <v/>
          </cell>
          <cell r="S536" t="str">
            <v/>
          </cell>
          <cell r="T536" t="str">
            <v/>
          </cell>
          <cell r="U536">
            <v>68211</v>
          </cell>
          <cell r="V536">
            <v>68015</v>
          </cell>
          <cell r="W536">
            <v>45148</v>
          </cell>
          <cell r="X536" t="str">
            <v>Lokasi Produksi 548G2B (pecahan 548G2)</v>
          </cell>
          <cell r="Z536">
            <v>8</v>
          </cell>
          <cell r="AA536">
            <v>46152</v>
          </cell>
          <cell r="AB536">
            <v>189.59733611111005</v>
          </cell>
          <cell r="AC536">
            <v>6.3199112037036684</v>
          </cell>
          <cell r="AD536">
            <v>-1.6800887962963316</v>
          </cell>
          <cell r="AE536">
            <v>19.55</v>
          </cell>
          <cell r="AF536">
            <v>0</v>
          </cell>
          <cell r="AG536">
            <v>-1368.3666666666666</v>
          </cell>
          <cell r="AM536" t="str">
            <v>OK</v>
          </cell>
          <cell r="AO536">
            <v>2.878518441358028</v>
          </cell>
          <cell r="AP536">
            <v>-5.121481558641972</v>
          </cell>
          <cell r="AQ536">
            <v>0</v>
          </cell>
          <cell r="AR536">
            <v>2.878518441358028</v>
          </cell>
          <cell r="AS536">
            <v>0</v>
          </cell>
          <cell r="AT536">
            <v>46152</v>
          </cell>
          <cell r="AU536">
            <v>-5.121481558641972</v>
          </cell>
          <cell r="AV536">
            <v>86.355553240740846</v>
          </cell>
          <cell r="AW536">
            <v>-5.121481558641972</v>
          </cell>
          <cell r="AY536">
            <v>91.463691782410024</v>
          </cell>
          <cell r="AZ536" t="str">
            <v>F18</v>
          </cell>
          <cell r="BA536">
            <v>4.97</v>
          </cell>
          <cell r="BB536" t="str">
            <v>NSSC</v>
          </cell>
          <cell r="BC536" t="str">
            <v>F18</v>
          </cell>
        </row>
        <row r="537">
          <cell r="A537" t="str">
            <v>548G2C</v>
          </cell>
          <cell r="B537" t="str">
            <v>3</v>
          </cell>
          <cell r="C537" t="str">
            <v>06</v>
          </cell>
          <cell r="D537">
            <v>20</v>
          </cell>
          <cell r="E537" t="str">
            <v>548G2C</v>
          </cell>
          <cell r="F537">
            <v>7.32</v>
          </cell>
          <cell r="G537">
            <v>6.18</v>
          </cell>
          <cell r="H537">
            <v>6.18</v>
          </cell>
          <cell r="I537" t="str">
            <v>SC</v>
          </cell>
          <cell r="J537" t="str">
            <v>FC</v>
          </cell>
          <cell r="K537">
            <v>8</v>
          </cell>
          <cell r="L537">
            <v>45922</v>
          </cell>
          <cell r="M537">
            <v>45922</v>
          </cell>
          <cell r="N537">
            <v>72</v>
          </cell>
          <cell r="O537" t="str">
            <v>NS</v>
          </cell>
          <cell r="P537" t="str">
            <v/>
          </cell>
          <cell r="Q537">
            <v>46166</v>
          </cell>
          <cell r="R537" t="str">
            <v/>
          </cell>
          <cell r="S537" t="str">
            <v/>
          </cell>
          <cell r="T537" t="str">
            <v/>
          </cell>
          <cell r="U537">
            <v>69804</v>
          </cell>
          <cell r="V537">
            <v>69005</v>
          </cell>
          <cell r="W537">
            <v>45529</v>
          </cell>
          <cell r="X537" t="str">
            <v>Lokasi Produksi 548G2C (pecahan 548G2)</v>
          </cell>
          <cell r="Z537">
            <v>8</v>
          </cell>
          <cell r="AA537">
            <v>46166</v>
          </cell>
          <cell r="AB537">
            <v>153.59733611111005</v>
          </cell>
          <cell r="AC537">
            <v>5.1199112037036683</v>
          </cell>
          <cell r="AD537">
            <v>-20</v>
          </cell>
          <cell r="AE537">
            <v>0</v>
          </cell>
          <cell r="AF537">
            <v>0</v>
          </cell>
          <cell r="AG537">
            <v>-1369.5666666666666</v>
          </cell>
          <cell r="AM537" t="str">
            <v>OK</v>
          </cell>
          <cell r="AO537">
            <v>2.4118517746913617</v>
          </cell>
          <cell r="AP537">
            <v>-5.5881482253086379</v>
          </cell>
          <cell r="AQ537">
            <v>0</v>
          </cell>
          <cell r="AR537">
            <v>2.4118517746913617</v>
          </cell>
          <cell r="AS537">
            <v>0</v>
          </cell>
          <cell r="AT537">
            <v>46166</v>
          </cell>
          <cell r="AU537">
            <v>-5.5881482253086379</v>
          </cell>
          <cell r="AV537">
            <v>72.355553240740846</v>
          </cell>
          <cell r="AW537">
            <v>-5.5881482253086379</v>
          </cell>
          <cell r="AY537">
            <v>77.463691782410024</v>
          </cell>
          <cell r="AZ537" t="str">
            <v>F18</v>
          </cell>
          <cell r="BA537">
            <v>6.18</v>
          </cell>
          <cell r="BB537" t="str">
            <v>NSSC</v>
          </cell>
          <cell r="BC537" t="str">
            <v>F18</v>
          </cell>
        </row>
        <row r="538">
          <cell r="A538" t="str">
            <v>548H1</v>
          </cell>
          <cell r="B538" t="str">
            <v>3</v>
          </cell>
          <cell r="C538" t="str">
            <v>06</v>
          </cell>
          <cell r="D538">
            <v>20</v>
          </cell>
          <cell r="E538" t="str">
            <v>548H1</v>
          </cell>
          <cell r="F538">
            <v>10.5</v>
          </cell>
          <cell r="G538">
            <v>8.85</v>
          </cell>
          <cell r="H538">
            <v>8.85</v>
          </cell>
          <cell r="I538" t="str">
            <v>FC</v>
          </cell>
          <cell r="J538" t="str">
            <v>ST</v>
          </cell>
          <cell r="K538">
            <v>12</v>
          </cell>
          <cell r="L538">
            <v>45672</v>
          </cell>
          <cell r="M538">
            <v>45672</v>
          </cell>
          <cell r="N538">
            <v>322</v>
          </cell>
          <cell r="O538" t="str">
            <v>NS</v>
          </cell>
          <cell r="P538" t="str">
            <v>NSGP3SS3</v>
          </cell>
          <cell r="Q538">
            <v>46038</v>
          </cell>
          <cell r="R538" t="str">
            <v/>
          </cell>
          <cell r="S538" t="str">
            <v/>
          </cell>
          <cell r="T538" t="str">
            <v/>
          </cell>
          <cell r="U538">
            <v>71016</v>
          </cell>
          <cell r="V538">
            <v>71318</v>
          </cell>
          <cell r="W538">
            <v>44278</v>
          </cell>
          <cell r="X538" t="str">
            <v>Lokasi Produksi 548H1 ( pecahan 548H )</v>
          </cell>
          <cell r="Z538">
            <v>12</v>
          </cell>
          <cell r="AA538">
            <v>46038</v>
          </cell>
          <cell r="AB538">
            <v>76.597336111110053</v>
          </cell>
          <cell r="AC538">
            <v>2.5532445370370018</v>
          </cell>
          <cell r="AD538">
            <v>-11.446755462962997</v>
          </cell>
          <cell r="AE538">
            <v>10.09</v>
          </cell>
          <cell r="AF538">
            <v>0</v>
          </cell>
          <cell r="AG538">
            <v>-1372.1333333333334</v>
          </cell>
          <cell r="AM538" t="str">
            <v>OK</v>
          </cell>
          <cell r="AO538">
            <v>10.745185108024694</v>
          </cell>
          <cell r="AP538">
            <v>-1.2548148919753057</v>
          </cell>
          <cell r="AQ538">
            <v>0</v>
          </cell>
          <cell r="AR538">
            <v>10.745185108024694</v>
          </cell>
          <cell r="AS538">
            <v>0</v>
          </cell>
          <cell r="AT538">
            <v>46038</v>
          </cell>
          <cell r="AU538">
            <v>-1.2548148919753057</v>
          </cell>
          <cell r="AV538">
            <v>322.35555324074085</v>
          </cell>
          <cell r="AW538">
            <v>-1.2548148919753057</v>
          </cell>
          <cell r="AY538">
            <v>327.46369178241002</v>
          </cell>
          <cell r="AZ538" t="str">
            <v>GP3</v>
          </cell>
          <cell r="BA538">
            <v>8.85</v>
          </cell>
          <cell r="BB538" t="str">
            <v>NSFC</v>
          </cell>
          <cell r="BC538" t="str">
            <v>GP3SS</v>
          </cell>
        </row>
        <row r="539">
          <cell r="A539" t="str">
            <v>548H2</v>
          </cell>
          <cell r="B539" t="str">
            <v>3</v>
          </cell>
          <cell r="C539" t="str">
            <v>06</v>
          </cell>
          <cell r="D539">
            <v>20</v>
          </cell>
          <cell r="E539" t="str">
            <v>548H2</v>
          </cell>
          <cell r="F539">
            <v>15.86</v>
          </cell>
          <cell r="G539">
            <v>13.49</v>
          </cell>
          <cell r="H539">
            <v>13.49</v>
          </cell>
          <cell r="I539" t="str">
            <v>FC</v>
          </cell>
          <cell r="J539" t="str">
            <v>ST</v>
          </cell>
          <cell r="K539">
            <v>14</v>
          </cell>
          <cell r="L539">
            <v>45769</v>
          </cell>
          <cell r="M539">
            <v>45769</v>
          </cell>
          <cell r="N539">
            <v>225</v>
          </cell>
          <cell r="O539" t="str">
            <v>NS</v>
          </cell>
          <cell r="P539" t="str">
            <v>NSF18CK3</v>
          </cell>
          <cell r="Q539">
            <v>46196</v>
          </cell>
          <cell r="R539" t="str">
            <v/>
          </cell>
          <cell r="S539" t="str">
            <v/>
          </cell>
          <cell r="T539" t="str">
            <v/>
          </cell>
          <cell r="U539">
            <v>63537</v>
          </cell>
          <cell r="V539">
            <v>52544</v>
          </cell>
          <cell r="W539">
            <v>44305</v>
          </cell>
          <cell r="X539" t="str">
            <v>Lokasi Produksi 548H2 ( pecahan 548H )</v>
          </cell>
          <cell r="Z539">
            <v>14</v>
          </cell>
          <cell r="AA539">
            <v>46196</v>
          </cell>
          <cell r="AB539">
            <v>4714.5973361111101</v>
          </cell>
          <cell r="AC539">
            <v>157.15324453703701</v>
          </cell>
          <cell r="AD539">
            <v>-20</v>
          </cell>
          <cell r="AE539">
            <v>0</v>
          </cell>
          <cell r="AF539">
            <v>0</v>
          </cell>
          <cell r="AG539">
            <v>-1217.5333333333333</v>
          </cell>
          <cell r="AM539" t="str">
            <v>OK</v>
          </cell>
          <cell r="AO539">
            <v>7.5118517746913618</v>
          </cell>
          <cell r="AP539">
            <v>-6.4881482253086382</v>
          </cell>
          <cell r="AQ539">
            <v>0</v>
          </cell>
          <cell r="AR539">
            <v>7.5118517746913618</v>
          </cell>
          <cell r="AS539">
            <v>0</v>
          </cell>
          <cell r="AT539">
            <v>46196</v>
          </cell>
          <cell r="AU539">
            <v>-6.4881482253086382</v>
          </cell>
          <cell r="AV539">
            <v>225.35555324074085</v>
          </cell>
          <cell r="AW539">
            <v>-6.4881482253086382</v>
          </cell>
          <cell r="AY539">
            <v>230.46369178241002</v>
          </cell>
          <cell r="AZ539" t="str">
            <v>F18</v>
          </cell>
          <cell r="BA539">
            <v>13.49</v>
          </cell>
          <cell r="BB539" t="str">
            <v>NSFC</v>
          </cell>
          <cell r="BC539" t="str">
            <v>F18CK</v>
          </cell>
        </row>
        <row r="540">
          <cell r="A540" t="str">
            <v>548SS</v>
          </cell>
          <cell r="B540" t="str">
            <v>3</v>
          </cell>
          <cell r="C540" t="str">
            <v>06</v>
          </cell>
          <cell r="D540">
            <v>21</v>
          </cell>
          <cell r="E540" t="str">
            <v>548SS</v>
          </cell>
          <cell r="F540">
            <v>0.98</v>
          </cell>
          <cell r="G540">
            <v>0.98</v>
          </cell>
          <cell r="H540">
            <v>0.98</v>
          </cell>
          <cell r="I540" t="str">
            <v>BK</v>
          </cell>
          <cell r="J540" t="str">
            <v>FC</v>
          </cell>
          <cell r="K540">
            <v>0</v>
          </cell>
          <cell r="L540">
            <v>45957</v>
          </cell>
          <cell r="M540">
            <v>45957</v>
          </cell>
          <cell r="N540">
            <v>37</v>
          </cell>
          <cell r="O540" t="str">
            <v>SK</v>
          </cell>
          <cell r="P540" t="str">
            <v/>
          </cell>
          <cell r="Q540">
            <v>45957</v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>Lokasi Produksi 548SS ( singkong )</v>
          </cell>
          <cell r="Z540">
            <v>0</v>
          </cell>
          <cell r="AA540">
            <v>45957</v>
          </cell>
          <cell r="AB540">
            <v>389.59733611111005</v>
          </cell>
          <cell r="AC540">
            <v>12.986577870370335</v>
          </cell>
          <cell r="AD540">
            <v>-1.0134221296296655</v>
          </cell>
          <cell r="AE540">
            <v>7.53</v>
          </cell>
          <cell r="AF540">
            <v>0</v>
          </cell>
          <cell r="AG540">
            <v>-1361.7</v>
          </cell>
          <cell r="AM540" t="str">
            <v>OK</v>
          </cell>
          <cell r="AO540">
            <v>1.245185108024695</v>
          </cell>
          <cell r="AP540">
            <v>1.245185108024695</v>
          </cell>
          <cell r="AQ540">
            <v>0</v>
          </cell>
          <cell r="AR540">
            <v>1.245185108024695</v>
          </cell>
          <cell r="AS540">
            <v>0</v>
          </cell>
          <cell r="AT540">
            <v>45957</v>
          </cell>
          <cell r="AU540">
            <v>1.245185108024695</v>
          </cell>
          <cell r="AV540">
            <v>37.355553240740846</v>
          </cell>
          <cell r="AW540">
            <v>1.245185108024695</v>
          </cell>
          <cell r="AY540">
            <v>42.463691782410024</v>
          </cell>
          <cell r="AZ540" t="str">
            <v>F18</v>
          </cell>
          <cell r="BA540">
            <v>0</v>
          </cell>
          <cell r="BB540" t="str">
            <v>SKBK</v>
          </cell>
          <cell r="BC540" t="str">
            <v>F18</v>
          </cell>
        </row>
        <row r="541">
          <cell r="A541" t="str">
            <v>549A1</v>
          </cell>
          <cell r="B541" t="str">
            <v>3</v>
          </cell>
          <cell r="C541" t="str">
            <v>06</v>
          </cell>
          <cell r="D541">
            <v>21</v>
          </cell>
          <cell r="E541" t="str">
            <v>549A1</v>
          </cell>
          <cell r="F541">
            <v>14.58</v>
          </cell>
          <cell r="G541">
            <v>10.33</v>
          </cell>
          <cell r="H541">
            <v>10.33</v>
          </cell>
          <cell r="I541" t="str">
            <v>SR</v>
          </cell>
          <cell r="J541" t="str">
            <v>SC</v>
          </cell>
          <cell r="K541">
            <v>0</v>
          </cell>
          <cell r="L541">
            <v>45653</v>
          </cell>
          <cell r="M541">
            <v>45653</v>
          </cell>
          <cell r="N541">
            <v>341</v>
          </cell>
          <cell r="O541" t="str">
            <v>PS</v>
          </cell>
          <cell r="P541" t="str">
            <v/>
          </cell>
          <cell r="Q541">
            <v>45653</v>
          </cell>
          <cell r="R541" t="str">
            <v/>
          </cell>
          <cell r="S541" t="str">
            <v/>
          </cell>
          <cell r="T541" t="str">
            <v/>
          </cell>
          <cell r="U541">
            <v>25825</v>
          </cell>
          <cell r="V541">
            <v>30109</v>
          </cell>
          <cell r="W541">
            <v>45653</v>
          </cell>
          <cell r="X541" t="str">
            <v>Lokasi Produksi 549A1 ( pecahan 549A )</v>
          </cell>
          <cell r="Z541">
            <v>0</v>
          </cell>
          <cell r="AA541">
            <v>45653</v>
          </cell>
          <cell r="AB541">
            <v>22.597336111110053</v>
          </cell>
          <cell r="AC541">
            <v>0.75324453703700178</v>
          </cell>
          <cell r="AD541">
            <v>-7.246755462962998</v>
          </cell>
          <cell r="AE541">
            <v>9.76</v>
          </cell>
          <cell r="AF541">
            <v>0</v>
          </cell>
          <cell r="AG541">
            <v>-1373.9333333333334</v>
          </cell>
          <cell r="AK541">
            <v>40272</v>
          </cell>
          <cell r="AM541" t="str">
            <v>OK</v>
          </cell>
          <cell r="AO541">
            <v>11.378518441358029</v>
          </cell>
          <cell r="AP541">
            <v>11.378518441358029</v>
          </cell>
          <cell r="AQ541">
            <v>0</v>
          </cell>
          <cell r="AR541">
            <v>11.378518441358029</v>
          </cell>
          <cell r="AS541">
            <v>0</v>
          </cell>
          <cell r="AT541">
            <v>45653</v>
          </cell>
          <cell r="AU541">
            <v>11.378518441358029</v>
          </cell>
          <cell r="AV541">
            <v>341.35555324074085</v>
          </cell>
          <cell r="AW541">
            <v>11.378518441358029</v>
          </cell>
          <cell r="AY541">
            <v>346.46369178241002</v>
          </cell>
          <cell r="AZ541" t="str">
            <v>F18</v>
          </cell>
          <cell r="BA541">
            <v>0</v>
          </cell>
          <cell r="BB541" t="str">
            <v>PSSR</v>
          </cell>
          <cell r="BC541" t="str">
            <v>F18</v>
          </cell>
        </row>
        <row r="542">
          <cell r="A542" t="str">
            <v>549A2</v>
          </cell>
          <cell r="B542" t="str">
            <v>3</v>
          </cell>
          <cell r="C542" t="str">
            <v>06</v>
          </cell>
          <cell r="D542">
            <v>21</v>
          </cell>
          <cell r="E542" t="str">
            <v>549A2</v>
          </cell>
          <cell r="F542">
            <v>13.17</v>
          </cell>
          <cell r="G542">
            <v>10.88</v>
          </cell>
          <cell r="H542">
            <v>10.88</v>
          </cell>
          <cell r="I542" t="str">
            <v>FC</v>
          </cell>
          <cell r="J542" t="str">
            <v>ST</v>
          </cell>
          <cell r="K542">
            <v>14</v>
          </cell>
          <cell r="L542">
            <v>45468</v>
          </cell>
          <cell r="M542">
            <v>45468</v>
          </cell>
          <cell r="N542">
            <v>526</v>
          </cell>
          <cell r="O542" t="str">
            <v>NS</v>
          </cell>
          <cell r="P542" t="str">
            <v>NSF18CK3</v>
          </cell>
          <cell r="Q542">
            <v>45895</v>
          </cell>
          <cell r="R542" t="str">
            <v/>
          </cell>
          <cell r="S542" t="str">
            <v/>
          </cell>
          <cell r="T542">
            <v>45846</v>
          </cell>
          <cell r="U542">
            <v>58567</v>
          </cell>
          <cell r="V542">
            <v>69492</v>
          </cell>
          <cell r="W542">
            <v>43102</v>
          </cell>
          <cell r="X542" t="str">
            <v>Lokasi Produksi 549A2 ( pecahan 549A )</v>
          </cell>
          <cell r="Z542">
            <v>14</v>
          </cell>
          <cell r="AA542">
            <v>45895</v>
          </cell>
          <cell r="AB542">
            <v>363.59733611111005</v>
          </cell>
          <cell r="AC542">
            <v>12.119911203703669</v>
          </cell>
          <cell r="AD542">
            <v>0.11991120370366914</v>
          </cell>
          <cell r="AE542">
            <v>7.7</v>
          </cell>
          <cell r="AF542">
            <v>0</v>
          </cell>
          <cell r="AG542">
            <v>-1362.5666666666666</v>
          </cell>
          <cell r="AM542" t="str">
            <v>OK</v>
          </cell>
          <cell r="AO542">
            <v>17.545185108024693</v>
          </cell>
          <cell r="AP542">
            <v>3.5451851080246932</v>
          </cell>
          <cell r="AQ542">
            <v>45846</v>
          </cell>
          <cell r="AR542">
            <v>12.6</v>
          </cell>
          <cell r="AS542">
            <v>4.9451851080246936</v>
          </cell>
          <cell r="AT542">
            <v>45895</v>
          </cell>
          <cell r="AU542">
            <v>4.9451851080246936</v>
          </cell>
          <cell r="AV542">
            <v>378</v>
          </cell>
          <cell r="AW542">
            <v>4.9451851080246936</v>
          </cell>
          <cell r="AY542">
            <v>531.46369178241002</v>
          </cell>
          <cell r="AZ542" t="str">
            <v>F18</v>
          </cell>
          <cell r="BA542">
            <v>10.88</v>
          </cell>
          <cell r="BB542" t="str">
            <v>NSFC</v>
          </cell>
          <cell r="BC542" t="str">
            <v>F18CK</v>
          </cell>
        </row>
        <row r="543">
          <cell r="A543" t="str">
            <v>549AS</v>
          </cell>
          <cell r="B543" t="str">
            <v>3</v>
          </cell>
          <cell r="C543" t="str">
            <v>06</v>
          </cell>
          <cell r="D543">
            <v>21</v>
          </cell>
          <cell r="E543" t="str">
            <v>549AS</v>
          </cell>
          <cell r="F543">
            <v>0.13</v>
          </cell>
          <cell r="G543">
            <v>0.13</v>
          </cell>
          <cell r="H543">
            <v>0.13</v>
          </cell>
          <cell r="I543" t="str">
            <v>FC</v>
          </cell>
          <cell r="J543" t="str">
            <v>ST</v>
          </cell>
          <cell r="K543">
            <v>0</v>
          </cell>
          <cell r="L543">
            <v>45877</v>
          </cell>
          <cell r="M543">
            <v>45877</v>
          </cell>
          <cell r="N543">
            <v>117</v>
          </cell>
          <cell r="O543" t="str">
            <v>SK</v>
          </cell>
          <cell r="P543" t="str">
            <v/>
          </cell>
          <cell r="Q543">
            <v>45877</v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>Lokasi Produksi 549AS ( singkong )</v>
          </cell>
          <cell r="Z543">
            <v>0</v>
          </cell>
          <cell r="AA543">
            <v>45877</v>
          </cell>
          <cell r="AB543">
            <v>363.59733611111005</v>
          </cell>
          <cell r="AC543">
            <v>12.119911203703669</v>
          </cell>
          <cell r="AD543">
            <v>0.11991120370366914</v>
          </cell>
          <cell r="AE543">
            <v>8.23</v>
          </cell>
          <cell r="AF543">
            <v>0</v>
          </cell>
          <cell r="AG543">
            <v>-1362.5666666666666</v>
          </cell>
          <cell r="AM543" t="str">
            <v>OK</v>
          </cell>
          <cell r="AO543">
            <v>3.9118517746913617</v>
          </cell>
          <cell r="AP543">
            <v>3.9118517746913617</v>
          </cell>
          <cell r="AQ543">
            <v>0</v>
          </cell>
          <cell r="AR543">
            <v>3.9118517746913617</v>
          </cell>
          <cell r="AS543">
            <v>0</v>
          </cell>
          <cell r="AT543">
            <v>45877</v>
          </cell>
          <cell r="AU543">
            <v>3.9118517746913617</v>
          </cell>
          <cell r="AV543">
            <v>117.35555324074085</v>
          </cell>
          <cell r="AW543">
            <v>3.9118517746913617</v>
          </cell>
          <cell r="AY543">
            <v>122.46369178241002</v>
          </cell>
          <cell r="AZ543" t="str">
            <v>F18</v>
          </cell>
          <cell r="BA543">
            <v>0</v>
          </cell>
          <cell r="BB543" t="str">
            <v>SKFC</v>
          </cell>
          <cell r="BC543" t="str">
            <v>F18</v>
          </cell>
        </row>
        <row r="544">
          <cell r="A544" t="str">
            <v>549B1A</v>
          </cell>
          <cell r="B544" t="str">
            <v>3</v>
          </cell>
          <cell r="C544" t="str">
            <v>06</v>
          </cell>
          <cell r="D544">
            <v>21</v>
          </cell>
          <cell r="E544" t="str">
            <v>549B1A</v>
          </cell>
          <cell r="F544">
            <v>6.77</v>
          </cell>
          <cell r="G544">
            <v>5.74</v>
          </cell>
          <cell r="H544">
            <v>5.74</v>
          </cell>
          <cell r="I544" t="str">
            <v>FC</v>
          </cell>
          <cell r="J544" t="str">
            <v>ST</v>
          </cell>
          <cell r="K544">
            <v>14</v>
          </cell>
          <cell r="L544">
            <v>45926</v>
          </cell>
          <cell r="M544">
            <v>45926</v>
          </cell>
          <cell r="N544">
            <v>68</v>
          </cell>
          <cell r="O544" t="str">
            <v>NS</v>
          </cell>
          <cell r="P544" t="str">
            <v>NSF18CK3</v>
          </cell>
          <cell r="Q544">
            <v>46353</v>
          </cell>
          <cell r="R544" t="str">
            <v/>
          </cell>
          <cell r="S544" t="str">
            <v/>
          </cell>
          <cell r="T544" t="str">
            <v/>
          </cell>
          <cell r="U544">
            <v>66841</v>
          </cell>
          <cell r="V544">
            <v>14002</v>
          </cell>
          <cell r="W544">
            <v>46020</v>
          </cell>
          <cell r="X544" t="str">
            <v>Lokasi Produksi 549B1A ( pecahan 549B1 )</v>
          </cell>
          <cell r="Z544">
            <v>14</v>
          </cell>
          <cell r="AA544">
            <v>46353</v>
          </cell>
          <cell r="AB544">
            <v>243.59733611111005</v>
          </cell>
          <cell r="AC544">
            <v>8.1199112037036691</v>
          </cell>
          <cell r="AD544">
            <v>-7.8800887962963309</v>
          </cell>
          <cell r="AE544">
            <v>19.53</v>
          </cell>
          <cell r="AF544">
            <v>0</v>
          </cell>
          <cell r="AG544">
            <v>-1366.5666666666666</v>
          </cell>
          <cell r="AM544" t="str">
            <v>OK</v>
          </cell>
          <cell r="AO544">
            <v>2.2785184413580284</v>
          </cell>
          <cell r="AP544">
            <v>-11.721481558641972</v>
          </cell>
          <cell r="AQ544">
            <v>0</v>
          </cell>
          <cell r="AR544">
            <v>2.2785184413580284</v>
          </cell>
          <cell r="AS544">
            <v>0</v>
          </cell>
          <cell r="AT544">
            <v>46353</v>
          </cell>
          <cell r="AU544">
            <v>-11.721481558641972</v>
          </cell>
          <cell r="AV544">
            <v>68.355553240740846</v>
          </cell>
          <cell r="AW544">
            <v>-11.721481558641972</v>
          </cell>
          <cell r="AY544">
            <v>73.463691782410024</v>
          </cell>
          <cell r="AZ544" t="str">
            <v>F18</v>
          </cell>
          <cell r="BA544">
            <v>5.74</v>
          </cell>
          <cell r="BB544" t="str">
            <v>NSFC</v>
          </cell>
          <cell r="BC544" t="str">
            <v>F18CK</v>
          </cell>
        </row>
        <row r="545">
          <cell r="A545" t="str">
            <v>549B1B</v>
          </cell>
          <cell r="B545" t="str">
            <v>3</v>
          </cell>
          <cell r="C545" t="str">
            <v>06</v>
          </cell>
          <cell r="D545">
            <v>21</v>
          </cell>
          <cell r="E545" t="str">
            <v>549B1B</v>
          </cell>
          <cell r="F545">
            <v>5.48</v>
          </cell>
          <cell r="G545">
            <v>4.1900000000000004</v>
          </cell>
          <cell r="H545">
            <v>4.1900000000000004</v>
          </cell>
          <cell r="I545" t="str">
            <v>BK</v>
          </cell>
          <cell r="J545" t="str">
            <v>SR</v>
          </cell>
          <cell r="K545">
            <v>0</v>
          </cell>
          <cell r="L545">
            <v>45989</v>
          </cell>
          <cell r="M545">
            <v>45989</v>
          </cell>
          <cell r="N545">
            <v>5</v>
          </cell>
          <cell r="O545" t="str">
            <v>PS</v>
          </cell>
          <cell r="P545" t="str">
            <v/>
          </cell>
          <cell r="Q545">
            <v>45989</v>
          </cell>
          <cell r="R545" t="str">
            <v/>
          </cell>
          <cell r="S545" t="str">
            <v/>
          </cell>
          <cell r="T545" t="str">
            <v/>
          </cell>
          <cell r="U545">
            <v>10781</v>
          </cell>
          <cell r="V545">
            <v>12331</v>
          </cell>
          <cell r="W545">
            <v>46385</v>
          </cell>
          <cell r="X545" t="str">
            <v>Lokasi Produksi 549B1B ( pecahan 549B1 )</v>
          </cell>
          <cell r="Z545">
            <v>0</v>
          </cell>
          <cell r="AA545">
            <v>45989</v>
          </cell>
          <cell r="AB545">
            <v>85.597336111110053</v>
          </cell>
          <cell r="AC545">
            <v>2.8532445370370016</v>
          </cell>
          <cell r="AD545">
            <v>-11.146755462962998</v>
          </cell>
          <cell r="AE545">
            <v>10.42</v>
          </cell>
          <cell r="AF545">
            <v>0</v>
          </cell>
          <cell r="AG545">
            <v>-1371.8333333333333</v>
          </cell>
          <cell r="AM545" t="str">
            <v>OK</v>
          </cell>
          <cell r="AO545">
            <v>0.17851844135802822</v>
          </cell>
          <cell r="AP545">
            <v>0.17851844135802822</v>
          </cell>
          <cell r="AQ545">
            <v>0</v>
          </cell>
          <cell r="AR545">
            <v>0.17851844135802822</v>
          </cell>
          <cell r="AS545">
            <v>0</v>
          </cell>
          <cell r="AT545">
            <v>45989</v>
          </cell>
          <cell r="AU545">
            <v>0.17851844135802822</v>
          </cell>
          <cell r="AV545">
            <v>5.3555532407408464</v>
          </cell>
          <cell r="AW545">
            <v>0.17851844135802822</v>
          </cell>
          <cell r="AY545">
            <v>10.463691782410024</v>
          </cell>
          <cell r="AZ545" t="str">
            <v>F18</v>
          </cell>
          <cell r="BA545">
            <v>0</v>
          </cell>
          <cell r="BB545" t="str">
            <v>PSBK</v>
          </cell>
          <cell r="BC545" t="str">
            <v>F18</v>
          </cell>
        </row>
        <row r="546">
          <cell r="A546" t="str">
            <v>549B2A</v>
          </cell>
          <cell r="B546" t="str">
            <v>3</v>
          </cell>
          <cell r="C546" t="str">
            <v>06</v>
          </cell>
          <cell r="D546">
            <v>21</v>
          </cell>
          <cell r="E546" t="str">
            <v>549B2A</v>
          </cell>
          <cell r="F546">
            <v>5.59</v>
          </cell>
          <cell r="G546">
            <v>4.84</v>
          </cell>
          <cell r="H546">
            <v>4.84</v>
          </cell>
          <cell r="I546" t="str">
            <v>FC</v>
          </cell>
          <cell r="J546" t="str">
            <v>ST</v>
          </cell>
          <cell r="K546">
            <v>12</v>
          </cell>
          <cell r="L546">
            <v>45930</v>
          </cell>
          <cell r="M546">
            <v>45930</v>
          </cell>
          <cell r="N546">
            <v>64</v>
          </cell>
          <cell r="O546" t="str">
            <v>NS</v>
          </cell>
          <cell r="P546" t="str">
            <v>NSGP3SS3</v>
          </cell>
          <cell r="Q546">
            <v>46296</v>
          </cell>
          <cell r="R546" t="str">
            <v/>
          </cell>
          <cell r="S546" t="str">
            <v/>
          </cell>
          <cell r="T546" t="str">
            <v/>
          </cell>
          <cell r="U546">
            <v>70722</v>
          </cell>
          <cell r="V546">
            <v>12605</v>
          </cell>
          <cell r="W546">
            <v>46020</v>
          </cell>
          <cell r="X546" t="str">
            <v>Lokasi Produksi 549B2A ( pecahan 549B2 )</v>
          </cell>
          <cell r="Z546">
            <v>12</v>
          </cell>
          <cell r="AA546">
            <v>46296</v>
          </cell>
          <cell r="AB546">
            <v>367.59733611111005</v>
          </cell>
          <cell r="AC546">
            <v>12.253244537037002</v>
          </cell>
          <cell r="AD546">
            <v>4.253244537037002</v>
          </cell>
          <cell r="AE546">
            <v>18.52</v>
          </cell>
          <cell r="AF546">
            <v>0</v>
          </cell>
          <cell r="AG546">
            <v>-1362.4333333333334</v>
          </cell>
          <cell r="AM546" t="str">
            <v>OK</v>
          </cell>
          <cell r="AO546">
            <v>2.1451851080246951</v>
          </cell>
          <cell r="AP546">
            <v>-9.8548148919753054</v>
          </cell>
          <cell r="AQ546">
            <v>0</v>
          </cell>
          <cell r="AR546">
            <v>2.1451851080246951</v>
          </cell>
          <cell r="AS546">
            <v>0</v>
          </cell>
          <cell r="AT546">
            <v>46296</v>
          </cell>
          <cell r="AU546">
            <v>-9.8548148919753054</v>
          </cell>
          <cell r="AV546">
            <v>64.355553240740846</v>
          </cell>
          <cell r="AW546">
            <v>-9.8548148919753054</v>
          </cell>
          <cell r="AY546">
            <v>69.463691782410024</v>
          </cell>
          <cell r="AZ546" t="str">
            <v>GP3</v>
          </cell>
          <cell r="BA546">
            <v>4.84</v>
          </cell>
          <cell r="BB546" t="str">
            <v>NSFC</v>
          </cell>
          <cell r="BC546" t="str">
            <v>GP3SS</v>
          </cell>
        </row>
        <row r="547">
          <cell r="A547" t="str">
            <v>549B2B</v>
          </cell>
          <cell r="B547" t="str">
            <v>3</v>
          </cell>
          <cell r="C547" t="str">
            <v>06</v>
          </cell>
          <cell r="D547">
            <v>21</v>
          </cell>
          <cell r="E547" t="str">
            <v>549B2B</v>
          </cell>
          <cell r="F547">
            <v>6.24</v>
          </cell>
          <cell r="G547">
            <v>5.29</v>
          </cell>
          <cell r="H547">
            <v>5.29</v>
          </cell>
          <cell r="I547" t="str">
            <v>FC</v>
          </cell>
          <cell r="J547" t="str">
            <v>ST</v>
          </cell>
          <cell r="K547">
            <v>12</v>
          </cell>
          <cell r="L547">
            <v>45930</v>
          </cell>
          <cell r="M547">
            <v>45930</v>
          </cell>
          <cell r="N547">
            <v>64</v>
          </cell>
          <cell r="O547" t="str">
            <v>NS</v>
          </cell>
          <cell r="P547" t="str">
            <v>NSGP3SS3</v>
          </cell>
          <cell r="Q547">
            <v>46296</v>
          </cell>
          <cell r="R547" t="str">
            <v/>
          </cell>
          <cell r="S547" t="str">
            <v/>
          </cell>
          <cell r="T547" t="str">
            <v/>
          </cell>
          <cell r="U547">
            <v>71540</v>
          </cell>
          <cell r="V547" t="str">
            <v/>
          </cell>
          <cell r="W547">
            <v>45450</v>
          </cell>
          <cell r="X547" t="str">
            <v>Lokasi Produksi 549B2B ( pecahan 549B2 )</v>
          </cell>
          <cell r="Z547">
            <v>12</v>
          </cell>
          <cell r="AA547">
            <v>46296</v>
          </cell>
          <cell r="AB547">
            <v>4734.5973361111101</v>
          </cell>
          <cell r="AC547">
            <v>157.81991120370367</v>
          </cell>
          <cell r="AD547">
            <v>-20</v>
          </cell>
          <cell r="AE547">
            <v>0</v>
          </cell>
          <cell r="AF547">
            <v>0</v>
          </cell>
          <cell r="AG547">
            <v>-1216.8666666666666</v>
          </cell>
          <cell r="AK547">
            <v>40328</v>
          </cell>
          <cell r="AM547" t="str">
            <v>OK</v>
          </cell>
          <cell r="AO547">
            <v>2.1451851080246951</v>
          </cell>
          <cell r="AP547">
            <v>-9.8548148919753054</v>
          </cell>
          <cell r="AQ547">
            <v>0</v>
          </cell>
          <cell r="AR547">
            <v>2.1451851080246951</v>
          </cell>
          <cell r="AS547">
            <v>0</v>
          </cell>
          <cell r="AT547">
            <v>46296</v>
          </cell>
          <cell r="AU547">
            <v>-9.8548148919753054</v>
          </cell>
          <cell r="AV547">
            <v>64.355553240740846</v>
          </cell>
          <cell r="AW547">
            <v>-9.8548148919753054</v>
          </cell>
          <cell r="AY547">
            <v>69.463691782410024</v>
          </cell>
          <cell r="AZ547" t="str">
            <v>GP3</v>
          </cell>
          <cell r="BA547">
            <v>5.29</v>
          </cell>
          <cell r="BB547" t="str">
            <v>NSFC</v>
          </cell>
          <cell r="BC547" t="str">
            <v>GP3SS</v>
          </cell>
        </row>
        <row r="548">
          <cell r="A548" t="str">
            <v>549B2C</v>
          </cell>
          <cell r="B548" t="str">
            <v>3</v>
          </cell>
          <cell r="C548" t="str">
            <v>06</v>
          </cell>
          <cell r="D548">
            <v>21</v>
          </cell>
          <cell r="E548" t="str">
            <v>549B2C</v>
          </cell>
          <cell r="F548">
            <v>3.82</v>
          </cell>
          <cell r="G548">
            <v>2.93</v>
          </cell>
          <cell r="H548">
            <v>2.93</v>
          </cell>
          <cell r="I548" t="str">
            <v>BK</v>
          </cell>
          <cell r="J548" t="str">
            <v>SR</v>
          </cell>
          <cell r="K548">
            <v>0</v>
          </cell>
          <cell r="L548">
            <v>45989</v>
          </cell>
          <cell r="M548">
            <v>45989</v>
          </cell>
          <cell r="N548">
            <v>5</v>
          </cell>
          <cell r="O548" t="str">
            <v>PS</v>
          </cell>
          <cell r="P548" t="str">
            <v/>
          </cell>
          <cell r="Q548">
            <v>45989</v>
          </cell>
          <cell r="R548" t="str">
            <v/>
          </cell>
          <cell r="S548" t="str">
            <v/>
          </cell>
          <cell r="T548" t="str">
            <v/>
          </cell>
          <cell r="U548">
            <v>7650</v>
          </cell>
          <cell r="V548">
            <v>8708</v>
          </cell>
          <cell r="W548">
            <v>46020</v>
          </cell>
          <cell r="X548" t="str">
            <v>Lokasi Produksi 549B2C ( pecahan 549B2 )</v>
          </cell>
          <cell r="Z548">
            <v>0</v>
          </cell>
          <cell r="AA548">
            <v>45989</v>
          </cell>
          <cell r="AB548">
            <v>175.59733611111005</v>
          </cell>
          <cell r="AC548">
            <v>5.8532445370370016</v>
          </cell>
          <cell r="AD548">
            <v>-6.1467554629629984</v>
          </cell>
          <cell r="AE548">
            <v>13.55</v>
          </cell>
          <cell r="AF548">
            <v>0</v>
          </cell>
          <cell r="AG548">
            <v>-1368.8333333333333</v>
          </cell>
          <cell r="AM548" t="str">
            <v>OK</v>
          </cell>
          <cell r="AO548">
            <v>0.17851844135802822</v>
          </cell>
          <cell r="AP548">
            <v>0.17851844135802822</v>
          </cell>
          <cell r="AQ548">
            <v>0</v>
          </cell>
          <cell r="AR548">
            <v>0.17851844135802822</v>
          </cell>
          <cell r="AS548">
            <v>0</v>
          </cell>
          <cell r="AT548">
            <v>45989</v>
          </cell>
          <cell r="AU548">
            <v>0.17851844135802822</v>
          </cell>
          <cell r="AV548">
            <v>5.3555532407408464</v>
          </cell>
          <cell r="AW548">
            <v>0.17851844135802822</v>
          </cell>
          <cell r="AY548">
            <v>10.463691782410024</v>
          </cell>
          <cell r="AZ548" t="str">
            <v>F18</v>
          </cell>
          <cell r="BA548">
            <v>0</v>
          </cell>
          <cell r="BB548" t="str">
            <v>PSBK</v>
          </cell>
          <cell r="BC548" t="str">
            <v>F18</v>
          </cell>
        </row>
        <row r="549">
          <cell r="A549" t="str">
            <v>549B3</v>
          </cell>
          <cell r="B549" t="str">
            <v>3</v>
          </cell>
          <cell r="C549" t="str">
            <v>06</v>
          </cell>
          <cell r="D549">
            <v>21</v>
          </cell>
          <cell r="E549" t="str">
            <v>549B3</v>
          </cell>
          <cell r="F549">
            <v>6.29</v>
          </cell>
          <cell r="G549">
            <v>5.31</v>
          </cell>
          <cell r="H549">
            <v>5.31</v>
          </cell>
          <cell r="I549" t="str">
            <v>FC</v>
          </cell>
          <cell r="J549" t="str">
            <v>ST</v>
          </cell>
          <cell r="K549">
            <v>14</v>
          </cell>
          <cell r="L549">
            <v>45917</v>
          </cell>
          <cell r="M549">
            <v>45917</v>
          </cell>
          <cell r="N549">
            <v>77</v>
          </cell>
          <cell r="O549" t="str">
            <v>NS</v>
          </cell>
          <cell r="P549" t="str">
            <v>NSF18CK3</v>
          </cell>
          <cell r="Q549">
            <v>46344</v>
          </cell>
          <cell r="R549" t="str">
            <v/>
          </cell>
          <cell r="S549" t="str">
            <v/>
          </cell>
          <cell r="T549" t="str">
            <v/>
          </cell>
          <cell r="U549">
            <v>68640</v>
          </cell>
          <cell r="V549">
            <v>52662</v>
          </cell>
          <cell r="W549" t="str">
            <v/>
          </cell>
          <cell r="X549" t="str">
            <v>Lokasi Produksi 549B3 ( pecahan 549B )</v>
          </cell>
          <cell r="Z549">
            <v>14</v>
          </cell>
          <cell r="AA549">
            <v>46344</v>
          </cell>
          <cell r="AB549">
            <v>196.59733611111005</v>
          </cell>
          <cell r="AC549">
            <v>6.5532445370370018</v>
          </cell>
          <cell r="AD549">
            <v>-7.4467554629629982</v>
          </cell>
          <cell r="AE549">
            <v>16.100000000000001</v>
          </cell>
          <cell r="AF549">
            <v>0</v>
          </cell>
          <cell r="AG549">
            <v>-1368.1333333333334</v>
          </cell>
          <cell r="AM549" t="str">
            <v>OK</v>
          </cell>
          <cell r="AO549">
            <v>2.5785184413580282</v>
          </cell>
          <cell r="AP549">
            <v>-11.421481558641972</v>
          </cell>
          <cell r="AQ549">
            <v>0</v>
          </cell>
          <cell r="AR549">
            <v>2.5785184413580282</v>
          </cell>
          <cell r="AS549">
            <v>0</v>
          </cell>
          <cell r="AT549">
            <v>46344</v>
          </cell>
          <cell r="AU549">
            <v>-11.421481558641972</v>
          </cell>
          <cell r="AV549">
            <v>77.355553240740846</v>
          </cell>
          <cell r="AW549">
            <v>-11.421481558641972</v>
          </cell>
          <cell r="AY549">
            <v>82.463691782410024</v>
          </cell>
          <cell r="AZ549" t="str">
            <v>F18</v>
          </cell>
          <cell r="BA549">
            <v>5.31</v>
          </cell>
          <cell r="BB549" t="str">
            <v>NSFC</v>
          </cell>
          <cell r="BC549" t="str">
            <v>F18CK</v>
          </cell>
        </row>
        <row r="550">
          <cell r="A550" t="str">
            <v>549C1</v>
          </cell>
          <cell r="B550" t="str">
            <v>3</v>
          </cell>
          <cell r="C550" t="str">
            <v>06</v>
          </cell>
          <cell r="D550">
            <v>21</v>
          </cell>
          <cell r="E550" t="str">
            <v>549C1</v>
          </cell>
          <cell r="F550">
            <v>4.71</v>
          </cell>
          <cell r="G550">
            <v>3.24</v>
          </cell>
          <cell r="H550">
            <v>3.24</v>
          </cell>
          <cell r="I550" t="str">
            <v>Y2</v>
          </cell>
          <cell r="J550" t="str">
            <v>FC</v>
          </cell>
          <cell r="K550">
            <v>0</v>
          </cell>
          <cell r="L550">
            <v>45593</v>
          </cell>
          <cell r="M550">
            <v>45593</v>
          </cell>
          <cell r="N550">
            <v>401</v>
          </cell>
          <cell r="O550" t="str">
            <v>PS</v>
          </cell>
          <cell r="P550" t="str">
            <v/>
          </cell>
          <cell r="Q550">
            <v>45593</v>
          </cell>
          <cell r="R550" t="str">
            <v/>
          </cell>
          <cell r="S550" t="str">
            <v/>
          </cell>
          <cell r="T550" t="str">
            <v/>
          </cell>
          <cell r="U550">
            <v>9008</v>
          </cell>
          <cell r="V550" t="str">
            <v/>
          </cell>
          <cell r="W550" t="str">
            <v/>
          </cell>
          <cell r="X550" t="str">
            <v>Lokasi Produksi 549C1 ( pecahan 549C )</v>
          </cell>
          <cell r="Z550">
            <v>0</v>
          </cell>
          <cell r="AA550">
            <v>45593</v>
          </cell>
          <cell r="AB550">
            <v>202.59733611111005</v>
          </cell>
          <cell r="AC550">
            <v>6.753244537037002</v>
          </cell>
          <cell r="AD550">
            <v>-7.246755462962998</v>
          </cell>
          <cell r="AE550">
            <v>21.58</v>
          </cell>
          <cell r="AF550">
            <v>0</v>
          </cell>
          <cell r="AG550">
            <v>-1367.9333333333334</v>
          </cell>
          <cell r="AM550" t="str">
            <v>OK</v>
          </cell>
          <cell r="AO550">
            <v>13.378518441358029</v>
          </cell>
          <cell r="AP550">
            <v>13.378518441358029</v>
          </cell>
          <cell r="AQ550">
            <v>0</v>
          </cell>
          <cell r="AR550">
            <v>13.378518441358029</v>
          </cell>
          <cell r="AS550">
            <v>0</v>
          </cell>
          <cell r="AT550">
            <v>45593</v>
          </cell>
          <cell r="AU550">
            <v>13.378518441358029</v>
          </cell>
          <cell r="AV550">
            <v>401.35555324074085</v>
          </cell>
          <cell r="AW550">
            <v>13.378518441358029</v>
          </cell>
          <cell r="AY550">
            <v>406.46369178241002</v>
          </cell>
          <cell r="AZ550" t="str">
            <v>F18</v>
          </cell>
          <cell r="BA550">
            <v>0</v>
          </cell>
          <cell r="BB550" t="str">
            <v>PSY2</v>
          </cell>
          <cell r="BC550" t="str">
            <v>F18</v>
          </cell>
        </row>
        <row r="551">
          <cell r="A551" t="str">
            <v>549C2</v>
          </cell>
          <cell r="B551" t="str">
            <v>3</v>
          </cell>
          <cell r="C551" t="str">
            <v>06</v>
          </cell>
          <cell r="D551">
            <v>21</v>
          </cell>
          <cell r="E551" t="str">
            <v>549C2</v>
          </cell>
          <cell r="F551">
            <v>7.72</v>
          </cell>
          <cell r="G551">
            <v>5.58</v>
          </cell>
          <cell r="H551">
            <v>5.58</v>
          </cell>
          <cell r="I551" t="str">
            <v>Y2</v>
          </cell>
          <cell r="J551" t="str">
            <v>FC</v>
          </cell>
          <cell r="K551">
            <v>0</v>
          </cell>
          <cell r="L551">
            <v>45593</v>
          </cell>
          <cell r="M551">
            <v>45593</v>
          </cell>
          <cell r="N551">
            <v>401</v>
          </cell>
          <cell r="O551" t="str">
            <v>PS</v>
          </cell>
          <cell r="P551" t="str">
            <v/>
          </cell>
          <cell r="Q551">
            <v>45593</v>
          </cell>
          <cell r="R551" t="str">
            <v/>
          </cell>
          <cell r="S551" t="str">
            <v/>
          </cell>
          <cell r="T551" t="str">
            <v/>
          </cell>
          <cell r="U551">
            <v>15143</v>
          </cell>
          <cell r="V551" t="str">
            <v/>
          </cell>
          <cell r="W551" t="str">
            <v/>
          </cell>
          <cell r="X551" t="str">
            <v>Lokasi Produksi 549C2 ( pecahan 549C )</v>
          </cell>
          <cell r="Z551">
            <v>0</v>
          </cell>
          <cell r="AA551">
            <v>45593</v>
          </cell>
          <cell r="AB551">
            <v>106.59733611111005</v>
          </cell>
          <cell r="AC551">
            <v>3.5532445370370018</v>
          </cell>
          <cell r="AD551">
            <v>-12.446755462962997</v>
          </cell>
          <cell r="AE551">
            <v>21.59</v>
          </cell>
          <cell r="AF551">
            <v>0</v>
          </cell>
          <cell r="AG551">
            <v>-1371.1333333333334</v>
          </cell>
          <cell r="AM551" t="str">
            <v>OK</v>
          </cell>
          <cell r="AO551">
            <v>13.378518441358029</v>
          </cell>
          <cell r="AP551">
            <v>13.378518441358029</v>
          </cell>
          <cell r="AQ551">
            <v>0</v>
          </cell>
          <cell r="AR551">
            <v>13.378518441358029</v>
          </cell>
          <cell r="AS551">
            <v>0</v>
          </cell>
          <cell r="AT551">
            <v>45593</v>
          </cell>
          <cell r="AU551">
            <v>13.378518441358029</v>
          </cell>
          <cell r="AV551">
            <v>401.35555324074085</v>
          </cell>
          <cell r="AW551">
            <v>13.378518441358029</v>
          </cell>
          <cell r="AY551">
            <v>406.46369178241002</v>
          </cell>
          <cell r="AZ551" t="str">
            <v>F18</v>
          </cell>
          <cell r="BA551">
            <v>0</v>
          </cell>
          <cell r="BB551" t="str">
            <v>PSY2</v>
          </cell>
          <cell r="BC551" t="str">
            <v>F18</v>
          </cell>
        </row>
        <row r="552">
          <cell r="A552" t="str">
            <v>549C3</v>
          </cell>
          <cell r="B552" t="str">
            <v>3</v>
          </cell>
          <cell r="C552" t="str">
            <v>06</v>
          </cell>
          <cell r="D552">
            <v>21</v>
          </cell>
          <cell r="E552" t="str">
            <v>549C3</v>
          </cell>
          <cell r="F552">
            <v>8.4499999999999993</v>
          </cell>
          <cell r="G552">
            <v>5.82</v>
          </cell>
          <cell r="H552">
            <v>5.82</v>
          </cell>
          <cell r="I552" t="str">
            <v>Y2</v>
          </cell>
          <cell r="J552" t="str">
            <v>FC</v>
          </cell>
          <cell r="K552">
            <v>0</v>
          </cell>
          <cell r="L552">
            <v>45593</v>
          </cell>
          <cell r="M552">
            <v>45593</v>
          </cell>
          <cell r="N552">
            <v>401</v>
          </cell>
          <cell r="O552" t="str">
            <v>PS</v>
          </cell>
          <cell r="P552" t="str">
            <v/>
          </cell>
          <cell r="Q552">
            <v>45593</v>
          </cell>
          <cell r="R552" t="str">
            <v/>
          </cell>
          <cell r="S552" t="str">
            <v/>
          </cell>
          <cell r="T552" t="str">
            <v/>
          </cell>
          <cell r="U552">
            <v>16143</v>
          </cell>
          <cell r="V552" t="str">
            <v/>
          </cell>
          <cell r="W552" t="str">
            <v/>
          </cell>
          <cell r="X552" t="str">
            <v>Lokasi Produksi 549C3 ( pecahan 549C )</v>
          </cell>
          <cell r="Z552">
            <v>0</v>
          </cell>
          <cell r="AA552">
            <v>45593</v>
          </cell>
          <cell r="AB552">
            <v>181.59733611111005</v>
          </cell>
          <cell r="AC552">
            <v>6.0532445370370018</v>
          </cell>
          <cell r="AD552">
            <v>-7.9467554629629982</v>
          </cell>
          <cell r="AE552">
            <v>18.86</v>
          </cell>
          <cell r="AF552">
            <v>0</v>
          </cell>
          <cell r="AG552">
            <v>-1368.6333333333334</v>
          </cell>
          <cell r="AM552" t="str">
            <v>OK</v>
          </cell>
          <cell r="AO552">
            <v>13.378518441358029</v>
          </cell>
          <cell r="AP552">
            <v>13.378518441358029</v>
          </cell>
          <cell r="AQ552">
            <v>0</v>
          </cell>
          <cell r="AR552">
            <v>13.378518441358029</v>
          </cell>
          <cell r="AS552">
            <v>0</v>
          </cell>
          <cell r="AT552">
            <v>45593</v>
          </cell>
          <cell r="AU552">
            <v>13.378518441358029</v>
          </cell>
          <cell r="AV552">
            <v>401.35555324074085</v>
          </cell>
          <cell r="AW552">
            <v>13.378518441358029</v>
          </cell>
          <cell r="AY552">
            <v>406.46369178241002</v>
          </cell>
          <cell r="AZ552" t="str">
            <v>F18</v>
          </cell>
          <cell r="BA552">
            <v>0</v>
          </cell>
          <cell r="BB552" t="str">
            <v>PSY2</v>
          </cell>
          <cell r="BC552" t="str">
            <v>F18</v>
          </cell>
        </row>
        <row r="553">
          <cell r="A553" t="str">
            <v>549D1</v>
          </cell>
          <cell r="B553" t="str">
            <v>3</v>
          </cell>
          <cell r="C553" t="str">
            <v>06</v>
          </cell>
          <cell r="D553">
            <v>21</v>
          </cell>
          <cell r="E553" t="str">
            <v>549D1</v>
          </cell>
          <cell r="F553">
            <v>11.78</v>
          </cell>
          <cell r="G553">
            <v>7.71</v>
          </cell>
          <cell r="H553">
            <v>7.71</v>
          </cell>
          <cell r="I553" t="str">
            <v>BK</v>
          </cell>
          <cell r="J553" t="str">
            <v>BB</v>
          </cell>
          <cell r="K553">
            <v>0</v>
          </cell>
          <cell r="L553">
            <v>45953</v>
          </cell>
          <cell r="M553">
            <v>45953</v>
          </cell>
          <cell r="N553">
            <v>41</v>
          </cell>
          <cell r="O553" t="str">
            <v>NS</v>
          </cell>
          <cell r="P553" t="str">
            <v/>
          </cell>
          <cell r="Q553">
            <v>45953</v>
          </cell>
          <cell r="R553" t="str">
            <v/>
          </cell>
          <cell r="S553" t="str">
            <v/>
          </cell>
          <cell r="T553" t="str">
            <v/>
          </cell>
          <cell r="U553">
            <v>70803</v>
          </cell>
          <cell r="V553">
            <v>73360</v>
          </cell>
          <cell r="W553">
            <v>44924</v>
          </cell>
          <cell r="X553" t="str">
            <v>Lokasi Produksi 549D1 ( pecahan 549D )</v>
          </cell>
          <cell r="Z553">
            <v>0</v>
          </cell>
          <cell r="AA553">
            <v>45953</v>
          </cell>
          <cell r="AB553">
            <v>246.59733611111005</v>
          </cell>
          <cell r="AC553">
            <v>8.2199112037036688</v>
          </cell>
          <cell r="AD553">
            <v>-20</v>
          </cell>
          <cell r="AE553">
            <v>0</v>
          </cell>
          <cell r="AF553">
            <v>0</v>
          </cell>
          <cell r="AG553">
            <v>-1366.4666666666667</v>
          </cell>
          <cell r="AK553">
            <v>40468</v>
          </cell>
          <cell r="AM553" t="str">
            <v>OK</v>
          </cell>
          <cell r="AO553">
            <v>1.3785184413580283</v>
          </cell>
          <cell r="AP553">
            <v>1.3785184413580283</v>
          </cell>
          <cell r="AQ553">
            <v>0</v>
          </cell>
          <cell r="AR553">
            <v>1.3785184413580283</v>
          </cell>
          <cell r="AS553">
            <v>0</v>
          </cell>
          <cell r="AT553">
            <v>45953</v>
          </cell>
          <cell r="AU553">
            <v>1.3785184413580283</v>
          </cell>
          <cell r="AV553">
            <v>41.355553240740846</v>
          </cell>
          <cell r="AW553">
            <v>1.3785184413580283</v>
          </cell>
          <cell r="AY553">
            <v>46.463691782410024</v>
          </cell>
          <cell r="AZ553" t="str">
            <v>F18</v>
          </cell>
          <cell r="BA553">
            <v>0</v>
          </cell>
          <cell r="BB553" t="str">
            <v>NSBK</v>
          </cell>
          <cell r="BC553" t="str">
            <v>F18</v>
          </cell>
        </row>
        <row r="554">
          <cell r="A554" t="str">
            <v>549D2</v>
          </cell>
          <cell r="B554" t="str">
            <v>3</v>
          </cell>
          <cell r="C554" t="str">
            <v>06</v>
          </cell>
          <cell r="D554">
            <v>21</v>
          </cell>
          <cell r="E554" t="str">
            <v>549D2</v>
          </cell>
          <cell r="F554">
            <v>11.94</v>
          </cell>
          <cell r="G554">
            <v>9.4499999999999993</v>
          </cell>
          <cell r="H554">
            <v>9.4499999999999993</v>
          </cell>
          <cell r="I554" t="str">
            <v>BK</v>
          </cell>
          <cell r="J554" t="str">
            <v>SC</v>
          </cell>
          <cell r="K554">
            <v>0</v>
          </cell>
          <cell r="L554">
            <v>45937</v>
          </cell>
          <cell r="M554">
            <v>45937</v>
          </cell>
          <cell r="N554">
            <v>57</v>
          </cell>
          <cell r="O554" t="str">
            <v>NS</v>
          </cell>
          <cell r="P554" t="str">
            <v/>
          </cell>
          <cell r="Q554">
            <v>45937</v>
          </cell>
          <cell r="R554" t="str">
            <v/>
          </cell>
          <cell r="S554" t="str">
            <v/>
          </cell>
          <cell r="T554" t="str">
            <v/>
          </cell>
          <cell r="U554">
            <v>69734</v>
          </cell>
          <cell r="V554">
            <v>52599</v>
          </cell>
          <cell r="W554">
            <v>44924</v>
          </cell>
          <cell r="X554" t="str">
            <v>Lokasi Produksi 549D2 ( pecahan 549D )</v>
          </cell>
          <cell r="Z554">
            <v>0</v>
          </cell>
          <cell r="AA554">
            <v>45937</v>
          </cell>
          <cell r="AB554">
            <v>259.59733611111005</v>
          </cell>
          <cell r="AC554">
            <v>8.6532445370370024</v>
          </cell>
          <cell r="AD554">
            <v>-20</v>
          </cell>
          <cell r="AE554">
            <v>0</v>
          </cell>
          <cell r="AF554">
            <v>0</v>
          </cell>
          <cell r="AG554">
            <v>-1366.0333333333333</v>
          </cell>
          <cell r="AM554" t="str">
            <v>OK</v>
          </cell>
          <cell r="AO554">
            <v>1.9118517746913615</v>
          </cell>
          <cell r="AP554">
            <v>1.9118517746913615</v>
          </cell>
          <cell r="AQ554">
            <v>0</v>
          </cell>
          <cell r="AR554">
            <v>1.9118517746913615</v>
          </cell>
          <cell r="AS554">
            <v>0</v>
          </cell>
          <cell r="AT554">
            <v>45937</v>
          </cell>
          <cell r="AU554">
            <v>1.9118517746913615</v>
          </cell>
          <cell r="AV554">
            <v>57.355553240740846</v>
          </cell>
          <cell r="AW554">
            <v>1.9118517746913615</v>
          </cell>
          <cell r="AY554">
            <v>62.463691782410024</v>
          </cell>
          <cell r="AZ554" t="str">
            <v>F18</v>
          </cell>
          <cell r="BA554">
            <v>0</v>
          </cell>
          <cell r="BB554" t="str">
            <v>NSBK</v>
          </cell>
          <cell r="BC554" t="str">
            <v>F18</v>
          </cell>
        </row>
        <row r="555">
          <cell r="A555" t="str">
            <v>550A1</v>
          </cell>
          <cell r="B555" t="str">
            <v>3</v>
          </cell>
          <cell r="C555" t="str">
            <v>06</v>
          </cell>
          <cell r="D555">
            <v>21</v>
          </cell>
          <cell r="E555" t="str">
            <v>550A1</v>
          </cell>
          <cell r="F555">
            <v>9.67</v>
          </cell>
          <cell r="G555">
            <v>7.59</v>
          </cell>
          <cell r="H555">
            <v>7.59</v>
          </cell>
          <cell r="I555" t="str">
            <v>SC</v>
          </cell>
          <cell r="J555" t="str">
            <v>FC</v>
          </cell>
          <cell r="K555">
            <v>8</v>
          </cell>
          <cell r="L555">
            <v>45868</v>
          </cell>
          <cell r="M555">
            <v>45868</v>
          </cell>
          <cell r="N555">
            <v>126</v>
          </cell>
          <cell r="O555" t="str">
            <v>NS</v>
          </cell>
          <cell r="P555" t="str">
            <v/>
          </cell>
          <cell r="Q555">
            <v>46112</v>
          </cell>
          <cell r="R555" t="str">
            <v/>
          </cell>
          <cell r="S555" t="str">
            <v/>
          </cell>
          <cell r="T555" t="str">
            <v/>
          </cell>
          <cell r="U555">
            <v>61967</v>
          </cell>
          <cell r="V555">
            <v>68864</v>
          </cell>
          <cell r="W555" t="str">
            <v/>
          </cell>
          <cell r="X555" t="str">
            <v>Lokasi Produksi 550A1 ( pecahan 550A )</v>
          </cell>
          <cell r="Z555">
            <v>8</v>
          </cell>
          <cell r="AA555">
            <v>46112</v>
          </cell>
          <cell r="AB555">
            <v>85.597336111110053</v>
          </cell>
          <cell r="AC555">
            <v>2.8532445370370016</v>
          </cell>
          <cell r="AD555">
            <v>-13.146755462962998</v>
          </cell>
          <cell r="AE555">
            <v>8.14</v>
          </cell>
          <cell r="AF555">
            <v>0</v>
          </cell>
          <cell r="AG555">
            <v>-1371.8333333333333</v>
          </cell>
          <cell r="AM555" t="str">
            <v>OK</v>
          </cell>
          <cell r="AO555">
            <v>4.211851774691362</v>
          </cell>
          <cell r="AP555">
            <v>-3.788148225308638</v>
          </cell>
          <cell r="AQ555">
            <v>0</v>
          </cell>
          <cell r="AR555">
            <v>4.211851774691362</v>
          </cell>
          <cell r="AS555">
            <v>0</v>
          </cell>
          <cell r="AT555">
            <v>46112</v>
          </cell>
          <cell r="AU555">
            <v>-3.788148225308638</v>
          </cell>
          <cell r="AV555">
            <v>126.35555324074086</v>
          </cell>
          <cell r="AW555">
            <v>-3.788148225308638</v>
          </cell>
          <cell r="AY555">
            <v>131.46369178241002</v>
          </cell>
          <cell r="AZ555" t="str">
            <v>F18</v>
          </cell>
          <cell r="BA555">
            <v>7.59</v>
          </cell>
          <cell r="BB555" t="str">
            <v>NSSC</v>
          </cell>
          <cell r="BC555" t="str">
            <v>F18</v>
          </cell>
        </row>
        <row r="556">
          <cell r="A556" t="str">
            <v>550A2</v>
          </cell>
          <cell r="B556" t="str">
            <v>3</v>
          </cell>
          <cell r="C556" t="str">
            <v>06</v>
          </cell>
          <cell r="D556">
            <v>21</v>
          </cell>
          <cell r="E556" t="str">
            <v>550A2</v>
          </cell>
          <cell r="F556">
            <v>10.49</v>
          </cell>
          <cell r="G556">
            <v>8.1199999999999992</v>
          </cell>
          <cell r="H556">
            <v>8.1199999999999992</v>
          </cell>
          <cell r="I556" t="str">
            <v>SC</v>
          </cell>
          <cell r="J556" t="str">
            <v>FC</v>
          </cell>
          <cell r="K556">
            <v>8</v>
          </cell>
          <cell r="L556">
            <v>45874</v>
          </cell>
          <cell r="M556">
            <v>45874</v>
          </cell>
          <cell r="N556">
            <v>120</v>
          </cell>
          <cell r="O556" t="str">
            <v>NS</v>
          </cell>
          <cell r="P556" t="str">
            <v/>
          </cell>
          <cell r="Q556">
            <v>46118</v>
          </cell>
          <cell r="R556" t="str">
            <v/>
          </cell>
          <cell r="S556" t="str">
            <v/>
          </cell>
          <cell r="T556" t="str">
            <v/>
          </cell>
          <cell r="U556">
            <v>62700</v>
          </cell>
          <cell r="V556">
            <v>67980</v>
          </cell>
          <cell r="W556" t="str">
            <v/>
          </cell>
          <cell r="X556" t="str">
            <v>Lokasi Produksi 550A2 ( pecahan 550A )</v>
          </cell>
          <cell r="Z556">
            <v>8</v>
          </cell>
          <cell r="AA556">
            <v>46118</v>
          </cell>
          <cell r="AB556">
            <v>4738.5973361111101</v>
          </cell>
          <cell r="AC556">
            <v>157.95324453703699</v>
          </cell>
          <cell r="AD556">
            <v>-20</v>
          </cell>
          <cell r="AE556">
            <v>0</v>
          </cell>
          <cell r="AF556">
            <v>0</v>
          </cell>
          <cell r="AG556">
            <v>-1216.7333333333333</v>
          </cell>
          <cell r="AM556" t="str">
            <v>OK</v>
          </cell>
          <cell r="AO556">
            <v>4.0118517746913618</v>
          </cell>
          <cell r="AP556">
            <v>-3.9881482253086382</v>
          </cell>
          <cell r="AQ556">
            <v>0</v>
          </cell>
          <cell r="AR556">
            <v>4.0118517746913618</v>
          </cell>
          <cell r="AS556">
            <v>0</v>
          </cell>
          <cell r="AT556">
            <v>46118</v>
          </cell>
          <cell r="AU556">
            <v>-3.9881482253086382</v>
          </cell>
          <cell r="AV556">
            <v>120.35555324074085</v>
          </cell>
          <cell r="AW556">
            <v>-3.9881482253086382</v>
          </cell>
          <cell r="AY556">
            <v>125.46369178241002</v>
          </cell>
          <cell r="AZ556" t="str">
            <v>F18</v>
          </cell>
          <cell r="BA556">
            <v>8.1199999999999992</v>
          </cell>
          <cell r="BB556" t="str">
            <v>NSSC</v>
          </cell>
          <cell r="BC556" t="str">
            <v>F18</v>
          </cell>
        </row>
        <row r="557">
          <cell r="A557" t="str">
            <v>550B1</v>
          </cell>
          <cell r="B557" t="str">
            <v>3</v>
          </cell>
          <cell r="C557" t="str">
            <v>06</v>
          </cell>
          <cell r="D557">
            <v>21</v>
          </cell>
          <cell r="E557" t="str">
            <v>550B1</v>
          </cell>
          <cell r="F557">
            <v>6.76</v>
          </cell>
          <cell r="G557">
            <v>5.57</v>
          </cell>
          <cell r="H557">
            <v>5.57</v>
          </cell>
          <cell r="I557" t="str">
            <v>SC</v>
          </cell>
          <cell r="J557" t="str">
            <v>BB</v>
          </cell>
          <cell r="K557">
            <v>8</v>
          </cell>
          <cell r="L557">
            <v>45987</v>
          </cell>
          <cell r="M557">
            <v>45987</v>
          </cell>
          <cell r="N557">
            <v>7</v>
          </cell>
          <cell r="O557" t="str">
            <v>NS</v>
          </cell>
          <cell r="P557" t="str">
            <v/>
          </cell>
          <cell r="Q557">
            <v>46231</v>
          </cell>
          <cell r="R557" t="str">
            <v/>
          </cell>
          <cell r="S557" t="str">
            <v/>
          </cell>
          <cell r="T557" t="str">
            <v/>
          </cell>
          <cell r="U557">
            <v>69209</v>
          </cell>
          <cell r="V557">
            <v>71323</v>
          </cell>
          <cell r="W557">
            <v>44821</v>
          </cell>
          <cell r="X557" t="str">
            <v>Lokasi Produksi 550B1 ( pecahan 550B )</v>
          </cell>
          <cell r="Z557">
            <v>8</v>
          </cell>
          <cell r="AA557">
            <v>46231</v>
          </cell>
          <cell r="AB557">
            <v>307.59733611111005</v>
          </cell>
          <cell r="AC557">
            <v>10.253244537037002</v>
          </cell>
          <cell r="AD557">
            <v>-3.746755462962998</v>
          </cell>
          <cell r="AE557">
            <v>33.479999999999997</v>
          </cell>
          <cell r="AF557">
            <v>0</v>
          </cell>
          <cell r="AG557">
            <v>-1364.4333333333334</v>
          </cell>
          <cell r="AK557">
            <v>40280</v>
          </cell>
          <cell r="AM557" t="str">
            <v>OK</v>
          </cell>
          <cell r="AO557">
            <v>0.24518510802469487</v>
          </cell>
          <cell r="AP557">
            <v>-7.7548148919753048</v>
          </cell>
          <cell r="AQ557">
            <v>0</v>
          </cell>
          <cell r="AR557">
            <v>0.24518510802469487</v>
          </cell>
          <cell r="AS557">
            <v>0</v>
          </cell>
          <cell r="AT557">
            <v>46231</v>
          </cell>
          <cell r="AU557">
            <v>-7.7548148919753048</v>
          </cell>
          <cell r="AV557">
            <v>7.3555532407408464</v>
          </cell>
          <cell r="AW557">
            <v>-7.7548148919753048</v>
          </cell>
          <cell r="AY557">
            <v>12.463691782410024</v>
          </cell>
          <cell r="AZ557" t="str">
            <v>F18</v>
          </cell>
          <cell r="BA557">
            <v>5.57</v>
          </cell>
          <cell r="BB557" t="str">
            <v>NSSC</v>
          </cell>
          <cell r="BC557" t="str">
            <v>F18</v>
          </cell>
        </row>
        <row r="558">
          <cell r="A558" t="str">
            <v>550B2</v>
          </cell>
          <cell r="B558" t="str">
            <v>3</v>
          </cell>
          <cell r="C558" t="str">
            <v>06</v>
          </cell>
          <cell r="D558">
            <v>21</v>
          </cell>
          <cell r="E558" t="str">
            <v>550B2</v>
          </cell>
          <cell r="F558">
            <v>9.2100000000000009</v>
          </cell>
          <cell r="G558">
            <v>7.62</v>
          </cell>
          <cell r="H558">
            <v>7.62</v>
          </cell>
          <cell r="I558" t="str">
            <v>SC</v>
          </cell>
          <cell r="J558" t="str">
            <v>BB</v>
          </cell>
          <cell r="K558">
            <v>8</v>
          </cell>
          <cell r="L558">
            <v>45987</v>
          </cell>
          <cell r="M558">
            <v>45987</v>
          </cell>
          <cell r="N558">
            <v>7</v>
          </cell>
          <cell r="O558" t="str">
            <v>NS</v>
          </cell>
          <cell r="P558" t="str">
            <v/>
          </cell>
          <cell r="Q558">
            <v>46231</v>
          </cell>
          <cell r="R558" t="str">
            <v/>
          </cell>
          <cell r="S558" t="str">
            <v/>
          </cell>
          <cell r="T558" t="str">
            <v/>
          </cell>
          <cell r="U558">
            <v>70152</v>
          </cell>
          <cell r="V558">
            <v>71501</v>
          </cell>
          <cell r="W558">
            <v>44855</v>
          </cell>
          <cell r="X558" t="str">
            <v>Lokasi Produksi 550B2 ( pecahan 550B )</v>
          </cell>
          <cell r="Z558">
            <v>8</v>
          </cell>
          <cell r="AA558">
            <v>46231</v>
          </cell>
          <cell r="AB558">
            <v>273.59733611111005</v>
          </cell>
          <cell r="AC558">
            <v>9.1199112037036691</v>
          </cell>
          <cell r="AD558">
            <v>-4.8800887962963309</v>
          </cell>
          <cell r="AE558">
            <v>31.6</v>
          </cell>
          <cell r="AF558">
            <v>0</v>
          </cell>
          <cell r="AG558">
            <v>-1365.5666666666666</v>
          </cell>
          <cell r="AM558" t="str">
            <v>OK</v>
          </cell>
          <cell r="AO558">
            <v>0.24518510802469487</v>
          </cell>
          <cell r="AP558">
            <v>-7.7548148919753048</v>
          </cell>
          <cell r="AQ558">
            <v>0</v>
          </cell>
          <cell r="AR558">
            <v>0.24518510802469487</v>
          </cell>
          <cell r="AS558">
            <v>0</v>
          </cell>
          <cell r="AT558">
            <v>46231</v>
          </cell>
          <cell r="AU558">
            <v>-7.7548148919753048</v>
          </cell>
          <cell r="AV558">
            <v>7.3555532407408464</v>
          </cell>
          <cell r="AW558">
            <v>-7.7548148919753048</v>
          </cell>
          <cell r="AY558">
            <v>12.463691782410024</v>
          </cell>
          <cell r="AZ558" t="str">
            <v>F18</v>
          </cell>
          <cell r="BA558">
            <v>7.62</v>
          </cell>
          <cell r="BB558" t="str">
            <v>NSSC</v>
          </cell>
          <cell r="BC558" t="str">
            <v>F18</v>
          </cell>
        </row>
        <row r="559">
          <cell r="A559" t="str">
            <v>550D1</v>
          </cell>
          <cell r="B559" t="str">
            <v>3</v>
          </cell>
          <cell r="C559" t="str">
            <v>06</v>
          </cell>
          <cell r="D559">
            <v>21</v>
          </cell>
          <cell r="E559" t="str">
            <v>550D1</v>
          </cell>
          <cell r="F559">
            <v>8.6999999999999993</v>
          </cell>
          <cell r="G559">
            <v>7.23</v>
          </cell>
          <cell r="H559">
            <v>7.23</v>
          </cell>
          <cell r="I559" t="str">
            <v>SC</v>
          </cell>
          <cell r="J559" t="str">
            <v>FC</v>
          </cell>
          <cell r="K559">
            <v>8</v>
          </cell>
          <cell r="L559">
            <v>45954</v>
          </cell>
          <cell r="M559">
            <v>45954</v>
          </cell>
          <cell r="N559">
            <v>40</v>
          </cell>
          <cell r="O559" t="str">
            <v>NS</v>
          </cell>
          <cell r="P559" t="str">
            <v/>
          </cell>
          <cell r="Q559">
            <v>46198</v>
          </cell>
          <cell r="R559" t="str">
            <v/>
          </cell>
          <cell r="S559" t="str">
            <v/>
          </cell>
          <cell r="T559" t="str">
            <v/>
          </cell>
          <cell r="U559">
            <v>72362</v>
          </cell>
          <cell r="V559">
            <v>73062</v>
          </cell>
          <cell r="W559">
            <v>45581</v>
          </cell>
          <cell r="X559" t="str">
            <v>Lokasi Produksi 550D1 ( pecahan 550D )</v>
          </cell>
          <cell r="Z559">
            <v>8</v>
          </cell>
          <cell r="AA559">
            <v>46198</v>
          </cell>
          <cell r="AB559">
            <v>281.59733611111005</v>
          </cell>
          <cell r="AC559">
            <v>9.3865778703703349</v>
          </cell>
          <cell r="AD559">
            <v>-4.6134221296296651</v>
          </cell>
          <cell r="AE559">
            <v>24.28</v>
          </cell>
          <cell r="AF559">
            <v>0</v>
          </cell>
          <cell r="AG559">
            <v>-1365.3</v>
          </cell>
          <cell r="AM559" t="str">
            <v>OK</v>
          </cell>
          <cell r="AO559">
            <v>1.3451851080246948</v>
          </cell>
          <cell r="AP559">
            <v>-6.6548148919753052</v>
          </cell>
          <cell r="AQ559">
            <v>0</v>
          </cell>
          <cell r="AR559">
            <v>1.3451851080246948</v>
          </cell>
          <cell r="AS559">
            <v>0</v>
          </cell>
          <cell r="AT559">
            <v>46198</v>
          </cell>
          <cell r="AU559">
            <v>-6.6548148919753052</v>
          </cell>
          <cell r="AV559">
            <v>40.355553240740846</v>
          </cell>
          <cell r="AW559">
            <v>-6.6548148919753052</v>
          </cell>
          <cell r="AY559">
            <v>45.463691782410024</v>
          </cell>
          <cell r="AZ559" t="str">
            <v>F18</v>
          </cell>
          <cell r="BA559">
            <v>7.23</v>
          </cell>
          <cell r="BB559" t="str">
            <v>NSSC</v>
          </cell>
          <cell r="BC559" t="str">
            <v>F18</v>
          </cell>
        </row>
        <row r="560">
          <cell r="A560" t="str">
            <v>550D2A</v>
          </cell>
          <cell r="B560" t="str">
            <v>3</v>
          </cell>
          <cell r="C560" t="str">
            <v>06</v>
          </cell>
          <cell r="D560">
            <v>21</v>
          </cell>
          <cell r="E560" t="str">
            <v>550D2A</v>
          </cell>
          <cell r="F560">
            <v>5.33</v>
          </cell>
          <cell r="G560">
            <v>4.58</v>
          </cell>
          <cell r="H560">
            <v>4.58</v>
          </cell>
          <cell r="I560" t="str">
            <v>FC</v>
          </cell>
          <cell r="J560" t="str">
            <v>ST</v>
          </cell>
          <cell r="K560">
            <v>10</v>
          </cell>
          <cell r="L560">
            <v>45702</v>
          </cell>
          <cell r="M560">
            <v>45702</v>
          </cell>
          <cell r="N560">
            <v>292</v>
          </cell>
          <cell r="O560" t="str">
            <v>NS</v>
          </cell>
          <cell r="P560" t="str">
            <v>NSGP3SB3</v>
          </cell>
          <cell r="Q560">
            <v>46007</v>
          </cell>
          <cell r="R560" t="str">
            <v/>
          </cell>
          <cell r="S560" t="str">
            <v/>
          </cell>
          <cell r="T560">
            <v>45975</v>
          </cell>
          <cell r="U560">
            <v>70069</v>
          </cell>
          <cell r="V560">
            <v>72864</v>
          </cell>
          <cell r="W560">
            <v>45563</v>
          </cell>
          <cell r="X560" t="str">
            <v>Lokasi Produksi 550D2A ( pecahan 550D2 )</v>
          </cell>
          <cell r="Z560">
            <v>10</v>
          </cell>
          <cell r="AA560">
            <v>46007</v>
          </cell>
          <cell r="AB560">
            <v>76.597336111110053</v>
          </cell>
          <cell r="AC560">
            <v>2.5532445370370018</v>
          </cell>
          <cell r="AD560">
            <v>-11.446755462962997</v>
          </cell>
          <cell r="AE560">
            <v>22.5</v>
          </cell>
          <cell r="AF560">
            <v>0</v>
          </cell>
          <cell r="AG560">
            <v>-1372.1333333333334</v>
          </cell>
          <cell r="AM560" t="str">
            <v>OK</v>
          </cell>
          <cell r="AO560">
            <v>9.7451851080246943</v>
          </cell>
          <cell r="AP560">
            <v>-0.25481489197530571</v>
          </cell>
          <cell r="AQ560">
            <v>45975</v>
          </cell>
          <cell r="AR560">
            <v>9.1</v>
          </cell>
          <cell r="AS560">
            <v>0.64518510802469464</v>
          </cell>
          <cell r="AT560">
            <v>46007</v>
          </cell>
          <cell r="AU560">
            <v>0.64518510802469464</v>
          </cell>
          <cell r="AV560">
            <v>273</v>
          </cell>
          <cell r="AW560">
            <v>0.64518510802469464</v>
          </cell>
          <cell r="AY560">
            <v>297.46369178241002</v>
          </cell>
          <cell r="AZ560" t="str">
            <v>GP3</v>
          </cell>
          <cell r="BA560">
            <v>4.58</v>
          </cell>
          <cell r="BB560" t="str">
            <v>NSFC</v>
          </cell>
          <cell r="BC560" t="str">
            <v>GP3SB</v>
          </cell>
        </row>
        <row r="561">
          <cell r="A561" t="str">
            <v>550D2B</v>
          </cell>
          <cell r="B561" t="str">
            <v>3</v>
          </cell>
          <cell r="C561" t="str">
            <v>06</v>
          </cell>
          <cell r="D561">
            <v>21</v>
          </cell>
          <cell r="E561" t="str">
            <v>550D2B</v>
          </cell>
          <cell r="F561">
            <v>8.27</v>
          </cell>
          <cell r="G561">
            <v>7.02</v>
          </cell>
          <cell r="H561">
            <v>7.02</v>
          </cell>
          <cell r="I561" t="str">
            <v>FC</v>
          </cell>
          <cell r="J561" t="str">
            <v>ST</v>
          </cell>
          <cell r="K561">
            <v>10</v>
          </cell>
          <cell r="L561">
            <v>45695</v>
          </cell>
          <cell r="M561">
            <v>45695</v>
          </cell>
          <cell r="N561">
            <v>299</v>
          </cell>
          <cell r="O561" t="str">
            <v>NS</v>
          </cell>
          <cell r="P561" t="str">
            <v>NSF18SB3</v>
          </cell>
          <cell r="Q561">
            <v>46000</v>
          </cell>
          <cell r="R561" t="str">
            <v/>
          </cell>
          <cell r="S561" t="str">
            <v/>
          </cell>
          <cell r="T561">
            <v>45975</v>
          </cell>
          <cell r="U561">
            <v>70040</v>
          </cell>
          <cell r="V561">
            <v>71503</v>
          </cell>
          <cell r="W561">
            <v>45529</v>
          </cell>
          <cell r="X561" t="str">
            <v>Lokasi Produksi 550D2B ( pecahan 550D2 )</v>
          </cell>
          <cell r="Z561">
            <v>10</v>
          </cell>
          <cell r="AA561">
            <v>46000</v>
          </cell>
          <cell r="AB561">
            <v>378.59733611111005</v>
          </cell>
          <cell r="AC561">
            <v>12.619911203703669</v>
          </cell>
          <cell r="AD561">
            <v>-1.3800887962963309</v>
          </cell>
          <cell r="AE561">
            <v>14.02</v>
          </cell>
          <cell r="AF561">
            <v>0</v>
          </cell>
          <cell r="AG561">
            <v>-1362.0666666666666</v>
          </cell>
          <cell r="AM561" t="str">
            <v>OK</v>
          </cell>
          <cell r="AO561">
            <v>9.9785184413580286</v>
          </cell>
          <cell r="AP561">
            <v>-2.1481558641971432E-2</v>
          </cell>
          <cell r="AQ561">
            <v>45975</v>
          </cell>
          <cell r="AR561">
            <v>9.3333333333333339</v>
          </cell>
          <cell r="AS561">
            <v>0.64518510802469464</v>
          </cell>
          <cell r="AT561">
            <v>46000</v>
          </cell>
          <cell r="AU561">
            <v>0.64518510802469464</v>
          </cell>
          <cell r="AV561">
            <v>280</v>
          </cell>
          <cell r="AW561">
            <v>0.64518510802469464</v>
          </cell>
          <cell r="AY561">
            <v>304.46369178241002</v>
          </cell>
          <cell r="AZ561" t="str">
            <v>F18</v>
          </cell>
          <cell r="BA561">
            <v>7.02</v>
          </cell>
          <cell r="BB561" t="str">
            <v>NSFC</v>
          </cell>
          <cell r="BC561" t="str">
            <v>F18SB</v>
          </cell>
        </row>
        <row r="562">
          <cell r="A562" t="str">
            <v>550D2C</v>
          </cell>
          <cell r="B562" t="str">
            <v>3</v>
          </cell>
          <cell r="C562" t="str">
            <v>06</v>
          </cell>
          <cell r="D562">
            <v>21</v>
          </cell>
          <cell r="E562" t="str">
            <v>550D2C</v>
          </cell>
          <cell r="F562">
            <v>1.39</v>
          </cell>
          <cell r="G562">
            <v>1.1499999999999999</v>
          </cell>
          <cell r="H562">
            <v>1.1499999999999999</v>
          </cell>
          <cell r="I562" t="str">
            <v>FC</v>
          </cell>
          <cell r="J562" t="str">
            <v>ST</v>
          </cell>
          <cell r="K562">
            <v>0</v>
          </cell>
          <cell r="L562">
            <v>45881</v>
          </cell>
          <cell r="M562">
            <v>45881</v>
          </cell>
          <cell r="N562">
            <v>113</v>
          </cell>
          <cell r="O562" t="str">
            <v>SK</v>
          </cell>
          <cell r="P562" t="str">
            <v/>
          </cell>
          <cell r="Q562">
            <v>45881</v>
          </cell>
          <cell r="R562" t="str">
            <v/>
          </cell>
          <cell r="S562" t="str">
            <v/>
          </cell>
          <cell r="T562" t="str">
            <v/>
          </cell>
          <cell r="U562">
            <v>1188</v>
          </cell>
          <cell r="V562">
            <v>1188</v>
          </cell>
          <cell r="W562" t="str">
            <v/>
          </cell>
          <cell r="X562" t="str">
            <v>Lokasi Produksi 550D2C ( pecahan 550D2 )</v>
          </cell>
          <cell r="Z562">
            <v>0</v>
          </cell>
          <cell r="AA562">
            <v>45881</v>
          </cell>
          <cell r="AB562">
            <v>4501.5973361111101</v>
          </cell>
          <cell r="AC562">
            <v>150.05324453703699</v>
          </cell>
          <cell r="AD562">
            <v>-20</v>
          </cell>
          <cell r="AE562">
            <v>0</v>
          </cell>
          <cell r="AF562">
            <v>0</v>
          </cell>
          <cell r="AG562">
            <v>-1224.6333333333334</v>
          </cell>
          <cell r="AM562" t="str">
            <v>OK</v>
          </cell>
          <cell r="AO562">
            <v>3.7785184413580284</v>
          </cell>
          <cell r="AP562">
            <v>3.7785184413580284</v>
          </cell>
          <cell r="AQ562">
            <v>0</v>
          </cell>
          <cell r="AR562">
            <v>3.7785184413580284</v>
          </cell>
          <cell r="AS562">
            <v>0</v>
          </cell>
          <cell r="AT562">
            <v>45881</v>
          </cell>
          <cell r="AU562">
            <v>3.7785184413580284</v>
          </cell>
          <cell r="AV562">
            <v>113.35555324074085</v>
          </cell>
          <cell r="AW562">
            <v>3.7785184413580284</v>
          </cell>
          <cell r="AY562">
            <v>118.46369178241002</v>
          </cell>
          <cell r="AZ562" t="str">
            <v>F18</v>
          </cell>
          <cell r="BA562">
            <v>0</v>
          </cell>
          <cell r="BB562" t="str">
            <v>SKFC</v>
          </cell>
          <cell r="BC562" t="str">
            <v>F18</v>
          </cell>
        </row>
        <row r="563">
          <cell r="A563" t="str">
            <v>550E1A</v>
          </cell>
          <cell r="B563" t="str">
            <v>3</v>
          </cell>
          <cell r="C563" t="str">
            <v>06</v>
          </cell>
          <cell r="D563">
            <v>21</v>
          </cell>
          <cell r="E563" t="str">
            <v>550E1A</v>
          </cell>
          <cell r="F563">
            <v>5.29</v>
          </cell>
          <cell r="G563">
            <v>4.5</v>
          </cell>
          <cell r="H563">
            <v>4.5</v>
          </cell>
          <cell r="I563" t="str">
            <v>FC</v>
          </cell>
          <cell r="J563" t="str">
            <v>ST</v>
          </cell>
          <cell r="K563">
            <v>10</v>
          </cell>
          <cell r="L563">
            <v>45607</v>
          </cell>
          <cell r="M563">
            <v>45607</v>
          </cell>
          <cell r="N563">
            <v>387</v>
          </cell>
          <cell r="O563" t="str">
            <v>NS</v>
          </cell>
          <cell r="P563" t="str">
            <v>NSF18SB3</v>
          </cell>
          <cell r="Q563">
            <v>45912</v>
          </cell>
          <cell r="R563" t="str">
            <v/>
          </cell>
          <cell r="S563" t="str">
            <v/>
          </cell>
          <cell r="T563">
            <v>45910</v>
          </cell>
          <cell r="U563">
            <v>69319</v>
          </cell>
          <cell r="V563">
            <v>70675</v>
          </cell>
          <cell r="W563">
            <v>45581</v>
          </cell>
          <cell r="X563" t="str">
            <v>Lokasi Produksi 550E1A ( pecahan 550E1 )</v>
          </cell>
          <cell r="Y563">
            <v>51</v>
          </cell>
          <cell r="Z563">
            <v>10</v>
          </cell>
          <cell r="AA563">
            <v>45912</v>
          </cell>
          <cell r="AB563">
            <v>525.59733611111005</v>
          </cell>
          <cell r="AC563">
            <v>17.519911203703668</v>
          </cell>
          <cell r="AD563">
            <v>3.5199112037036677</v>
          </cell>
          <cell r="AE563">
            <v>18.62</v>
          </cell>
          <cell r="AF563">
            <v>0</v>
          </cell>
          <cell r="AG563">
            <v>-1357.1666666666667</v>
          </cell>
          <cell r="AK563">
            <v>40390</v>
          </cell>
          <cell r="AM563" t="str">
            <v>OK</v>
          </cell>
          <cell r="AO563">
            <v>12.911851774691362</v>
          </cell>
          <cell r="AP563">
            <v>2.9118517746913621</v>
          </cell>
          <cell r="AQ563">
            <v>45910</v>
          </cell>
          <cell r="AR563">
            <v>10.1</v>
          </cell>
          <cell r="AS563">
            <v>2.8118517746913625</v>
          </cell>
          <cell r="AT563">
            <v>45912</v>
          </cell>
          <cell r="AU563">
            <v>2.8118517746913625</v>
          </cell>
          <cell r="AV563">
            <v>303</v>
          </cell>
          <cell r="AW563">
            <v>2.8118517746913625</v>
          </cell>
          <cell r="AY563">
            <v>392.46369178241002</v>
          </cell>
          <cell r="AZ563" t="str">
            <v>F18</v>
          </cell>
          <cell r="BA563">
            <v>4.5</v>
          </cell>
          <cell r="BB563" t="str">
            <v>NSFC</v>
          </cell>
          <cell r="BC563" t="str">
            <v>F18SB</v>
          </cell>
        </row>
        <row r="564">
          <cell r="A564" t="str">
            <v>550E1B</v>
          </cell>
          <cell r="B564" t="str">
            <v>3</v>
          </cell>
          <cell r="C564" t="str">
            <v>06</v>
          </cell>
          <cell r="D564">
            <v>21</v>
          </cell>
          <cell r="E564" t="str">
            <v>550E1B</v>
          </cell>
          <cell r="F564">
            <v>7.58</v>
          </cell>
          <cell r="G564">
            <v>6.27</v>
          </cell>
          <cell r="H564">
            <v>6.27</v>
          </cell>
          <cell r="I564" t="str">
            <v>FC</v>
          </cell>
          <cell r="J564" t="str">
            <v>ST</v>
          </cell>
          <cell r="K564">
            <v>12</v>
          </cell>
          <cell r="L564">
            <v>45548</v>
          </cell>
          <cell r="M564">
            <v>45548</v>
          </cell>
          <cell r="N564">
            <v>446</v>
          </cell>
          <cell r="O564" t="str">
            <v>NS</v>
          </cell>
          <cell r="P564" t="str">
            <v>NSGP3SS3</v>
          </cell>
          <cell r="Q564">
            <v>45914</v>
          </cell>
          <cell r="R564" t="str">
            <v/>
          </cell>
          <cell r="S564" t="str">
            <v/>
          </cell>
          <cell r="T564">
            <v>45890</v>
          </cell>
          <cell r="U564">
            <v>70805</v>
          </cell>
          <cell r="V564">
            <v>72704</v>
          </cell>
          <cell r="W564">
            <v>45946</v>
          </cell>
          <cell r="X564" t="str">
            <v>Lokasi Produksi 550E1B ( pecahan 550E1 )</v>
          </cell>
          <cell r="Y564">
            <v>41096</v>
          </cell>
          <cell r="Z564">
            <v>12</v>
          </cell>
          <cell r="AA564">
            <v>45914</v>
          </cell>
          <cell r="AB564">
            <v>643.59733611111005</v>
          </cell>
          <cell r="AC564">
            <v>21.453244537037001</v>
          </cell>
          <cell r="AD564">
            <v>7.4532445370370013</v>
          </cell>
          <cell r="AE564">
            <v>21.45</v>
          </cell>
          <cell r="AF564">
            <v>0</v>
          </cell>
          <cell r="AG564">
            <v>-1353.2333333333333</v>
          </cell>
          <cell r="AM564" t="str">
            <v>OK</v>
          </cell>
          <cell r="AO564">
            <v>14.878518441358029</v>
          </cell>
          <cell r="AP564">
            <v>2.8785184413580289</v>
          </cell>
          <cell r="AQ564">
            <v>45890</v>
          </cell>
          <cell r="AR564">
            <v>11.4</v>
          </cell>
          <cell r="AS564">
            <v>3.4785184413580286</v>
          </cell>
          <cell r="AT564">
            <v>45914</v>
          </cell>
          <cell r="AU564">
            <v>3.4785184413580286</v>
          </cell>
          <cell r="AV564">
            <v>342</v>
          </cell>
          <cell r="AW564">
            <v>3.4785184413580286</v>
          </cell>
          <cell r="AY564">
            <v>451.46369178241002</v>
          </cell>
          <cell r="AZ564" t="str">
            <v>GP3</v>
          </cell>
          <cell r="BA564">
            <v>6.27</v>
          </cell>
          <cell r="BB564" t="str">
            <v>NSFC</v>
          </cell>
          <cell r="BC564" t="str">
            <v>GP3SS</v>
          </cell>
        </row>
        <row r="565">
          <cell r="A565" t="str">
            <v>550E2A</v>
          </cell>
          <cell r="B565" t="str">
            <v>3</v>
          </cell>
          <cell r="C565" t="str">
            <v>06</v>
          </cell>
          <cell r="D565">
            <v>21</v>
          </cell>
          <cell r="E565" t="str">
            <v>550E2A</v>
          </cell>
          <cell r="F565">
            <v>5.08</v>
          </cell>
          <cell r="G565">
            <v>4.3499999999999996</v>
          </cell>
          <cell r="H565">
            <v>4.3499999999999996</v>
          </cell>
          <cell r="I565" t="str">
            <v>FC</v>
          </cell>
          <cell r="J565" t="str">
            <v>ST</v>
          </cell>
          <cell r="K565">
            <v>14</v>
          </cell>
          <cell r="L565">
            <v>45785</v>
          </cell>
          <cell r="M565">
            <v>45785</v>
          </cell>
          <cell r="N565">
            <v>209</v>
          </cell>
          <cell r="O565" t="str">
            <v>NS</v>
          </cell>
          <cell r="P565" t="str">
            <v>NSF18CK3</v>
          </cell>
          <cell r="Q565">
            <v>46212</v>
          </cell>
          <cell r="R565" t="str">
            <v/>
          </cell>
          <cell r="S565" t="str">
            <v/>
          </cell>
          <cell r="T565" t="str">
            <v/>
          </cell>
          <cell r="U565">
            <v>72202</v>
          </cell>
          <cell r="V565">
            <v>8964</v>
          </cell>
          <cell r="W565">
            <v>45704</v>
          </cell>
          <cell r="X565" t="str">
            <v>Lokasi Produksi 550E2A ( pecahan 550E2 )</v>
          </cell>
          <cell r="Z565">
            <v>14</v>
          </cell>
          <cell r="AA565">
            <v>46212</v>
          </cell>
          <cell r="AB565">
            <v>370.59733611111005</v>
          </cell>
          <cell r="AC565">
            <v>12.353244537037002</v>
          </cell>
          <cell r="AD565">
            <v>4.3532445370370016</v>
          </cell>
          <cell r="AE565">
            <v>28.85</v>
          </cell>
          <cell r="AF565">
            <v>0</v>
          </cell>
          <cell r="AG565">
            <v>-1362.3333333333333</v>
          </cell>
          <cell r="AM565" t="str">
            <v>OK</v>
          </cell>
          <cell r="AO565">
            <v>6.9785184413580286</v>
          </cell>
          <cell r="AP565">
            <v>-7.0214815586419714</v>
          </cell>
          <cell r="AQ565">
            <v>0</v>
          </cell>
          <cell r="AR565">
            <v>6.9785184413580286</v>
          </cell>
          <cell r="AS565">
            <v>0</v>
          </cell>
          <cell r="AT565">
            <v>46212</v>
          </cell>
          <cell r="AU565">
            <v>-7.0214815586419714</v>
          </cell>
          <cell r="AV565">
            <v>209.35555324074085</v>
          </cell>
          <cell r="AW565">
            <v>-7.0214815586419714</v>
          </cell>
          <cell r="AY565">
            <v>214.46369178241002</v>
          </cell>
          <cell r="AZ565" t="str">
            <v>F18</v>
          </cell>
          <cell r="BA565">
            <v>4.3499999999999996</v>
          </cell>
          <cell r="BB565" t="str">
            <v>NSFC</v>
          </cell>
          <cell r="BC565" t="str">
            <v>F18CK</v>
          </cell>
        </row>
        <row r="566">
          <cell r="A566" t="str">
            <v>550E2B</v>
          </cell>
          <cell r="B566" t="str">
            <v>3</v>
          </cell>
          <cell r="C566" t="str">
            <v>06</v>
          </cell>
          <cell r="D566">
            <v>21</v>
          </cell>
          <cell r="E566" t="str">
            <v>550E2B</v>
          </cell>
          <cell r="F566">
            <v>7.03</v>
          </cell>
          <cell r="G566">
            <v>6.04</v>
          </cell>
          <cell r="H566">
            <v>6.04</v>
          </cell>
          <cell r="I566" t="str">
            <v>FC</v>
          </cell>
          <cell r="J566" t="str">
            <v>ST</v>
          </cell>
          <cell r="K566">
            <v>10</v>
          </cell>
          <cell r="L566">
            <v>45795</v>
          </cell>
          <cell r="M566">
            <v>45795</v>
          </cell>
          <cell r="N566">
            <v>199</v>
          </cell>
          <cell r="O566" t="str">
            <v>NS</v>
          </cell>
          <cell r="P566" t="str">
            <v>NSF18SB3</v>
          </cell>
          <cell r="Q566">
            <v>46100</v>
          </cell>
          <cell r="R566" t="str">
            <v/>
          </cell>
          <cell r="S566" t="str">
            <v/>
          </cell>
          <cell r="T566" t="str">
            <v/>
          </cell>
          <cell r="U566">
            <v>70076</v>
          </cell>
          <cell r="V566">
            <v>72248</v>
          </cell>
          <cell r="W566">
            <v>45704</v>
          </cell>
          <cell r="X566" t="str">
            <v>Lokasi Produksi 550E2B ( pecahan 550E2 )</v>
          </cell>
          <cell r="Z566">
            <v>10</v>
          </cell>
          <cell r="AA566">
            <v>46100</v>
          </cell>
          <cell r="AB566">
            <v>486.59733611111005</v>
          </cell>
          <cell r="AC566">
            <v>16.219911203703667</v>
          </cell>
          <cell r="AD566">
            <v>2.219911203703667</v>
          </cell>
          <cell r="AE566">
            <v>16.239999999999998</v>
          </cell>
          <cell r="AF566">
            <v>0</v>
          </cell>
          <cell r="AG566">
            <v>-1358.4666666666667</v>
          </cell>
          <cell r="AM566" t="str">
            <v>OK</v>
          </cell>
          <cell r="AO566">
            <v>6.6451851080246946</v>
          </cell>
          <cell r="AP566">
            <v>-3.3548148919753054</v>
          </cell>
          <cell r="AQ566">
            <v>0</v>
          </cell>
          <cell r="AR566">
            <v>6.6451851080246946</v>
          </cell>
          <cell r="AS566">
            <v>0</v>
          </cell>
          <cell r="AT566">
            <v>46100</v>
          </cell>
          <cell r="AU566">
            <v>-3.3548148919753054</v>
          </cell>
          <cell r="AV566">
            <v>199.35555324074085</v>
          </cell>
          <cell r="AW566">
            <v>-3.3548148919753054</v>
          </cell>
          <cell r="AY566">
            <v>204.46369178241002</v>
          </cell>
          <cell r="AZ566" t="str">
            <v>F18</v>
          </cell>
          <cell r="BA566">
            <v>6.04</v>
          </cell>
          <cell r="BB566" t="str">
            <v>NSFC</v>
          </cell>
          <cell r="BC566" t="str">
            <v>F18SB</v>
          </cell>
        </row>
        <row r="567">
          <cell r="A567" t="str">
            <v>550ES1</v>
          </cell>
          <cell r="B567" t="str">
            <v>3</v>
          </cell>
          <cell r="C567" t="str">
            <v>06</v>
          </cell>
          <cell r="D567">
            <v>21</v>
          </cell>
          <cell r="E567" t="str">
            <v>550ES1</v>
          </cell>
          <cell r="F567">
            <v>0.28000000000000003</v>
          </cell>
          <cell r="G567">
            <v>0.28000000000000003</v>
          </cell>
          <cell r="H567">
            <v>0.28000000000000003</v>
          </cell>
          <cell r="I567" t="str">
            <v>FC</v>
          </cell>
          <cell r="J567" t="str">
            <v>ST</v>
          </cell>
          <cell r="K567">
            <v>0</v>
          </cell>
          <cell r="L567">
            <v>45707</v>
          </cell>
          <cell r="M567">
            <v>45707</v>
          </cell>
          <cell r="N567">
            <v>287</v>
          </cell>
          <cell r="O567" t="str">
            <v>SK</v>
          </cell>
          <cell r="P567" t="str">
            <v/>
          </cell>
          <cell r="Q567">
            <v>45707</v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>Lokasi Prosuksi 550E1 ( singkong )</v>
          </cell>
          <cell r="Z567">
            <v>0</v>
          </cell>
          <cell r="AA567">
            <v>45707</v>
          </cell>
          <cell r="AB567">
            <v>4501.5973361111101</v>
          </cell>
          <cell r="AC567">
            <v>150.05324453703699</v>
          </cell>
          <cell r="AD567">
            <v>-20</v>
          </cell>
          <cell r="AE567">
            <v>0</v>
          </cell>
          <cell r="AF567">
            <v>0</v>
          </cell>
          <cell r="AG567">
            <v>-1224.6333333333334</v>
          </cell>
          <cell r="AM567" t="str">
            <v>OK</v>
          </cell>
          <cell r="AO567">
            <v>9.5785184413580282</v>
          </cell>
          <cell r="AP567">
            <v>9.5785184413580282</v>
          </cell>
          <cell r="AQ567">
            <v>0</v>
          </cell>
          <cell r="AR567">
            <v>9.5785184413580282</v>
          </cell>
          <cell r="AS567">
            <v>0</v>
          </cell>
          <cell r="AT567">
            <v>45707</v>
          </cell>
          <cell r="AU567">
            <v>9.5785184413580282</v>
          </cell>
          <cell r="AV567">
            <v>287.35555324074085</v>
          </cell>
          <cell r="AW567">
            <v>9.5785184413580282</v>
          </cell>
          <cell r="AY567">
            <v>292.46369178241002</v>
          </cell>
          <cell r="AZ567" t="str">
            <v>F18</v>
          </cell>
          <cell r="BA567">
            <v>0</v>
          </cell>
          <cell r="BB567" t="str">
            <v>SKFC</v>
          </cell>
          <cell r="BC567" t="str">
            <v>F18</v>
          </cell>
        </row>
        <row r="568">
          <cell r="A568" t="str">
            <v>550F1</v>
          </cell>
          <cell r="B568" t="str">
            <v>3</v>
          </cell>
          <cell r="C568" t="str">
            <v>06</v>
          </cell>
          <cell r="D568">
            <v>21</v>
          </cell>
          <cell r="E568" t="str">
            <v>550F1</v>
          </cell>
          <cell r="F568">
            <v>10.63</v>
          </cell>
          <cell r="G568">
            <v>8.32</v>
          </cell>
          <cell r="H568">
            <v>8.32</v>
          </cell>
          <cell r="I568" t="str">
            <v>SC</v>
          </cell>
          <cell r="J568" t="str">
            <v>FC</v>
          </cell>
          <cell r="K568">
            <v>8</v>
          </cell>
          <cell r="L568">
            <v>45620</v>
          </cell>
          <cell r="M568">
            <v>45620</v>
          </cell>
          <cell r="N568">
            <v>374</v>
          </cell>
          <cell r="O568" t="str">
            <v>NS</v>
          </cell>
          <cell r="P568" t="str">
            <v/>
          </cell>
          <cell r="Q568">
            <v>45864</v>
          </cell>
          <cell r="R568" t="str">
            <v/>
          </cell>
          <cell r="S568" t="str">
            <v/>
          </cell>
          <cell r="T568">
            <v>45860</v>
          </cell>
          <cell r="U568">
            <v>73071</v>
          </cell>
          <cell r="V568">
            <v>52318</v>
          </cell>
          <cell r="W568">
            <v>43629</v>
          </cell>
          <cell r="X568" t="str">
            <v>Lokasi Produksi 550F1 ( pecahan 550F )</v>
          </cell>
          <cell r="Z568">
            <v>8</v>
          </cell>
          <cell r="AA568">
            <v>45864</v>
          </cell>
          <cell r="AB568">
            <v>180.59733611111005</v>
          </cell>
          <cell r="AC568">
            <v>6.0199112037036686</v>
          </cell>
          <cell r="AD568">
            <v>-1.9800887962963314</v>
          </cell>
          <cell r="AE568">
            <v>5.14</v>
          </cell>
          <cell r="AF568">
            <v>0</v>
          </cell>
          <cell r="AG568">
            <v>-1368.6666666666667</v>
          </cell>
          <cell r="AM568" t="str">
            <v>OK</v>
          </cell>
          <cell r="AO568">
            <v>12.478518441358029</v>
          </cell>
          <cell r="AP568">
            <v>4.4785184413580286</v>
          </cell>
          <cell r="AQ568">
            <v>45860</v>
          </cell>
          <cell r="AR568">
            <v>8</v>
          </cell>
          <cell r="AS568">
            <v>4.4785184413580286</v>
          </cell>
          <cell r="AT568">
            <v>45864</v>
          </cell>
          <cell r="AU568">
            <v>4.4785184413580286</v>
          </cell>
          <cell r="AV568">
            <v>240</v>
          </cell>
          <cell r="AW568">
            <v>4.4785184413580286</v>
          </cell>
          <cell r="AY568">
            <v>379.46369178241002</v>
          </cell>
          <cell r="AZ568" t="str">
            <v>F18</v>
          </cell>
          <cell r="BA568">
            <v>8.32</v>
          </cell>
          <cell r="BB568" t="str">
            <v>NSSC</v>
          </cell>
          <cell r="BC568" t="str">
            <v>F18</v>
          </cell>
        </row>
        <row r="569">
          <cell r="A569" t="str">
            <v>550F2</v>
          </cell>
          <cell r="B569" t="str">
            <v>3</v>
          </cell>
          <cell r="C569" t="str">
            <v>06</v>
          </cell>
          <cell r="D569">
            <v>21</v>
          </cell>
          <cell r="E569" t="str">
            <v>550F2</v>
          </cell>
          <cell r="F569">
            <v>9.92</v>
          </cell>
          <cell r="G569">
            <v>7.76</v>
          </cell>
          <cell r="H569">
            <v>7.76</v>
          </cell>
          <cell r="I569" t="str">
            <v>BK</v>
          </cell>
          <cell r="J569" t="str">
            <v>SC</v>
          </cell>
          <cell r="K569">
            <v>0</v>
          </cell>
          <cell r="L569">
            <v>45889</v>
          </cell>
          <cell r="M569">
            <v>45889</v>
          </cell>
          <cell r="N569">
            <v>105</v>
          </cell>
          <cell r="O569" t="str">
            <v>NS</v>
          </cell>
          <cell r="P569" t="str">
            <v/>
          </cell>
          <cell r="Q569">
            <v>45889</v>
          </cell>
          <cell r="R569" t="str">
            <v/>
          </cell>
          <cell r="S569" t="str">
            <v/>
          </cell>
          <cell r="T569" t="str">
            <v/>
          </cell>
          <cell r="U569">
            <v>72859</v>
          </cell>
          <cell r="V569">
            <v>52197</v>
          </cell>
          <cell r="W569">
            <v>43799</v>
          </cell>
          <cell r="X569" t="str">
            <v>Lokasi Produksi 550F2 ( pecahan 550F )</v>
          </cell>
          <cell r="Z569">
            <v>0</v>
          </cell>
          <cell r="AA569">
            <v>45889</v>
          </cell>
          <cell r="AB569">
            <v>110.59733611111005</v>
          </cell>
          <cell r="AC569">
            <v>3.6865778703703351</v>
          </cell>
          <cell r="AD569">
            <v>-4.3134221296296644</v>
          </cell>
          <cell r="AE569">
            <v>15.16</v>
          </cell>
          <cell r="AF569">
            <v>0</v>
          </cell>
          <cell r="AG569">
            <v>-1371</v>
          </cell>
          <cell r="AM569" t="str">
            <v>OK</v>
          </cell>
          <cell r="AO569">
            <v>3.5118517746913613</v>
          </cell>
          <cell r="AP569">
            <v>3.5118517746913613</v>
          </cell>
          <cell r="AQ569">
            <v>0</v>
          </cell>
          <cell r="AR569">
            <v>3.5118517746913613</v>
          </cell>
          <cell r="AS569">
            <v>0</v>
          </cell>
          <cell r="AT569">
            <v>45889</v>
          </cell>
          <cell r="AU569">
            <v>3.5118517746913613</v>
          </cell>
          <cell r="AV569">
            <v>105.35555324074085</v>
          </cell>
          <cell r="AW569">
            <v>3.5118517746913613</v>
          </cell>
          <cell r="AY569">
            <v>110.46369178241002</v>
          </cell>
          <cell r="AZ569" t="str">
            <v>F18</v>
          </cell>
          <cell r="BA569">
            <v>0</v>
          </cell>
          <cell r="BB569" t="str">
            <v>NSBK</v>
          </cell>
          <cell r="BC569" t="str">
            <v>F18</v>
          </cell>
        </row>
        <row r="570">
          <cell r="A570" t="str">
            <v>550G</v>
          </cell>
          <cell r="B570" t="str">
            <v>3</v>
          </cell>
          <cell r="C570" t="str">
            <v>06</v>
          </cell>
          <cell r="D570">
            <v>21</v>
          </cell>
          <cell r="E570" t="str">
            <v>550G</v>
          </cell>
          <cell r="F570">
            <v>6.27</v>
          </cell>
          <cell r="G570">
            <v>5.03</v>
          </cell>
          <cell r="H570">
            <v>5.03</v>
          </cell>
          <cell r="I570" t="str">
            <v>SC</v>
          </cell>
          <cell r="J570" t="str">
            <v>BB</v>
          </cell>
          <cell r="K570">
            <v>8</v>
          </cell>
          <cell r="L570">
            <v>45817</v>
          </cell>
          <cell r="M570">
            <v>45817</v>
          </cell>
          <cell r="N570">
            <v>177</v>
          </cell>
          <cell r="O570" t="str">
            <v>NS</v>
          </cell>
          <cell r="P570" t="str">
            <v/>
          </cell>
          <cell r="Q570">
            <v>46061</v>
          </cell>
          <cell r="R570" t="str">
            <v/>
          </cell>
          <cell r="S570" t="str">
            <v/>
          </cell>
          <cell r="T570" t="str">
            <v/>
          </cell>
          <cell r="U570">
            <v>65285</v>
          </cell>
          <cell r="V570">
            <v>70730</v>
          </cell>
          <cell r="W570">
            <v>43559</v>
          </cell>
          <cell r="X570" t="str">
            <v>Lokasi Produksi 550G</v>
          </cell>
          <cell r="Z570">
            <v>8</v>
          </cell>
          <cell r="AA570">
            <v>46061</v>
          </cell>
          <cell r="AB570">
            <v>110.59733611111005</v>
          </cell>
          <cell r="AC570">
            <v>3.6865778703703351</v>
          </cell>
          <cell r="AD570">
            <v>-4.3134221296296644</v>
          </cell>
          <cell r="AE570">
            <v>11.28</v>
          </cell>
          <cell r="AF570">
            <v>0</v>
          </cell>
          <cell r="AG570">
            <v>-1371</v>
          </cell>
          <cell r="AM570" t="str">
            <v>OK</v>
          </cell>
          <cell r="AO570">
            <v>5.9118517746913612</v>
          </cell>
          <cell r="AP570">
            <v>-2.0881482253086388</v>
          </cell>
          <cell r="AQ570">
            <v>0</v>
          </cell>
          <cell r="AR570">
            <v>5.9118517746913612</v>
          </cell>
          <cell r="AS570">
            <v>0</v>
          </cell>
          <cell r="AT570">
            <v>46061</v>
          </cell>
          <cell r="AU570">
            <v>-2.0881482253086388</v>
          </cell>
          <cell r="AV570">
            <v>177.35555324074085</v>
          </cell>
          <cell r="AW570">
            <v>-2.0881482253086388</v>
          </cell>
          <cell r="AY570">
            <v>182.46369178241002</v>
          </cell>
          <cell r="AZ570" t="str">
            <v>F18</v>
          </cell>
          <cell r="BA570">
            <v>5.03</v>
          </cell>
          <cell r="BB570" t="str">
            <v>NSSC</v>
          </cell>
          <cell r="BC570" t="str">
            <v>F18</v>
          </cell>
        </row>
        <row r="571">
          <cell r="A571" t="str">
            <v>550H1A</v>
          </cell>
          <cell r="B571" t="str">
            <v>3</v>
          </cell>
          <cell r="C571" t="str">
            <v>06</v>
          </cell>
          <cell r="D571">
            <v>21</v>
          </cell>
          <cell r="E571" t="str">
            <v>550H1A</v>
          </cell>
          <cell r="F571">
            <v>5.16</v>
          </cell>
          <cell r="G571">
            <v>4.3899999999999997</v>
          </cell>
          <cell r="H571">
            <v>4.3899999999999997</v>
          </cell>
          <cell r="I571" t="str">
            <v>FC</v>
          </cell>
          <cell r="J571" t="str">
            <v>ST</v>
          </cell>
          <cell r="K571">
            <v>12</v>
          </cell>
          <cell r="L571">
            <v>45544</v>
          </cell>
          <cell r="M571">
            <v>45544</v>
          </cell>
          <cell r="N571">
            <v>450</v>
          </cell>
          <cell r="O571" t="str">
            <v>NS</v>
          </cell>
          <cell r="P571" t="str">
            <v>NSF18SS3</v>
          </cell>
          <cell r="Q571">
            <v>45910</v>
          </cell>
          <cell r="R571" t="str">
            <v/>
          </cell>
          <cell r="S571" t="str">
            <v/>
          </cell>
          <cell r="T571">
            <v>45882</v>
          </cell>
          <cell r="U571">
            <v>71758</v>
          </cell>
          <cell r="V571">
            <v>72198</v>
          </cell>
          <cell r="W571">
            <v>45285</v>
          </cell>
          <cell r="X571" t="str">
            <v>Lokasi Produksi 550H1A ( pecahan 550H1 )</v>
          </cell>
          <cell r="Z571">
            <v>12</v>
          </cell>
          <cell r="AA571">
            <v>45910</v>
          </cell>
          <cell r="AB571">
            <v>488.59733611111005</v>
          </cell>
          <cell r="AC571">
            <v>16.286577870370333</v>
          </cell>
          <cell r="AD571">
            <v>4.2865778703703334</v>
          </cell>
          <cell r="AE571">
            <v>11.8</v>
          </cell>
          <cell r="AF571">
            <v>0</v>
          </cell>
          <cell r="AG571">
            <v>-1358.4</v>
          </cell>
          <cell r="AM571" t="str">
            <v>OK</v>
          </cell>
          <cell r="AO571">
            <v>15.011851774691362</v>
          </cell>
          <cell r="AP571">
            <v>3.0118517746913618</v>
          </cell>
          <cell r="AQ571">
            <v>45882</v>
          </cell>
          <cell r="AR571">
            <v>11.266666666666667</v>
          </cell>
          <cell r="AS571">
            <v>3.7451851080246943</v>
          </cell>
          <cell r="AT571">
            <v>45910</v>
          </cell>
          <cell r="AU571">
            <v>3.7451851080246943</v>
          </cell>
          <cell r="AV571">
            <v>338</v>
          </cell>
          <cell r="AW571">
            <v>3.7451851080246943</v>
          </cell>
          <cell r="AY571">
            <v>455.46369178241002</v>
          </cell>
          <cell r="AZ571" t="str">
            <v>F18</v>
          </cell>
          <cell r="BA571">
            <v>4.3899999999999997</v>
          </cell>
          <cell r="BB571" t="str">
            <v>NSFC</v>
          </cell>
          <cell r="BC571" t="str">
            <v>F18SS</v>
          </cell>
        </row>
        <row r="572">
          <cell r="A572" t="str">
            <v>550H1B</v>
          </cell>
          <cell r="B572" t="str">
            <v>3</v>
          </cell>
          <cell r="C572" t="str">
            <v>06</v>
          </cell>
          <cell r="D572">
            <v>21</v>
          </cell>
          <cell r="E572" t="str">
            <v>550H1B</v>
          </cell>
          <cell r="F572">
            <v>5.15</v>
          </cell>
          <cell r="G572">
            <v>4.33</v>
          </cell>
          <cell r="H572">
            <v>4.33</v>
          </cell>
          <cell r="I572" t="str">
            <v>FC</v>
          </cell>
          <cell r="J572" t="str">
            <v>ST</v>
          </cell>
          <cell r="K572">
            <v>12</v>
          </cell>
          <cell r="L572">
            <v>45545</v>
          </cell>
          <cell r="M572">
            <v>45545</v>
          </cell>
          <cell r="N572">
            <v>449</v>
          </cell>
          <cell r="O572" t="str">
            <v>NS</v>
          </cell>
          <cell r="P572" t="str">
            <v>NSF18SS3</v>
          </cell>
          <cell r="Q572">
            <v>45911</v>
          </cell>
          <cell r="R572" t="str">
            <v/>
          </cell>
          <cell r="S572" t="str">
            <v/>
          </cell>
          <cell r="T572">
            <v>45882</v>
          </cell>
          <cell r="U572">
            <v>70358</v>
          </cell>
          <cell r="V572">
            <v>69469</v>
          </cell>
          <cell r="W572">
            <v>45285</v>
          </cell>
          <cell r="X572" t="str">
            <v>Lokasi Produksi 550H1B ( pecahan 550H1 )</v>
          </cell>
          <cell r="Z572">
            <v>12</v>
          </cell>
          <cell r="AA572">
            <v>45911</v>
          </cell>
          <cell r="AB572">
            <v>28.597336111110053</v>
          </cell>
          <cell r="AC572">
            <v>0.95324453703700174</v>
          </cell>
          <cell r="AD572">
            <v>-7.0467554629629987</v>
          </cell>
          <cell r="AE572">
            <v>11.83</v>
          </cell>
          <cell r="AF572">
            <v>0</v>
          </cell>
          <cell r="AG572">
            <v>-1373.7333333333333</v>
          </cell>
          <cell r="AK572">
            <v>40293</v>
          </cell>
          <cell r="AM572" t="str">
            <v>OK</v>
          </cell>
          <cell r="AO572">
            <v>14.978518441358029</v>
          </cell>
          <cell r="AP572">
            <v>2.9785184413580286</v>
          </cell>
          <cell r="AQ572">
            <v>45882</v>
          </cell>
          <cell r="AR572">
            <v>11.233333333333333</v>
          </cell>
          <cell r="AS572">
            <v>3.7451851080246961</v>
          </cell>
          <cell r="AT572">
            <v>45911</v>
          </cell>
          <cell r="AU572">
            <v>3.7451851080246961</v>
          </cell>
          <cell r="AV572">
            <v>337</v>
          </cell>
          <cell r="AW572">
            <v>3.7451851080246961</v>
          </cell>
          <cell r="AY572">
            <v>454.46369178241002</v>
          </cell>
          <cell r="AZ572" t="str">
            <v>F18</v>
          </cell>
          <cell r="BA572">
            <v>4.33</v>
          </cell>
          <cell r="BB572" t="str">
            <v>NSFC</v>
          </cell>
          <cell r="BC572" t="str">
            <v>F18SS</v>
          </cell>
        </row>
        <row r="573">
          <cell r="A573" t="str">
            <v>550H2A</v>
          </cell>
          <cell r="B573" t="str">
            <v>3</v>
          </cell>
          <cell r="C573" t="str">
            <v>06</v>
          </cell>
          <cell r="D573">
            <v>21</v>
          </cell>
          <cell r="E573" t="str">
            <v>550H2A</v>
          </cell>
          <cell r="F573">
            <v>5.93</v>
          </cell>
          <cell r="G573">
            <v>5.07</v>
          </cell>
          <cell r="H573">
            <v>5.07</v>
          </cell>
          <cell r="I573" t="str">
            <v>SC</v>
          </cell>
          <cell r="J573" t="str">
            <v>FC</v>
          </cell>
          <cell r="K573">
            <v>8</v>
          </cell>
          <cell r="L573">
            <v>45955</v>
          </cell>
          <cell r="M573">
            <v>45955</v>
          </cell>
          <cell r="N573">
            <v>39</v>
          </cell>
          <cell r="O573" t="str">
            <v>NS</v>
          </cell>
          <cell r="P573" t="str">
            <v/>
          </cell>
          <cell r="Q573">
            <v>46199</v>
          </cell>
          <cell r="R573" t="str">
            <v/>
          </cell>
          <cell r="S573" t="str">
            <v/>
          </cell>
          <cell r="T573" t="str">
            <v/>
          </cell>
          <cell r="U573">
            <v>68717</v>
          </cell>
          <cell r="V573">
            <v>71301</v>
          </cell>
          <cell r="W573">
            <v>45285</v>
          </cell>
          <cell r="X573" t="str">
            <v>Lokasi Produksi 550H2A ( pecahan 550H2 )</v>
          </cell>
          <cell r="Z573">
            <v>8</v>
          </cell>
          <cell r="AA573">
            <v>46199</v>
          </cell>
          <cell r="AB573">
            <v>607.59733611111005</v>
          </cell>
          <cell r="AC573">
            <v>20.253244537037002</v>
          </cell>
          <cell r="AD573">
            <v>6.253244537037002</v>
          </cell>
          <cell r="AE573">
            <v>16.13</v>
          </cell>
          <cell r="AF573">
            <v>0</v>
          </cell>
          <cell r="AG573">
            <v>-1354.4333333333334</v>
          </cell>
          <cell r="AK573">
            <v>40320</v>
          </cell>
          <cell r="AM573" t="str">
            <v>OK</v>
          </cell>
          <cell r="AO573">
            <v>1.3118517746913616</v>
          </cell>
          <cell r="AP573">
            <v>-6.6881482253086384</v>
          </cell>
          <cell r="AQ573">
            <v>0</v>
          </cell>
          <cell r="AR573">
            <v>1.3118517746913616</v>
          </cell>
          <cell r="AS573">
            <v>0</v>
          </cell>
          <cell r="AT573">
            <v>46199</v>
          </cell>
          <cell r="AU573">
            <v>-6.6881482253086384</v>
          </cell>
          <cell r="AV573">
            <v>39.355553240740846</v>
          </cell>
          <cell r="AW573">
            <v>-6.6881482253086384</v>
          </cell>
          <cell r="AY573">
            <v>44.463691782410024</v>
          </cell>
          <cell r="AZ573" t="str">
            <v>F18</v>
          </cell>
          <cell r="BA573">
            <v>5.07</v>
          </cell>
          <cell r="BB573" t="str">
            <v>NSSC</v>
          </cell>
          <cell r="BC573" t="str">
            <v>F18</v>
          </cell>
        </row>
        <row r="574">
          <cell r="A574" t="str">
            <v>550H2B</v>
          </cell>
          <cell r="B574" t="str">
            <v>3</v>
          </cell>
          <cell r="C574" t="str">
            <v>06</v>
          </cell>
          <cell r="D574">
            <v>21</v>
          </cell>
          <cell r="E574" t="str">
            <v>550H2B</v>
          </cell>
          <cell r="F574">
            <v>3.27</v>
          </cell>
          <cell r="G574">
            <v>2.81</v>
          </cell>
          <cell r="H574">
            <v>2.81</v>
          </cell>
          <cell r="I574" t="str">
            <v>SC</v>
          </cell>
          <cell r="J574" t="str">
            <v>FC</v>
          </cell>
          <cell r="K574">
            <v>8</v>
          </cell>
          <cell r="L574">
            <v>45954</v>
          </cell>
          <cell r="M574">
            <v>45954</v>
          </cell>
          <cell r="N574">
            <v>40</v>
          </cell>
          <cell r="O574" t="str">
            <v>NS</v>
          </cell>
          <cell r="P574" t="str">
            <v/>
          </cell>
          <cell r="Q574">
            <v>46198</v>
          </cell>
          <cell r="R574" t="str">
            <v/>
          </cell>
          <cell r="S574" t="str">
            <v/>
          </cell>
          <cell r="T574" t="str">
            <v/>
          </cell>
          <cell r="U574">
            <v>69439</v>
          </cell>
          <cell r="V574">
            <v>70478</v>
          </cell>
          <cell r="W574">
            <v>45285</v>
          </cell>
          <cell r="X574" t="str">
            <v>Lokasi Produksi 550H2B ( pecahan 550H2 )</v>
          </cell>
          <cell r="Z574">
            <v>8</v>
          </cell>
          <cell r="AA574">
            <v>46198</v>
          </cell>
          <cell r="AB574">
            <v>423.59733611111005</v>
          </cell>
          <cell r="AC574">
            <v>14.119911203703669</v>
          </cell>
          <cell r="AD574">
            <v>6.1199112037036691</v>
          </cell>
          <cell r="AE574">
            <v>17.350000000000001</v>
          </cell>
          <cell r="AF574">
            <v>0</v>
          </cell>
          <cell r="AG574">
            <v>-1360.5666666666666</v>
          </cell>
          <cell r="AM574" t="str">
            <v>OK</v>
          </cell>
          <cell r="AO574">
            <v>1.3451851080246948</v>
          </cell>
          <cell r="AP574">
            <v>-6.6548148919753052</v>
          </cell>
          <cell r="AQ574">
            <v>0</v>
          </cell>
          <cell r="AR574">
            <v>1.3451851080246948</v>
          </cell>
          <cell r="AS574">
            <v>0</v>
          </cell>
          <cell r="AT574">
            <v>46198</v>
          </cell>
          <cell r="AU574">
            <v>-6.6548148919753052</v>
          </cell>
          <cell r="AV574">
            <v>40.355553240740846</v>
          </cell>
          <cell r="AW574">
            <v>-6.6548148919753052</v>
          </cell>
          <cell r="AY574">
            <v>45.463691782410024</v>
          </cell>
          <cell r="AZ574" t="str">
            <v>F18</v>
          </cell>
          <cell r="BA574">
            <v>2.81</v>
          </cell>
          <cell r="BB574" t="str">
            <v>NSSC</v>
          </cell>
          <cell r="BC574" t="str">
            <v>F18</v>
          </cell>
        </row>
        <row r="575">
          <cell r="A575" t="str">
            <v>551A</v>
          </cell>
          <cell r="B575" t="str">
            <v>3</v>
          </cell>
          <cell r="C575" t="str">
            <v>06</v>
          </cell>
          <cell r="D575">
            <v>21</v>
          </cell>
          <cell r="E575" t="str">
            <v>551A</v>
          </cell>
          <cell r="F575">
            <v>7.77</v>
          </cell>
          <cell r="G575">
            <v>6.56</v>
          </cell>
          <cell r="H575">
            <v>6.56</v>
          </cell>
          <cell r="I575" t="str">
            <v>FC</v>
          </cell>
          <cell r="J575" t="str">
            <v>ST</v>
          </cell>
          <cell r="K575">
            <v>12</v>
          </cell>
          <cell r="L575">
            <v>45868</v>
          </cell>
          <cell r="M575">
            <v>45868</v>
          </cell>
          <cell r="N575">
            <v>126</v>
          </cell>
          <cell r="O575" t="str">
            <v>NS</v>
          </cell>
          <cell r="P575" t="str">
            <v>NSF18SS3</v>
          </cell>
          <cell r="Q575">
            <v>46234</v>
          </cell>
          <cell r="R575" t="str">
            <v/>
          </cell>
          <cell r="S575" t="str">
            <v/>
          </cell>
          <cell r="T575" t="str">
            <v/>
          </cell>
          <cell r="U575">
            <v>71651</v>
          </cell>
          <cell r="V575">
            <v>14880</v>
          </cell>
          <cell r="W575">
            <v>46020</v>
          </cell>
          <cell r="X575" t="str">
            <v>Lokasi Produksi 551A</v>
          </cell>
          <cell r="Z575">
            <v>12</v>
          </cell>
          <cell r="AA575">
            <v>46234</v>
          </cell>
          <cell r="AB575">
            <v>479.59733611111005</v>
          </cell>
          <cell r="AC575">
            <v>15.986577870370335</v>
          </cell>
          <cell r="AD575">
            <v>-20</v>
          </cell>
          <cell r="AE575">
            <v>0</v>
          </cell>
          <cell r="AF575">
            <v>0</v>
          </cell>
          <cell r="AG575">
            <v>-1358.7</v>
          </cell>
          <cell r="AM575" t="str">
            <v>OK</v>
          </cell>
          <cell r="AO575">
            <v>4.211851774691362</v>
          </cell>
          <cell r="AP575">
            <v>-7.788148225308638</v>
          </cell>
          <cell r="AQ575">
            <v>0</v>
          </cell>
          <cell r="AR575">
            <v>4.211851774691362</v>
          </cell>
          <cell r="AS575">
            <v>0</v>
          </cell>
          <cell r="AT575">
            <v>46234</v>
          </cell>
          <cell r="AU575">
            <v>-7.788148225308638</v>
          </cell>
          <cell r="AV575">
            <v>126.35555324074086</v>
          </cell>
          <cell r="AW575">
            <v>-7.788148225308638</v>
          </cell>
          <cell r="AY575">
            <v>131.46369178241002</v>
          </cell>
          <cell r="AZ575" t="str">
            <v>F18</v>
          </cell>
          <cell r="BA575">
            <v>6.56</v>
          </cell>
          <cell r="BB575" t="str">
            <v>NSFC</v>
          </cell>
          <cell r="BC575" t="str">
            <v>F18SS</v>
          </cell>
        </row>
        <row r="576">
          <cell r="A576" t="str">
            <v>551B3</v>
          </cell>
          <cell r="B576" t="str">
            <v>3</v>
          </cell>
          <cell r="C576" t="str">
            <v>06</v>
          </cell>
          <cell r="D576">
            <v>21</v>
          </cell>
          <cell r="E576" t="str">
            <v>551B3</v>
          </cell>
          <cell r="F576">
            <v>5.19</v>
          </cell>
          <cell r="G576">
            <v>4.45</v>
          </cell>
          <cell r="H576">
            <v>4.45</v>
          </cell>
          <cell r="I576" t="str">
            <v>FC</v>
          </cell>
          <cell r="J576" t="str">
            <v>ST</v>
          </cell>
          <cell r="K576">
            <v>10</v>
          </cell>
          <cell r="L576">
            <v>45909</v>
          </cell>
          <cell r="M576">
            <v>45909</v>
          </cell>
          <cell r="N576">
            <v>85</v>
          </cell>
          <cell r="O576" t="str">
            <v>NS</v>
          </cell>
          <cell r="P576" t="str">
            <v>NSGP3SB3</v>
          </cell>
          <cell r="Q576">
            <v>46214</v>
          </cell>
          <cell r="R576" t="str">
            <v/>
          </cell>
          <cell r="S576" t="str">
            <v/>
          </cell>
          <cell r="T576" t="str">
            <v/>
          </cell>
          <cell r="U576">
            <v>72622</v>
          </cell>
          <cell r="V576">
            <v>10819</v>
          </cell>
          <cell r="W576">
            <v>45854</v>
          </cell>
          <cell r="X576" t="str">
            <v>Lokasi Produksi 551B3 ( pecahan 551B )</v>
          </cell>
          <cell r="Z576">
            <v>10</v>
          </cell>
          <cell r="AA576">
            <v>46214</v>
          </cell>
          <cell r="AB576">
            <v>746.59733611111005</v>
          </cell>
          <cell r="AC576">
            <v>24.886577870370335</v>
          </cell>
          <cell r="AD576">
            <v>-20</v>
          </cell>
          <cell r="AE576">
            <v>0</v>
          </cell>
          <cell r="AF576">
            <v>0</v>
          </cell>
          <cell r="AG576">
            <v>-1349.8</v>
          </cell>
          <cell r="AM576" t="str">
            <v>OK</v>
          </cell>
          <cell r="AO576">
            <v>2.8451851080246948</v>
          </cell>
          <cell r="AP576">
            <v>-7.1548148919753052</v>
          </cell>
          <cell r="AQ576">
            <v>0</v>
          </cell>
          <cell r="AR576">
            <v>2.8451851080246948</v>
          </cell>
          <cell r="AS576">
            <v>0</v>
          </cell>
          <cell r="AT576">
            <v>46214</v>
          </cell>
          <cell r="AU576">
            <v>-7.1548148919753052</v>
          </cell>
          <cell r="AV576">
            <v>85.355553240740846</v>
          </cell>
          <cell r="AW576">
            <v>-7.1548148919753052</v>
          </cell>
          <cell r="AY576">
            <v>90.463691782410024</v>
          </cell>
          <cell r="AZ576" t="str">
            <v>GP3</v>
          </cell>
          <cell r="BA576">
            <v>4.45</v>
          </cell>
          <cell r="BB576" t="str">
            <v>NSFC</v>
          </cell>
          <cell r="BC576" t="str">
            <v>GP3SB</v>
          </cell>
        </row>
        <row r="577">
          <cell r="A577" t="str">
            <v>551B4</v>
          </cell>
          <cell r="B577" t="str">
            <v>3</v>
          </cell>
          <cell r="C577" t="str">
            <v>06</v>
          </cell>
          <cell r="D577">
            <v>21</v>
          </cell>
          <cell r="E577" t="str">
            <v>551B4</v>
          </cell>
          <cell r="F577">
            <v>5.96</v>
          </cell>
          <cell r="G577">
            <v>4.9400000000000004</v>
          </cell>
          <cell r="H577">
            <v>4.9400000000000004</v>
          </cell>
          <cell r="I577" t="str">
            <v>FC</v>
          </cell>
          <cell r="J577" t="str">
            <v>ST</v>
          </cell>
          <cell r="K577">
            <v>10</v>
          </cell>
          <cell r="L577">
            <v>45909</v>
          </cell>
          <cell r="M577">
            <v>45909</v>
          </cell>
          <cell r="N577">
            <v>85</v>
          </cell>
          <cell r="O577" t="str">
            <v>NS</v>
          </cell>
          <cell r="P577" t="str">
            <v>NSGP3SB3</v>
          </cell>
          <cell r="Q577">
            <v>46214</v>
          </cell>
          <cell r="R577" t="str">
            <v/>
          </cell>
          <cell r="S577" t="str">
            <v/>
          </cell>
          <cell r="T577" t="str">
            <v/>
          </cell>
          <cell r="U577">
            <v>71646</v>
          </cell>
          <cell r="V577">
            <v>10955</v>
          </cell>
          <cell r="W577">
            <v>45854</v>
          </cell>
          <cell r="X577" t="str">
            <v>Lokasi Produksi 551B4 ( pecahan 551B )</v>
          </cell>
          <cell r="Z577">
            <v>10</v>
          </cell>
          <cell r="AA577">
            <v>46214</v>
          </cell>
          <cell r="AB577">
            <v>4501.5973361111101</v>
          </cell>
          <cell r="AC577">
            <v>150.05324453703699</v>
          </cell>
          <cell r="AD577">
            <v>-20</v>
          </cell>
          <cell r="AE577">
            <v>0</v>
          </cell>
          <cell r="AF577">
            <v>0</v>
          </cell>
          <cell r="AG577">
            <v>-1224.6333333333334</v>
          </cell>
          <cell r="AM577" t="str">
            <v>OK</v>
          </cell>
          <cell r="AO577">
            <v>2.8451851080246948</v>
          </cell>
          <cell r="AP577">
            <v>-7.1548148919753052</v>
          </cell>
          <cell r="AQ577">
            <v>0</v>
          </cell>
          <cell r="AR577">
            <v>2.8451851080246948</v>
          </cell>
          <cell r="AS577">
            <v>0</v>
          </cell>
          <cell r="AT577">
            <v>46214</v>
          </cell>
          <cell r="AU577">
            <v>-7.1548148919753052</v>
          </cell>
          <cell r="AV577">
            <v>85.355553240740846</v>
          </cell>
          <cell r="AW577">
            <v>-7.1548148919753052</v>
          </cell>
          <cell r="AY577">
            <v>90.463691782410024</v>
          </cell>
          <cell r="AZ577" t="str">
            <v>GP3</v>
          </cell>
          <cell r="BA577">
            <v>4.9400000000000004</v>
          </cell>
          <cell r="BB577" t="str">
            <v>NSFC</v>
          </cell>
          <cell r="BC577" t="str">
            <v>GP3SB</v>
          </cell>
        </row>
        <row r="578">
          <cell r="A578" t="str">
            <v>551C1</v>
          </cell>
          <cell r="B578" t="str">
            <v>3</v>
          </cell>
          <cell r="C578" t="str">
            <v>06</v>
          </cell>
          <cell r="D578">
            <v>21</v>
          </cell>
          <cell r="E578" t="str">
            <v>551C1</v>
          </cell>
          <cell r="F578">
            <v>7.71</v>
          </cell>
          <cell r="G578">
            <v>6.51</v>
          </cell>
          <cell r="H578">
            <v>6.51</v>
          </cell>
          <cell r="I578" t="str">
            <v>FC</v>
          </cell>
          <cell r="J578" t="str">
            <v>ST</v>
          </cell>
          <cell r="K578">
            <v>10</v>
          </cell>
          <cell r="L578">
            <v>45874</v>
          </cell>
          <cell r="M578">
            <v>45874</v>
          </cell>
          <cell r="N578">
            <v>120</v>
          </cell>
          <cell r="O578" t="str">
            <v>NS</v>
          </cell>
          <cell r="P578" t="str">
            <v>NSF18SB3</v>
          </cell>
          <cell r="Q578">
            <v>46179</v>
          </cell>
          <cell r="R578" t="str">
            <v/>
          </cell>
          <cell r="S578" t="str">
            <v/>
          </cell>
          <cell r="T578" t="str">
            <v/>
          </cell>
          <cell r="U578">
            <v>71372</v>
          </cell>
          <cell r="V578">
            <v>71836</v>
          </cell>
          <cell r="W578">
            <v>45408</v>
          </cell>
          <cell r="X578" t="str">
            <v>Lokasi Produksi 551C1 ( pecahan 551C )</v>
          </cell>
          <cell r="Z578">
            <v>10</v>
          </cell>
          <cell r="AA578">
            <v>46179</v>
          </cell>
          <cell r="AB578">
            <v>251.59733611111005</v>
          </cell>
          <cell r="AC578">
            <v>8.3865778703703349</v>
          </cell>
          <cell r="AD578">
            <v>-20</v>
          </cell>
          <cell r="AE578">
            <v>0</v>
          </cell>
          <cell r="AF578">
            <v>0</v>
          </cell>
          <cell r="AG578">
            <v>-1366.3</v>
          </cell>
          <cell r="AK578">
            <v>40435</v>
          </cell>
          <cell r="AM578" t="str">
            <v>OK</v>
          </cell>
          <cell r="AO578">
            <v>4.0118517746913618</v>
          </cell>
          <cell r="AP578">
            <v>-5.9881482253086382</v>
          </cell>
          <cell r="AQ578">
            <v>0</v>
          </cell>
          <cell r="AR578">
            <v>4.0118517746913618</v>
          </cell>
          <cell r="AS578">
            <v>0</v>
          </cell>
          <cell r="AT578">
            <v>46179</v>
          </cell>
          <cell r="AU578">
            <v>-5.9881482253086382</v>
          </cell>
          <cell r="AV578">
            <v>120.35555324074085</v>
          </cell>
          <cell r="AW578">
            <v>-5.9881482253086382</v>
          </cell>
          <cell r="AY578">
            <v>125.46369178241002</v>
          </cell>
          <cell r="AZ578" t="str">
            <v>F18</v>
          </cell>
          <cell r="BA578">
            <v>6.51</v>
          </cell>
          <cell r="BB578" t="str">
            <v>NSFC</v>
          </cell>
          <cell r="BC578" t="str">
            <v>F18SB</v>
          </cell>
        </row>
        <row r="579">
          <cell r="A579" t="str">
            <v>551C2</v>
          </cell>
          <cell r="B579" t="str">
            <v>3</v>
          </cell>
          <cell r="C579" t="str">
            <v>06</v>
          </cell>
          <cell r="D579">
            <v>21</v>
          </cell>
          <cell r="E579" t="str">
            <v>551C2</v>
          </cell>
          <cell r="F579">
            <v>6.74</v>
          </cell>
          <cell r="G579">
            <v>5.68</v>
          </cell>
          <cell r="H579">
            <v>5.68</v>
          </cell>
          <cell r="I579" t="str">
            <v>FC</v>
          </cell>
          <cell r="J579" t="str">
            <v>ST</v>
          </cell>
          <cell r="K579">
            <v>10</v>
          </cell>
          <cell r="L579">
            <v>45882</v>
          </cell>
          <cell r="M579">
            <v>45882</v>
          </cell>
          <cell r="N579">
            <v>112</v>
          </cell>
          <cell r="O579" t="str">
            <v>NS</v>
          </cell>
          <cell r="P579" t="str">
            <v>NSF18SB3</v>
          </cell>
          <cell r="Q579">
            <v>46187</v>
          </cell>
          <cell r="R579" t="str">
            <v/>
          </cell>
          <cell r="S579" t="str">
            <v/>
          </cell>
          <cell r="T579" t="str">
            <v/>
          </cell>
          <cell r="U579">
            <v>71743</v>
          </cell>
          <cell r="V579">
            <v>71150</v>
          </cell>
          <cell r="W579">
            <v>45441</v>
          </cell>
          <cell r="X579" t="str">
            <v>Lokasi Produksi 551C2 ( pecahan 551C )</v>
          </cell>
          <cell r="Z579">
            <v>10</v>
          </cell>
          <cell r="AA579">
            <v>46187</v>
          </cell>
          <cell r="AB579">
            <v>319.59733611111005</v>
          </cell>
          <cell r="AC579">
            <v>10.653244537037002</v>
          </cell>
          <cell r="AD579">
            <v>2.6532445370370024</v>
          </cell>
          <cell r="AE579">
            <v>13.94</v>
          </cell>
          <cell r="AF579">
            <v>0</v>
          </cell>
          <cell r="AG579">
            <v>-1364.0333333333333</v>
          </cell>
          <cell r="AK579">
            <v>40322</v>
          </cell>
          <cell r="AM579" t="str">
            <v>OK</v>
          </cell>
          <cell r="AO579">
            <v>3.7451851080246947</v>
          </cell>
          <cell r="AP579">
            <v>-6.2548148919753057</v>
          </cell>
          <cell r="AQ579">
            <v>0</v>
          </cell>
          <cell r="AR579">
            <v>3.7451851080246947</v>
          </cell>
          <cell r="AS579">
            <v>0</v>
          </cell>
          <cell r="AT579">
            <v>46187</v>
          </cell>
          <cell r="AU579">
            <v>-6.2548148919753057</v>
          </cell>
          <cell r="AV579">
            <v>112.35555324074085</v>
          </cell>
          <cell r="AW579">
            <v>-6.2548148919753057</v>
          </cell>
          <cell r="AY579">
            <v>117.46369178241002</v>
          </cell>
          <cell r="AZ579" t="str">
            <v>F18</v>
          </cell>
          <cell r="BA579">
            <v>5.68</v>
          </cell>
          <cell r="BB579" t="str">
            <v>NSFC</v>
          </cell>
          <cell r="BC579" t="str">
            <v>F18SB</v>
          </cell>
        </row>
        <row r="580">
          <cell r="A580" t="str">
            <v>551D1</v>
          </cell>
          <cell r="B580" t="str">
            <v>3</v>
          </cell>
          <cell r="C580" t="str">
            <v>06</v>
          </cell>
          <cell r="D580">
            <v>21</v>
          </cell>
          <cell r="E580" t="str">
            <v>551D1</v>
          </cell>
          <cell r="F580">
            <v>6.65</v>
          </cell>
          <cell r="G580">
            <v>5.26</v>
          </cell>
          <cell r="H580">
            <v>5.26</v>
          </cell>
          <cell r="I580" t="str">
            <v>SC</v>
          </cell>
          <cell r="J580" t="str">
            <v>FC</v>
          </cell>
          <cell r="K580">
            <v>8</v>
          </cell>
          <cell r="L580">
            <v>45785</v>
          </cell>
          <cell r="M580">
            <v>45785</v>
          </cell>
          <cell r="N580">
            <v>209</v>
          </cell>
          <cell r="O580" t="str">
            <v>NS</v>
          </cell>
          <cell r="P580" t="str">
            <v/>
          </cell>
          <cell r="Q580">
            <v>46029</v>
          </cell>
          <cell r="R580" t="str">
            <v/>
          </cell>
          <cell r="S580" t="str">
            <v/>
          </cell>
          <cell r="T580" t="str">
            <v/>
          </cell>
          <cell r="U580">
            <v>68077</v>
          </cell>
          <cell r="V580">
            <v>71464</v>
          </cell>
          <cell r="W580" t="str">
            <v/>
          </cell>
          <cell r="X580" t="str">
            <v>Lokasi Produksi 551D1 ( pecahan 551D )</v>
          </cell>
          <cell r="Z580">
            <v>8</v>
          </cell>
          <cell r="AA580">
            <v>46029</v>
          </cell>
          <cell r="AB580">
            <v>293.59733611111005</v>
          </cell>
          <cell r="AC580">
            <v>9.7865778703703352</v>
          </cell>
          <cell r="AD580">
            <v>1.7865778703703352</v>
          </cell>
          <cell r="AE580">
            <v>13.39</v>
          </cell>
          <cell r="AF580">
            <v>0</v>
          </cell>
          <cell r="AG580">
            <v>-1364.9</v>
          </cell>
          <cell r="AM580" t="str">
            <v>OK</v>
          </cell>
          <cell r="AO580">
            <v>6.9785184413580286</v>
          </cell>
          <cell r="AP580">
            <v>-1.0214815586419714</v>
          </cell>
          <cell r="AQ580">
            <v>0</v>
          </cell>
          <cell r="AR580">
            <v>6.9785184413580286</v>
          </cell>
          <cell r="AS580">
            <v>0</v>
          </cell>
          <cell r="AT580">
            <v>46029</v>
          </cell>
          <cell r="AU580">
            <v>-1.0214815586419714</v>
          </cell>
          <cell r="AV580">
            <v>209.35555324074085</v>
          </cell>
          <cell r="AW580">
            <v>-1.0214815586419714</v>
          </cell>
          <cell r="AY580">
            <v>214.46369178241002</v>
          </cell>
          <cell r="AZ580" t="str">
            <v>F18</v>
          </cell>
          <cell r="BA580">
            <v>5.26</v>
          </cell>
          <cell r="BB580" t="str">
            <v>NSSC</v>
          </cell>
          <cell r="BC580" t="str">
            <v>F18</v>
          </cell>
        </row>
        <row r="581">
          <cell r="A581" t="str">
            <v>551D2</v>
          </cell>
          <cell r="B581" t="str">
            <v>3</v>
          </cell>
          <cell r="C581" t="str">
            <v>06</v>
          </cell>
          <cell r="D581">
            <v>21</v>
          </cell>
          <cell r="E581" t="str">
            <v>551D2</v>
          </cell>
          <cell r="F581">
            <v>12.37</v>
          </cell>
          <cell r="G581">
            <v>10</v>
          </cell>
          <cell r="H581">
            <v>10</v>
          </cell>
          <cell r="I581" t="str">
            <v>SC</v>
          </cell>
          <cell r="J581" t="str">
            <v>BB</v>
          </cell>
          <cell r="K581">
            <v>8</v>
          </cell>
          <cell r="L581">
            <v>45817</v>
          </cell>
          <cell r="M581">
            <v>45817</v>
          </cell>
          <cell r="N581">
            <v>177</v>
          </cell>
          <cell r="O581" t="str">
            <v>NS</v>
          </cell>
          <cell r="P581" t="str">
            <v/>
          </cell>
          <cell r="Q581">
            <v>46061</v>
          </cell>
          <cell r="R581" t="str">
            <v/>
          </cell>
          <cell r="S581" t="str">
            <v/>
          </cell>
          <cell r="T581" t="str">
            <v/>
          </cell>
          <cell r="U581">
            <v>68736</v>
          </cell>
          <cell r="V581">
            <v>70318</v>
          </cell>
          <cell r="W581" t="str">
            <v/>
          </cell>
          <cell r="X581" t="str">
            <v>Lokasi Produksi 551D2 ( pecahan 551D )</v>
          </cell>
          <cell r="Z581">
            <v>8</v>
          </cell>
          <cell r="AA581">
            <v>46061</v>
          </cell>
          <cell r="AB581">
            <v>247.59733611111005</v>
          </cell>
          <cell r="AC581">
            <v>8.253244537037002</v>
          </cell>
          <cell r="AD581">
            <v>0.253244537037002</v>
          </cell>
          <cell r="AE581">
            <v>15.55</v>
          </cell>
          <cell r="AF581">
            <v>0</v>
          </cell>
          <cell r="AG581">
            <v>-1366.4333333333334</v>
          </cell>
          <cell r="AM581" t="str">
            <v>OK</v>
          </cell>
          <cell r="AO581">
            <v>5.9118517746913612</v>
          </cell>
          <cell r="AP581">
            <v>-2.0881482253086388</v>
          </cell>
          <cell r="AQ581">
            <v>0</v>
          </cell>
          <cell r="AR581">
            <v>5.9118517746913612</v>
          </cell>
          <cell r="AS581">
            <v>0</v>
          </cell>
          <cell r="AT581">
            <v>46061</v>
          </cell>
          <cell r="AU581">
            <v>-2.0881482253086388</v>
          </cell>
          <cell r="AV581">
            <v>177.35555324074085</v>
          </cell>
          <cell r="AW581">
            <v>-2.0881482253086388</v>
          </cell>
          <cell r="AY581">
            <v>182.46369178241002</v>
          </cell>
          <cell r="AZ581" t="str">
            <v>F18</v>
          </cell>
          <cell r="BA581">
            <v>10</v>
          </cell>
          <cell r="BB581" t="str">
            <v>NSSC</v>
          </cell>
          <cell r="BC581" t="str">
            <v>F18</v>
          </cell>
        </row>
        <row r="582">
          <cell r="A582" t="str">
            <v>551D3</v>
          </cell>
          <cell r="B582" t="str">
            <v>3</v>
          </cell>
          <cell r="C582" t="str">
            <v>06</v>
          </cell>
          <cell r="D582">
            <v>21</v>
          </cell>
          <cell r="E582" t="str">
            <v>551D3</v>
          </cell>
          <cell r="F582">
            <v>9.93</v>
          </cell>
          <cell r="G582">
            <v>7.96</v>
          </cell>
          <cell r="H582">
            <v>7.96</v>
          </cell>
          <cell r="I582" t="str">
            <v>SC</v>
          </cell>
          <cell r="J582" t="str">
            <v>BB</v>
          </cell>
          <cell r="K582">
            <v>8</v>
          </cell>
          <cell r="L582">
            <v>45833</v>
          </cell>
          <cell r="M582">
            <v>45833</v>
          </cell>
          <cell r="N582">
            <v>161</v>
          </cell>
          <cell r="O582" t="str">
            <v>NS</v>
          </cell>
          <cell r="P582" t="str">
            <v/>
          </cell>
          <cell r="Q582">
            <v>46077</v>
          </cell>
          <cell r="R582" t="str">
            <v/>
          </cell>
          <cell r="S582" t="str">
            <v/>
          </cell>
          <cell r="T582" t="str">
            <v/>
          </cell>
          <cell r="U582">
            <v>61777</v>
          </cell>
          <cell r="V582">
            <v>68956</v>
          </cell>
          <cell r="W582" t="str">
            <v/>
          </cell>
          <cell r="X582" t="str">
            <v>Lokasi Produksi 551D3 ( pecahan 551D )</v>
          </cell>
          <cell r="Z582">
            <v>8</v>
          </cell>
          <cell r="AA582">
            <v>46077</v>
          </cell>
          <cell r="AB582">
            <v>4501.5973361111101</v>
          </cell>
          <cell r="AC582">
            <v>150.05324453703699</v>
          </cell>
          <cell r="AD582">
            <v>-20</v>
          </cell>
          <cell r="AE582">
            <v>0</v>
          </cell>
          <cell r="AF582">
            <v>0</v>
          </cell>
          <cell r="AG582">
            <v>-1224.6333333333334</v>
          </cell>
          <cell r="AK582">
            <v>40274</v>
          </cell>
          <cell r="AM582" t="str">
            <v>OK</v>
          </cell>
          <cell r="AO582">
            <v>5.378518441358028</v>
          </cell>
          <cell r="AP582">
            <v>-2.621481558641972</v>
          </cell>
          <cell r="AQ582">
            <v>0</v>
          </cell>
          <cell r="AR582">
            <v>5.378518441358028</v>
          </cell>
          <cell r="AS582">
            <v>0</v>
          </cell>
          <cell r="AT582">
            <v>46077</v>
          </cell>
          <cell r="AU582">
            <v>-2.621481558641972</v>
          </cell>
          <cell r="AV582">
            <v>161.35555324074085</v>
          </cell>
          <cell r="AW582">
            <v>-2.621481558641972</v>
          </cell>
          <cell r="AY582">
            <v>166.46369178241002</v>
          </cell>
          <cell r="AZ582" t="str">
            <v>F18</v>
          </cell>
          <cell r="BA582">
            <v>7.96</v>
          </cell>
          <cell r="BB582" t="str">
            <v>NSSC</v>
          </cell>
          <cell r="BC582" t="str">
            <v>F18</v>
          </cell>
        </row>
        <row r="583">
          <cell r="A583" t="str">
            <v>551E1</v>
          </cell>
          <cell r="B583" t="str">
            <v>3</v>
          </cell>
          <cell r="C583" t="str">
            <v>06</v>
          </cell>
          <cell r="D583">
            <v>21</v>
          </cell>
          <cell r="E583" t="str">
            <v>551E1</v>
          </cell>
          <cell r="F583">
            <v>6.88</v>
          </cell>
          <cell r="G583">
            <v>5.82</v>
          </cell>
          <cell r="H583">
            <v>5.82</v>
          </cell>
          <cell r="I583" t="str">
            <v>FC</v>
          </cell>
          <cell r="J583" t="str">
            <v>ST</v>
          </cell>
          <cell r="K583">
            <v>10</v>
          </cell>
          <cell r="L583">
            <v>45800</v>
          </cell>
          <cell r="M583">
            <v>45800</v>
          </cell>
          <cell r="N583">
            <v>194</v>
          </cell>
          <cell r="O583" t="str">
            <v>NS</v>
          </cell>
          <cell r="P583" t="str">
            <v>NSF18SB3</v>
          </cell>
          <cell r="Q583">
            <v>46105</v>
          </cell>
          <cell r="R583" t="str">
            <v/>
          </cell>
          <cell r="S583" t="str">
            <v/>
          </cell>
          <cell r="T583" t="str">
            <v/>
          </cell>
          <cell r="U583">
            <v>70540</v>
          </cell>
          <cell r="V583">
            <v>72117</v>
          </cell>
          <cell r="W583">
            <v>45533</v>
          </cell>
          <cell r="X583" t="str">
            <v>Lokasi Produksi 551E1 ( pecahan 551E )</v>
          </cell>
          <cell r="Z583">
            <v>10</v>
          </cell>
          <cell r="AA583">
            <v>46105</v>
          </cell>
          <cell r="AB583">
            <v>108.59733611111005</v>
          </cell>
          <cell r="AC583">
            <v>3.6199112037036683</v>
          </cell>
          <cell r="AD583">
            <v>-4.3800887962963317</v>
          </cell>
          <cell r="AE583">
            <v>11.78</v>
          </cell>
          <cell r="AF583">
            <v>0</v>
          </cell>
          <cell r="AG583">
            <v>-1371.0666666666666</v>
          </cell>
          <cell r="AM583" t="str">
            <v>OK</v>
          </cell>
          <cell r="AO583">
            <v>6.4785184413580286</v>
          </cell>
          <cell r="AP583">
            <v>-3.5214815586419714</v>
          </cell>
          <cell r="AQ583">
            <v>0</v>
          </cell>
          <cell r="AR583">
            <v>6.4785184413580286</v>
          </cell>
          <cell r="AS583">
            <v>0</v>
          </cell>
          <cell r="AT583">
            <v>46105</v>
          </cell>
          <cell r="AU583">
            <v>-3.5214815586419714</v>
          </cell>
          <cell r="AV583">
            <v>194.35555324074085</v>
          </cell>
          <cell r="AW583">
            <v>-3.5214815586419714</v>
          </cell>
          <cell r="AY583">
            <v>199.46369178241002</v>
          </cell>
          <cell r="AZ583" t="str">
            <v>F18</v>
          </cell>
          <cell r="BA583">
            <v>5.82</v>
          </cell>
          <cell r="BB583" t="str">
            <v>NSFC</v>
          </cell>
          <cell r="BC583" t="str">
            <v>F18SB</v>
          </cell>
        </row>
        <row r="584">
          <cell r="A584" t="str">
            <v>551E2</v>
          </cell>
          <cell r="B584" t="str">
            <v>3</v>
          </cell>
          <cell r="C584" t="str">
            <v>06</v>
          </cell>
          <cell r="D584">
            <v>21</v>
          </cell>
          <cell r="E584" t="str">
            <v>551E2</v>
          </cell>
          <cell r="F584">
            <v>5.4</v>
          </cell>
          <cell r="G584">
            <v>4.62</v>
          </cell>
          <cell r="H584">
            <v>4.62</v>
          </cell>
          <cell r="I584" t="str">
            <v>FC</v>
          </cell>
          <cell r="J584" t="str">
            <v>ST</v>
          </cell>
          <cell r="K584">
            <v>10</v>
          </cell>
          <cell r="L584">
            <v>45799</v>
          </cell>
          <cell r="M584">
            <v>45799</v>
          </cell>
          <cell r="N584">
            <v>195</v>
          </cell>
          <cell r="O584" t="str">
            <v>NS</v>
          </cell>
          <cell r="P584" t="str">
            <v>NSF18SB3</v>
          </cell>
          <cell r="Q584">
            <v>46104</v>
          </cell>
          <cell r="R584" t="str">
            <v/>
          </cell>
          <cell r="S584" t="str">
            <v/>
          </cell>
          <cell r="T584" t="str">
            <v/>
          </cell>
          <cell r="U584">
            <v>70508</v>
          </cell>
          <cell r="V584">
            <v>70875</v>
          </cell>
          <cell r="W584">
            <v>45898</v>
          </cell>
          <cell r="X584" t="str">
            <v>Lokasi Produksi 551E2 ( pecahan 551E )</v>
          </cell>
          <cell r="Z584">
            <v>10</v>
          </cell>
          <cell r="AA584">
            <v>46104</v>
          </cell>
          <cell r="AB584">
            <v>110.59733611111005</v>
          </cell>
          <cell r="AC584">
            <v>3.6865778703703351</v>
          </cell>
          <cell r="AD584">
            <v>-4.3134221296296644</v>
          </cell>
          <cell r="AE584">
            <v>9.3800000000000008</v>
          </cell>
          <cell r="AF584">
            <v>0</v>
          </cell>
          <cell r="AG584">
            <v>-1371</v>
          </cell>
          <cell r="AM584" t="str">
            <v>OK</v>
          </cell>
          <cell r="AO584">
            <v>6.5118517746913618</v>
          </cell>
          <cell r="AP584">
            <v>-3.4881482253086382</v>
          </cell>
          <cell r="AQ584">
            <v>0</v>
          </cell>
          <cell r="AR584">
            <v>6.5118517746913618</v>
          </cell>
          <cell r="AS584">
            <v>0</v>
          </cell>
          <cell r="AT584">
            <v>46104</v>
          </cell>
          <cell r="AU584">
            <v>-3.4881482253086382</v>
          </cell>
          <cell r="AV584">
            <v>195.35555324074085</v>
          </cell>
          <cell r="AW584">
            <v>-3.4881482253086382</v>
          </cell>
          <cell r="AY584">
            <v>200.46369178241002</v>
          </cell>
          <cell r="AZ584" t="str">
            <v>F18</v>
          </cell>
          <cell r="BA584">
            <v>4.62</v>
          </cell>
          <cell r="BB584" t="str">
            <v>NSFC</v>
          </cell>
          <cell r="BC584" t="str">
            <v>F18SB</v>
          </cell>
        </row>
        <row r="585">
          <cell r="A585" t="str">
            <v>551E3</v>
          </cell>
          <cell r="B585" t="str">
            <v>3</v>
          </cell>
          <cell r="C585" t="str">
            <v>06</v>
          </cell>
          <cell r="D585">
            <v>21</v>
          </cell>
          <cell r="E585" t="str">
            <v>551E3</v>
          </cell>
          <cell r="F585">
            <v>5.19</v>
          </cell>
          <cell r="G585">
            <v>3.97</v>
          </cell>
          <cell r="H585">
            <v>3.97</v>
          </cell>
          <cell r="I585" t="str">
            <v>SC</v>
          </cell>
          <cell r="J585" t="str">
            <v>FC</v>
          </cell>
          <cell r="K585">
            <v>8</v>
          </cell>
          <cell r="L585">
            <v>45692</v>
          </cell>
          <cell r="M585">
            <v>45692</v>
          </cell>
          <cell r="N585">
            <v>302</v>
          </cell>
          <cell r="O585" t="str">
            <v>NS</v>
          </cell>
          <cell r="P585" t="str">
            <v/>
          </cell>
          <cell r="Q585">
            <v>45936</v>
          </cell>
          <cell r="R585" t="str">
            <v/>
          </cell>
          <cell r="S585" t="str">
            <v/>
          </cell>
          <cell r="T585">
            <v>45926</v>
          </cell>
          <cell r="U585">
            <v>69619</v>
          </cell>
          <cell r="V585">
            <v>52621</v>
          </cell>
          <cell r="W585" t="str">
            <v/>
          </cell>
          <cell r="X585" t="str">
            <v>Lokasi Produksi 551E3 ( pecahan 551E )</v>
          </cell>
          <cell r="Z585">
            <v>8</v>
          </cell>
          <cell r="AA585">
            <v>45936</v>
          </cell>
          <cell r="AB585">
            <v>710.59733611111005</v>
          </cell>
          <cell r="AC585">
            <v>23.686577870370336</v>
          </cell>
          <cell r="AD585">
            <v>7.6865778703703356</v>
          </cell>
          <cell r="AE585">
            <v>13.46</v>
          </cell>
          <cell r="AF585">
            <v>0</v>
          </cell>
          <cell r="AG585">
            <v>-1351</v>
          </cell>
          <cell r="AM585" t="str">
            <v>OK</v>
          </cell>
          <cell r="AO585">
            <v>10.078518441358028</v>
          </cell>
          <cell r="AP585">
            <v>2.0785184413580282</v>
          </cell>
          <cell r="AQ585">
            <v>45926</v>
          </cell>
          <cell r="AR585">
            <v>7.8</v>
          </cell>
          <cell r="AS585">
            <v>2.2785184413580284</v>
          </cell>
          <cell r="AT585">
            <v>45936</v>
          </cell>
          <cell r="AU585">
            <v>2.2785184413580284</v>
          </cell>
          <cell r="AV585">
            <v>234</v>
          </cell>
          <cell r="AW585">
            <v>2.2785184413580284</v>
          </cell>
          <cell r="AY585">
            <v>307.46369178241002</v>
          </cell>
          <cell r="AZ585" t="str">
            <v>F18</v>
          </cell>
          <cell r="BA585">
            <v>3.97</v>
          </cell>
          <cell r="BB585" t="str">
            <v>NSSC</v>
          </cell>
          <cell r="BC585" t="str">
            <v>F18</v>
          </cell>
        </row>
        <row r="586">
          <cell r="A586" t="str">
            <v>551F1A</v>
          </cell>
          <cell r="B586" t="str">
            <v>3</v>
          </cell>
          <cell r="C586" t="str">
            <v>06</v>
          </cell>
          <cell r="D586">
            <v>21</v>
          </cell>
          <cell r="E586" t="str">
            <v>551F1A</v>
          </cell>
          <cell r="F586">
            <v>6.11</v>
          </cell>
          <cell r="G586">
            <v>5.21</v>
          </cell>
          <cell r="H586">
            <v>5.21</v>
          </cell>
          <cell r="I586" t="str">
            <v>FC</v>
          </cell>
          <cell r="J586" t="str">
            <v>ST</v>
          </cell>
          <cell r="K586">
            <v>12</v>
          </cell>
          <cell r="L586">
            <v>45816</v>
          </cell>
          <cell r="M586">
            <v>45816</v>
          </cell>
          <cell r="N586">
            <v>178</v>
          </cell>
          <cell r="O586" t="str">
            <v>NS</v>
          </cell>
          <cell r="P586" t="str">
            <v>NSF18SS3</v>
          </cell>
          <cell r="Q586">
            <v>46182</v>
          </cell>
          <cell r="R586" t="str">
            <v/>
          </cell>
          <cell r="S586" t="str">
            <v/>
          </cell>
          <cell r="T586" t="str">
            <v/>
          </cell>
          <cell r="U586">
            <v>71533</v>
          </cell>
          <cell r="V586">
            <v>72155</v>
          </cell>
          <cell r="W586">
            <v>45928</v>
          </cell>
          <cell r="X586" t="str">
            <v>Lokasi Produksi 551F1A ( pecahan 551F1 )</v>
          </cell>
          <cell r="Z586">
            <v>12</v>
          </cell>
          <cell r="AA586">
            <v>46182</v>
          </cell>
          <cell r="AB586">
            <v>110.59733611111005</v>
          </cell>
          <cell r="AC586">
            <v>3.6865778703703351</v>
          </cell>
          <cell r="AD586">
            <v>-4.3134221296296644</v>
          </cell>
          <cell r="AE586">
            <v>18.53</v>
          </cell>
          <cell r="AF586">
            <v>0</v>
          </cell>
          <cell r="AG586">
            <v>-1371</v>
          </cell>
          <cell r="AM586" t="str">
            <v>OK</v>
          </cell>
          <cell r="AO586">
            <v>5.9451851080246945</v>
          </cell>
          <cell r="AP586">
            <v>-6.0548148919753055</v>
          </cell>
          <cell r="AQ586">
            <v>0</v>
          </cell>
          <cell r="AR586">
            <v>5.9451851080246945</v>
          </cell>
          <cell r="AS586">
            <v>0</v>
          </cell>
          <cell r="AT586">
            <v>46182</v>
          </cell>
          <cell r="AU586">
            <v>-6.0548148919753055</v>
          </cell>
          <cell r="AV586">
            <v>178.35555324074085</v>
          </cell>
          <cell r="AW586">
            <v>-6.0548148919753055</v>
          </cell>
          <cell r="AY586">
            <v>183.46369178241002</v>
          </cell>
          <cell r="AZ586" t="str">
            <v>F18</v>
          </cell>
          <cell r="BA586">
            <v>5.21</v>
          </cell>
          <cell r="BB586" t="str">
            <v>NSFC</v>
          </cell>
          <cell r="BC586" t="str">
            <v>F18SS</v>
          </cell>
        </row>
        <row r="587">
          <cell r="A587" t="str">
            <v>551F1B</v>
          </cell>
          <cell r="B587" t="str">
            <v>3</v>
          </cell>
          <cell r="C587" t="str">
            <v>06</v>
          </cell>
          <cell r="D587">
            <v>21</v>
          </cell>
          <cell r="E587" t="str">
            <v>551F1B</v>
          </cell>
          <cell r="F587">
            <v>5.73</v>
          </cell>
          <cell r="G587">
            <v>4.8099999999999996</v>
          </cell>
          <cell r="H587">
            <v>4.8099999999999996</v>
          </cell>
          <cell r="I587" t="str">
            <v>FC</v>
          </cell>
          <cell r="J587" t="str">
            <v>ST</v>
          </cell>
          <cell r="K587">
            <v>12</v>
          </cell>
          <cell r="L587">
            <v>45813</v>
          </cell>
          <cell r="M587">
            <v>45813</v>
          </cell>
          <cell r="N587">
            <v>181</v>
          </cell>
          <cell r="O587" t="str">
            <v>NS</v>
          </cell>
          <cell r="P587" t="str">
            <v>NSF18SS3</v>
          </cell>
          <cell r="Q587">
            <v>46179</v>
          </cell>
          <cell r="R587" t="str">
            <v/>
          </cell>
          <cell r="S587" t="str">
            <v/>
          </cell>
          <cell r="T587" t="str">
            <v/>
          </cell>
          <cell r="U587">
            <v>71091</v>
          </cell>
          <cell r="V587">
            <v>71640</v>
          </cell>
          <cell r="W587">
            <v>45704</v>
          </cell>
          <cell r="X587" t="str">
            <v>Lokasi Produksi 551F1B ( pecahan 551F1 )</v>
          </cell>
          <cell r="Z587">
            <v>12</v>
          </cell>
          <cell r="AA587">
            <v>46179</v>
          </cell>
          <cell r="AB587">
            <v>4501.5973361111101</v>
          </cell>
          <cell r="AC587">
            <v>150.05324453703699</v>
          </cell>
          <cell r="AD587">
            <v>-20</v>
          </cell>
          <cell r="AE587">
            <v>0</v>
          </cell>
          <cell r="AF587">
            <v>0</v>
          </cell>
          <cell r="AG587">
            <v>-1224.6333333333334</v>
          </cell>
          <cell r="AM587" t="str">
            <v>OK</v>
          </cell>
          <cell r="AO587">
            <v>6.045185108024695</v>
          </cell>
          <cell r="AP587">
            <v>-5.954814891975305</v>
          </cell>
          <cell r="AQ587">
            <v>0</v>
          </cell>
          <cell r="AR587">
            <v>6.045185108024695</v>
          </cell>
          <cell r="AS587">
            <v>0</v>
          </cell>
          <cell r="AT587">
            <v>46179</v>
          </cell>
          <cell r="AU587">
            <v>-5.954814891975305</v>
          </cell>
          <cell r="AV587">
            <v>181.35555324074085</v>
          </cell>
          <cell r="AW587">
            <v>-5.954814891975305</v>
          </cell>
          <cell r="AY587">
            <v>186.46369178241002</v>
          </cell>
          <cell r="AZ587" t="str">
            <v>F18</v>
          </cell>
          <cell r="BA587">
            <v>4.8099999999999996</v>
          </cell>
          <cell r="BB587" t="str">
            <v>NSFC</v>
          </cell>
          <cell r="BC587" t="str">
            <v>F18SS</v>
          </cell>
        </row>
        <row r="588">
          <cell r="A588" t="str">
            <v>551F2A</v>
          </cell>
          <cell r="B588" t="str">
            <v>3</v>
          </cell>
          <cell r="C588" t="str">
            <v>06</v>
          </cell>
          <cell r="D588">
            <v>21</v>
          </cell>
          <cell r="E588" t="str">
            <v>551F2A</v>
          </cell>
          <cell r="F588">
            <v>4.8600000000000003</v>
          </cell>
          <cell r="G588">
            <v>4.18</v>
          </cell>
          <cell r="H588">
            <v>4.18</v>
          </cell>
          <cell r="I588" t="str">
            <v>FC</v>
          </cell>
          <cell r="J588" t="str">
            <v>ST</v>
          </cell>
          <cell r="K588">
            <v>10</v>
          </cell>
          <cell r="L588">
            <v>45815</v>
          </cell>
          <cell r="M588">
            <v>45815</v>
          </cell>
          <cell r="N588">
            <v>179</v>
          </cell>
          <cell r="O588" t="str">
            <v>NS</v>
          </cell>
          <cell r="P588" t="str">
            <v>NSF18SB3</v>
          </cell>
          <cell r="Q588">
            <v>46120</v>
          </cell>
          <cell r="R588" t="str">
            <v/>
          </cell>
          <cell r="S588" t="str">
            <v/>
          </cell>
          <cell r="T588" t="str">
            <v/>
          </cell>
          <cell r="U588">
            <v>72703</v>
          </cell>
          <cell r="V588">
            <v>71986</v>
          </cell>
          <cell r="W588">
            <v>45928</v>
          </cell>
          <cell r="X588" t="str">
            <v>Lokasi Produksi 551F2A ( pecahan 551F2 )</v>
          </cell>
          <cell r="Z588">
            <v>10</v>
          </cell>
          <cell r="AA588">
            <v>46120</v>
          </cell>
          <cell r="AB588">
            <v>180.59733611111005</v>
          </cell>
          <cell r="AC588">
            <v>6.0199112037036686</v>
          </cell>
          <cell r="AD588">
            <v>-1.9800887962963314</v>
          </cell>
          <cell r="AE588">
            <v>15.21</v>
          </cell>
          <cell r="AF588">
            <v>0</v>
          </cell>
          <cell r="AG588">
            <v>-1368.6666666666667</v>
          </cell>
          <cell r="AM588" t="str">
            <v>OK</v>
          </cell>
          <cell r="AO588">
            <v>5.9785184413580286</v>
          </cell>
          <cell r="AP588">
            <v>-4.0214815586419714</v>
          </cell>
          <cell r="AQ588">
            <v>0</v>
          </cell>
          <cell r="AR588">
            <v>5.9785184413580286</v>
          </cell>
          <cell r="AS588">
            <v>0</v>
          </cell>
          <cell r="AT588">
            <v>46120</v>
          </cell>
          <cell r="AU588">
            <v>-4.0214815586419714</v>
          </cell>
          <cell r="AV588">
            <v>179.35555324074085</v>
          </cell>
          <cell r="AW588">
            <v>-4.0214815586419714</v>
          </cell>
          <cell r="AY588">
            <v>184.46369178241002</v>
          </cell>
          <cell r="AZ588" t="str">
            <v>F18</v>
          </cell>
          <cell r="BA588">
            <v>4.18</v>
          </cell>
          <cell r="BB588" t="str">
            <v>NSFC</v>
          </cell>
          <cell r="BC588" t="str">
            <v>F18SB</v>
          </cell>
        </row>
        <row r="589">
          <cell r="A589" t="str">
            <v>551F2B</v>
          </cell>
          <cell r="B589" t="str">
            <v>3</v>
          </cell>
          <cell r="C589" t="str">
            <v>06</v>
          </cell>
          <cell r="D589">
            <v>21</v>
          </cell>
          <cell r="E589" t="str">
            <v>551F2B</v>
          </cell>
          <cell r="F589">
            <v>6.68</v>
          </cell>
          <cell r="G589">
            <v>5.67</v>
          </cell>
          <cell r="H589">
            <v>5.67</v>
          </cell>
          <cell r="I589" t="str">
            <v>FC</v>
          </cell>
          <cell r="J589" t="str">
            <v>ST</v>
          </cell>
          <cell r="K589">
            <v>10</v>
          </cell>
          <cell r="L589">
            <v>45811</v>
          </cell>
          <cell r="M589">
            <v>45811</v>
          </cell>
          <cell r="N589">
            <v>183</v>
          </cell>
          <cell r="O589" t="str">
            <v>NS</v>
          </cell>
          <cell r="P589" t="str">
            <v>NSF18SB3</v>
          </cell>
          <cell r="Q589">
            <v>46116</v>
          </cell>
          <cell r="R589" t="str">
            <v/>
          </cell>
          <cell r="S589" t="str">
            <v/>
          </cell>
          <cell r="T589" t="str">
            <v/>
          </cell>
          <cell r="U589">
            <v>69981</v>
          </cell>
          <cell r="V589">
            <v>71473</v>
          </cell>
          <cell r="W589">
            <v>45928</v>
          </cell>
          <cell r="X589" t="str">
            <v>Lokasi Produksi 551F2B ( pecahan 551F2 )</v>
          </cell>
          <cell r="Z589">
            <v>10</v>
          </cell>
          <cell r="AA589">
            <v>46116</v>
          </cell>
          <cell r="AB589">
            <v>533.59733611111005</v>
          </cell>
          <cell r="AC589">
            <v>17.786577870370333</v>
          </cell>
          <cell r="AD589">
            <v>5.7865778703703334</v>
          </cell>
          <cell r="AE589">
            <v>8.51</v>
          </cell>
          <cell r="AF589">
            <v>0</v>
          </cell>
          <cell r="AG589">
            <v>-1356.9</v>
          </cell>
          <cell r="AM589" t="str">
            <v>OK</v>
          </cell>
          <cell r="AO589">
            <v>6.1118517746913614</v>
          </cell>
          <cell r="AP589">
            <v>-3.8881482253086386</v>
          </cell>
          <cell r="AQ589">
            <v>0</v>
          </cell>
          <cell r="AR589">
            <v>6.1118517746913614</v>
          </cell>
          <cell r="AS589">
            <v>0</v>
          </cell>
          <cell r="AT589">
            <v>46116</v>
          </cell>
          <cell r="AU589">
            <v>-3.8881482253086386</v>
          </cell>
          <cell r="AV589">
            <v>183.35555324074085</v>
          </cell>
          <cell r="AW589">
            <v>-3.8881482253086386</v>
          </cell>
          <cell r="AY589">
            <v>188.46369178241002</v>
          </cell>
          <cell r="AZ589" t="str">
            <v>F18</v>
          </cell>
          <cell r="BA589">
            <v>5.67</v>
          </cell>
          <cell r="BB589" t="str">
            <v>NSFC</v>
          </cell>
          <cell r="BC589" t="str">
            <v>F18SB</v>
          </cell>
        </row>
        <row r="590">
          <cell r="A590" t="str">
            <v>551G</v>
          </cell>
          <cell r="B590" t="str">
            <v>3</v>
          </cell>
          <cell r="C590" t="str">
            <v>06</v>
          </cell>
          <cell r="D590">
            <v>21</v>
          </cell>
          <cell r="E590" t="str">
            <v>551G</v>
          </cell>
          <cell r="F590">
            <v>8.9499999999999993</v>
          </cell>
          <cell r="G590">
            <v>7.3</v>
          </cell>
          <cell r="H590">
            <v>7.3</v>
          </cell>
          <cell r="I590" t="str">
            <v>SC</v>
          </cell>
          <cell r="J590" t="str">
            <v>FC</v>
          </cell>
          <cell r="K590">
            <v>8</v>
          </cell>
          <cell r="L590">
            <v>45933</v>
          </cell>
          <cell r="M590">
            <v>45933</v>
          </cell>
          <cell r="N590">
            <v>61</v>
          </cell>
          <cell r="O590" t="str">
            <v>NS</v>
          </cell>
          <cell r="P590" t="str">
            <v/>
          </cell>
          <cell r="Q590">
            <v>46177</v>
          </cell>
          <cell r="R590" t="str">
            <v/>
          </cell>
          <cell r="S590" t="str">
            <v/>
          </cell>
          <cell r="T590" t="str">
            <v/>
          </cell>
          <cell r="U590">
            <v>70021</v>
          </cell>
          <cell r="V590">
            <v>70510</v>
          </cell>
          <cell r="W590">
            <v>45311</v>
          </cell>
          <cell r="X590" t="str">
            <v>Lokasi Produksi 551G</v>
          </cell>
          <cell r="Z590">
            <v>8</v>
          </cell>
          <cell r="AA590">
            <v>46177</v>
          </cell>
          <cell r="AB590">
            <v>881.59733611111005</v>
          </cell>
          <cell r="AC590">
            <v>29.386577870370335</v>
          </cell>
          <cell r="AD590">
            <v>-20</v>
          </cell>
          <cell r="AE590">
            <v>0</v>
          </cell>
          <cell r="AF590">
            <v>0</v>
          </cell>
          <cell r="AG590">
            <v>-1345.3</v>
          </cell>
          <cell r="AK590">
            <v>40294</v>
          </cell>
          <cell r="AM590" t="str">
            <v>OK</v>
          </cell>
          <cell r="AO590">
            <v>2.045185108024695</v>
          </cell>
          <cell r="AP590">
            <v>-5.954814891975305</v>
          </cell>
          <cell r="AQ590">
            <v>0</v>
          </cell>
          <cell r="AR590">
            <v>2.045185108024695</v>
          </cell>
          <cell r="AS590">
            <v>0</v>
          </cell>
          <cell r="AT590">
            <v>46177</v>
          </cell>
          <cell r="AU590">
            <v>-5.954814891975305</v>
          </cell>
          <cell r="AV590">
            <v>61.355553240740846</v>
          </cell>
          <cell r="AW590">
            <v>-5.954814891975305</v>
          </cell>
          <cell r="AY590">
            <v>66.463691782410024</v>
          </cell>
          <cell r="AZ590" t="str">
            <v>F18</v>
          </cell>
          <cell r="BA590">
            <v>7.3</v>
          </cell>
          <cell r="BB590" t="str">
            <v>NSSC</v>
          </cell>
          <cell r="BC590" t="str">
            <v>F18</v>
          </cell>
        </row>
        <row r="591">
          <cell r="A591" t="str">
            <v>551H</v>
          </cell>
          <cell r="B591" t="str">
            <v>3</v>
          </cell>
          <cell r="C591" t="str">
            <v>06</v>
          </cell>
          <cell r="D591">
            <v>21</v>
          </cell>
          <cell r="E591" t="str">
            <v>551H</v>
          </cell>
          <cell r="F591">
            <v>14.13</v>
          </cell>
          <cell r="G591">
            <v>10.94</v>
          </cell>
          <cell r="H591">
            <v>10.94</v>
          </cell>
          <cell r="I591" t="str">
            <v>SC</v>
          </cell>
          <cell r="J591" t="str">
            <v>FC</v>
          </cell>
          <cell r="K591">
            <v>8</v>
          </cell>
          <cell r="L591">
            <v>45653</v>
          </cell>
          <cell r="M591">
            <v>45653</v>
          </cell>
          <cell r="N591">
            <v>341</v>
          </cell>
          <cell r="O591" t="str">
            <v>NS</v>
          </cell>
          <cell r="P591" t="str">
            <v/>
          </cell>
          <cell r="Q591">
            <v>45897</v>
          </cell>
          <cell r="R591" t="str">
            <v/>
          </cell>
          <cell r="S591" t="str">
            <v/>
          </cell>
          <cell r="T591">
            <v>45889</v>
          </cell>
          <cell r="U591">
            <v>71083</v>
          </cell>
          <cell r="V591">
            <v>52598</v>
          </cell>
          <cell r="W591">
            <v>45058</v>
          </cell>
          <cell r="X591" t="str">
            <v>Lokasi Produksi 551H</v>
          </cell>
          <cell r="Z591">
            <v>8</v>
          </cell>
          <cell r="AA591">
            <v>45897</v>
          </cell>
          <cell r="AB591">
            <v>4501.5973361111101</v>
          </cell>
          <cell r="AC591">
            <v>150.05324453703699</v>
          </cell>
          <cell r="AD591">
            <v>-20</v>
          </cell>
          <cell r="AE591">
            <v>0</v>
          </cell>
          <cell r="AF591">
            <v>0</v>
          </cell>
          <cell r="AG591">
            <v>-1224.6333333333334</v>
          </cell>
          <cell r="AM591" t="str">
            <v>OK</v>
          </cell>
          <cell r="AO591">
            <v>11.378518441358029</v>
          </cell>
          <cell r="AP591">
            <v>3.3785184413580289</v>
          </cell>
          <cell r="AQ591">
            <v>45889</v>
          </cell>
          <cell r="AR591">
            <v>7.8666666666666663</v>
          </cell>
          <cell r="AS591">
            <v>3.5118517746913627</v>
          </cell>
          <cell r="AT591">
            <v>45897</v>
          </cell>
          <cell r="AU591">
            <v>3.5118517746913627</v>
          </cell>
          <cell r="AV591">
            <v>236</v>
          </cell>
          <cell r="AW591">
            <v>3.5118517746913627</v>
          </cell>
          <cell r="AY591">
            <v>346.46369178241002</v>
          </cell>
          <cell r="AZ591" t="str">
            <v>F18</v>
          </cell>
          <cell r="BA591">
            <v>10.94</v>
          </cell>
          <cell r="BB591" t="str">
            <v>NSSC</v>
          </cell>
          <cell r="BC591" t="str">
            <v>F18</v>
          </cell>
        </row>
        <row r="592">
          <cell r="A592" t="str">
            <v>552A1</v>
          </cell>
          <cell r="B592" t="str">
            <v>3</v>
          </cell>
          <cell r="C592" t="str">
            <v>06</v>
          </cell>
          <cell r="D592">
            <v>21</v>
          </cell>
          <cell r="E592" t="str">
            <v>552A1</v>
          </cell>
          <cell r="F592">
            <v>8.11</v>
          </cell>
          <cell r="G592">
            <v>5.61</v>
          </cell>
          <cell r="H592">
            <v>5.61</v>
          </cell>
          <cell r="I592" t="str">
            <v>Y2</v>
          </cell>
          <cell r="J592" t="str">
            <v>FC</v>
          </cell>
          <cell r="K592">
            <v>0</v>
          </cell>
          <cell r="L592">
            <v>45618</v>
          </cell>
          <cell r="M592">
            <v>45618</v>
          </cell>
          <cell r="N592">
            <v>376</v>
          </cell>
          <cell r="O592" t="str">
            <v>PS</v>
          </cell>
          <cell r="P592" t="str">
            <v/>
          </cell>
          <cell r="Q592">
            <v>45618</v>
          </cell>
          <cell r="R592" t="str">
            <v/>
          </cell>
          <cell r="S592" t="str">
            <v/>
          </cell>
          <cell r="T592" t="str">
            <v/>
          </cell>
          <cell r="U592">
            <v>15253</v>
          </cell>
          <cell r="V592" t="str">
            <v/>
          </cell>
          <cell r="W592" t="str">
            <v/>
          </cell>
          <cell r="X592" t="str">
            <v>Lokasi Produksi 552A1 ( pecahan 552A )</v>
          </cell>
          <cell r="Z592">
            <v>0</v>
          </cell>
          <cell r="AA592">
            <v>45618</v>
          </cell>
          <cell r="AB592">
            <v>665.59733611111005</v>
          </cell>
          <cell r="AC592">
            <v>22.186577870370336</v>
          </cell>
          <cell r="AD592">
            <v>-20</v>
          </cell>
          <cell r="AE592">
            <v>0</v>
          </cell>
          <cell r="AF592">
            <v>0</v>
          </cell>
          <cell r="AG592">
            <v>-1352.5</v>
          </cell>
          <cell r="AM592" t="str">
            <v>OK</v>
          </cell>
          <cell r="AO592">
            <v>12.545185108024695</v>
          </cell>
          <cell r="AP592">
            <v>12.545185108024695</v>
          </cell>
          <cell r="AQ592">
            <v>0</v>
          </cell>
          <cell r="AR592">
            <v>12.545185108024695</v>
          </cell>
          <cell r="AS592">
            <v>0</v>
          </cell>
          <cell r="AT592">
            <v>45618</v>
          </cell>
          <cell r="AU592">
            <v>12.545185108024695</v>
          </cell>
          <cell r="AV592">
            <v>376.35555324074085</v>
          </cell>
          <cell r="AW592">
            <v>12.545185108024695</v>
          </cell>
          <cell r="AY592">
            <v>381.46369178241002</v>
          </cell>
          <cell r="AZ592" t="str">
            <v>F18</v>
          </cell>
          <cell r="BA592">
            <v>0</v>
          </cell>
          <cell r="BB592" t="str">
            <v>PSY2</v>
          </cell>
          <cell r="BC592" t="str">
            <v>F18</v>
          </cell>
        </row>
        <row r="593">
          <cell r="A593" t="str">
            <v>552A2</v>
          </cell>
          <cell r="B593" t="str">
            <v>3</v>
          </cell>
          <cell r="C593" t="str">
            <v>06</v>
          </cell>
          <cell r="D593">
            <v>21</v>
          </cell>
          <cell r="E593" t="str">
            <v>552A2</v>
          </cell>
          <cell r="F593">
            <v>7.48</v>
          </cell>
          <cell r="G593">
            <v>5.09</v>
          </cell>
          <cell r="H593">
            <v>5.09</v>
          </cell>
          <cell r="I593" t="str">
            <v>Y2</v>
          </cell>
          <cell r="J593" t="str">
            <v>FC</v>
          </cell>
          <cell r="K593">
            <v>0</v>
          </cell>
          <cell r="L593">
            <v>45618</v>
          </cell>
          <cell r="M593">
            <v>45618</v>
          </cell>
          <cell r="N593">
            <v>376</v>
          </cell>
          <cell r="O593" t="str">
            <v>PS</v>
          </cell>
          <cell r="P593" t="str">
            <v/>
          </cell>
          <cell r="Q593">
            <v>45618</v>
          </cell>
          <cell r="R593" t="str">
            <v/>
          </cell>
          <cell r="S593" t="str">
            <v/>
          </cell>
          <cell r="T593" t="str">
            <v/>
          </cell>
          <cell r="U593">
            <v>13471</v>
          </cell>
          <cell r="V593" t="str">
            <v/>
          </cell>
          <cell r="W593">
            <v>45618</v>
          </cell>
          <cell r="X593" t="str">
            <v>Lokasi Produksi 552A2 ( pecahan 552A )</v>
          </cell>
          <cell r="Z593">
            <v>0</v>
          </cell>
          <cell r="AA593">
            <v>45618</v>
          </cell>
          <cell r="AB593">
            <v>271.59733611111005</v>
          </cell>
          <cell r="AC593">
            <v>9.0532445370370009</v>
          </cell>
          <cell r="AD593">
            <v>-20</v>
          </cell>
          <cell r="AE593">
            <v>0</v>
          </cell>
          <cell r="AF593">
            <v>0</v>
          </cell>
          <cell r="AG593">
            <v>-1365.6333333333334</v>
          </cell>
          <cell r="AM593" t="str">
            <v>OK</v>
          </cell>
          <cell r="AO593">
            <v>12.545185108024695</v>
          </cell>
          <cell r="AP593">
            <v>12.545185108024695</v>
          </cell>
          <cell r="AQ593">
            <v>0</v>
          </cell>
          <cell r="AR593">
            <v>12.545185108024695</v>
          </cell>
          <cell r="AS593">
            <v>0</v>
          </cell>
          <cell r="AT593">
            <v>45618</v>
          </cell>
          <cell r="AU593">
            <v>12.545185108024695</v>
          </cell>
          <cell r="AV593">
            <v>376.35555324074085</v>
          </cell>
          <cell r="AW593">
            <v>12.545185108024695</v>
          </cell>
          <cell r="AY593">
            <v>381.46369178241002</v>
          </cell>
          <cell r="AZ593" t="str">
            <v>F18</v>
          </cell>
          <cell r="BA593">
            <v>0</v>
          </cell>
          <cell r="BB593" t="str">
            <v>PSY2</v>
          </cell>
          <cell r="BC593" t="str">
            <v>F18</v>
          </cell>
        </row>
        <row r="594">
          <cell r="A594" t="str">
            <v>552B1</v>
          </cell>
          <cell r="B594" t="str">
            <v>3</v>
          </cell>
          <cell r="C594" t="str">
            <v>06</v>
          </cell>
          <cell r="D594">
            <v>21</v>
          </cell>
          <cell r="E594" t="str">
            <v>552B1</v>
          </cell>
          <cell r="F594">
            <v>4.83</v>
          </cell>
          <cell r="G594">
            <v>3.41</v>
          </cell>
          <cell r="H594">
            <v>3.41</v>
          </cell>
          <cell r="I594" t="str">
            <v>Y2</v>
          </cell>
          <cell r="J594" t="str">
            <v>FC</v>
          </cell>
          <cell r="K594">
            <v>0</v>
          </cell>
          <cell r="L594">
            <v>45681</v>
          </cell>
          <cell r="M594">
            <v>45681</v>
          </cell>
          <cell r="N594">
            <v>313</v>
          </cell>
          <cell r="O594" t="str">
            <v>PS</v>
          </cell>
          <cell r="P594" t="str">
            <v/>
          </cell>
          <cell r="Q594">
            <v>45681</v>
          </cell>
          <cell r="R594" t="str">
            <v/>
          </cell>
          <cell r="S594" t="str">
            <v/>
          </cell>
          <cell r="T594" t="str">
            <v/>
          </cell>
          <cell r="U594">
            <v>9460</v>
          </cell>
          <cell r="V594" t="str">
            <v/>
          </cell>
          <cell r="W594">
            <v>45681</v>
          </cell>
          <cell r="X594" t="str">
            <v>Lokasi Produksi 552B1 ( pecahan 552B )</v>
          </cell>
          <cell r="Z594">
            <v>0</v>
          </cell>
          <cell r="AA594">
            <v>45681</v>
          </cell>
          <cell r="AB594">
            <v>485.59733611111005</v>
          </cell>
          <cell r="AC594">
            <v>16.186577870370336</v>
          </cell>
          <cell r="AD594">
            <v>-20</v>
          </cell>
          <cell r="AE594">
            <v>0</v>
          </cell>
          <cell r="AF594">
            <v>0</v>
          </cell>
          <cell r="AG594">
            <v>-1358.5</v>
          </cell>
          <cell r="AM594" t="str">
            <v>OK</v>
          </cell>
          <cell r="AO594">
            <v>10.445185108024695</v>
          </cell>
          <cell r="AP594">
            <v>10.445185108024695</v>
          </cell>
          <cell r="AQ594">
            <v>0</v>
          </cell>
          <cell r="AR594">
            <v>10.445185108024695</v>
          </cell>
          <cell r="AS594">
            <v>0</v>
          </cell>
          <cell r="AT594">
            <v>45681</v>
          </cell>
          <cell r="AU594">
            <v>10.445185108024695</v>
          </cell>
          <cell r="AV594">
            <v>313.35555324074085</v>
          </cell>
          <cell r="AW594">
            <v>10.445185108024695</v>
          </cell>
          <cell r="AY594">
            <v>318.46369178241002</v>
          </cell>
          <cell r="AZ594" t="str">
            <v>F18</v>
          </cell>
          <cell r="BA594">
            <v>0</v>
          </cell>
          <cell r="BB594" t="str">
            <v>PSY2</v>
          </cell>
          <cell r="BC594" t="str">
            <v>F18</v>
          </cell>
        </row>
        <row r="595">
          <cell r="A595" t="str">
            <v>552B2</v>
          </cell>
          <cell r="B595" t="str">
            <v>3</v>
          </cell>
          <cell r="C595" t="str">
            <v>06</v>
          </cell>
          <cell r="D595">
            <v>21</v>
          </cell>
          <cell r="E595" t="str">
            <v>552B2</v>
          </cell>
          <cell r="F595">
            <v>8.2899999999999991</v>
          </cell>
          <cell r="G595">
            <v>5.89</v>
          </cell>
          <cell r="H595">
            <v>5.89</v>
          </cell>
          <cell r="I595" t="str">
            <v>Y2</v>
          </cell>
          <cell r="J595" t="str">
            <v>FC</v>
          </cell>
          <cell r="K595">
            <v>0</v>
          </cell>
          <cell r="L595">
            <v>45681</v>
          </cell>
          <cell r="M595">
            <v>45681</v>
          </cell>
          <cell r="N595">
            <v>313</v>
          </cell>
          <cell r="O595" t="str">
            <v>PS</v>
          </cell>
          <cell r="P595" t="str">
            <v/>
          </cell>
          <cell r="Q595">
            <v>45681</v>
          </cell>
          <cell r="R595" t="str">
            <v/>
          </cell>
          <cell r="S595" t="str">
            <v/>
          </cell>
          <cell r="T595" t="str">
            <v/>
          </cell>
          <cell r="U595">
            <v>15914</v>
          </cell>
          <cell r="V595" t="str">
            <v/>
          </cell>
          <cell r="W595">
            <v>45681</v>
          </cell>
          <cell r="X595" t="str">
            <v>Lokasi Produksi 552B2 ( pecahan 552B )</v>
          </cell>
          <cell r="Z595">
            <v>0</v>
          </cell>
          <cell r="AA595">
            <v>45681</v>
          </cell>
          <cell r="AB595">
            <v>267.59733611111005</v>
          </cell>
          <cell r="AC595">
            <v>8.9199112037036681</v>
          </cell>
          <cell r="AD595">
            <v>-20</v>
          </cell>
          <cell r="AE595">
            <v>0</v>
          </cell>
          <cell r="AF595">
            <v>0</v>
          </cell>
          <cell r="AG595">
            <v>-1365.7666666666667</v>
          </cell>
          <cell r="AM595" t="str">
            <v>OK</v>
          </cell>
          <cell r="AO595">
            <v>10.445185108024695</v>
          </cell>
          <cell r="AP595">
            <v>10.445185108024695</v>
          </cell>
          <cell r="AQ595">
            <v>0</v>
          </cell>
          <cell r="AR595">
            <v>10.445185108024695</v>
          </cell>
          <cell r="AS595">
            <v>0</v>
          </cell>
          <cell r="AT595">
            <v>45681</v>
          </cell>
          <cell r="AU595">
            <v>10.445185108024695</v>
          </cell>
          <cell r="AV595">
            <v>313.35555324074085</v>
          </cell>
          <cell r="AW595">
            <v>10.445185108024695</v>
          </cell>
          <cell r="AY595">
            <v>318.46369178241002</v>
          </cell>
          <cell r="AZ595" t="str">
            <v>F18</v>
          </cell>
          <cell r="BA595">
            <v>0</v>
          </cell>
          <cell r="BB595" t="str">
            <v>PSY2</v>
          </cell>
          <cell r="BC595" t="str">
            <v>F18</v>
          </cell>
        </row>
        <row r="596">
          <cell r="A596" t="str">
            <v>552C1</v>
          </cell>
          <cell r="B596" t="str">
            <v>3</v>
          </cell>
          <cell r="C596" t="str">
            <v>06</v>
          </cell>
          <cell r="D596">
            <v>21</v>
          </cell>
          <cell r="E596" t="str">
            <v>552C1</v>
          </cell>
          <cell r="F596">
            <v>4.8099999999999996</v>
          </cell>
          <cell r="G596">
            <v>3.6</v>
          </cell>
          <cell r="H596">
            <v>3.6</v>
          </cell>
          <cell r="I596" t="str">
            <v>Y2</v>
          </cell>
          <cell r="J596" t="str">
            <v>FC</v>
          </cell>
          <cell r="K596">
            <v>0</v>
          </cell>
          <cell r="L596">
            <v>45681</v>
          </cell>
          <cell r="M596">
            <v>45681</v>
          </cell>
          <cell r="N596">
            <v>313</v>
          </cell>
          <cell r="O596" t="str">
            <v>PS</v>
          </cell>
          <cell r="P596" t="str">
            <v/>
          </cell>
          <cell r="Q596">
            <v>45681</v>
          </cell>
          <cell r="R596" t="str">
            <v/>
          </cell>
          <cell r="S596" t="str">
            <v/>
          </cell>
          <cell r="T596" t="str">
            <v/>
          </cell>
          <cell r="U596">
            <v>9631</v>
          </cell>
          <cell r="V596" t="str">
            <v/>
          </cell>
          <cell r="W596">
            <v>45681</v>
          </cell>
          <cell r="X596" t="str">
            <v>Lokasi Produksi 552C1 ( pecahan 552C )</v>
          </cell>
          <cell r="Z596">
            <v>0</v>
          </cell>
          <cell r="AA596">
            <v>45681</v>
          </cell>
          <cell r="AB596">
            <v>265.59733611111005</v>
          </cell>
          <cell r="AC596">
            <v>8.8532445370370016</v>
          </cell>
          <cell r="AD596">
            <v>-20</v>
          </cell>
          <cell r="AE596">
            <v>0</v>
          </cell>
          <cell r="AF596">
            <v>0</v>
          </cell>
          <cell r="AG596">
            <v>-1365.8333333333333</v>
          </cell>
          <cell r="AM596" t="str">
            <v>OK</v>
          </cell>
          <cell r="AO596">
            <v>10.445185108024695</v>
          </cell>
          <cell r="AP596">
            <v>10.445185108024695</v>
          </cell>
          <cell r="AQ596">
            <v>0</v>
          </cell>
          <cell r="AR596">
            <v>10.445185108024695</v>
          </cell>
          <cell r="AS596">
            <v>0</v>
          </cell>
          <cell r="AT596">
            <v>45681</v>
          </cell>
          <cell r="AU596">
            <v>10.445185108024695</v>
          </cell>
          <cell r="AV596">
            <v>313.35555324074085</v>
          </cell>
          <cell r="AW596">
            <v>10.445185108024695</v>
          </cell>
          <cell r="AY596">
            <v>318.46369178241002</v>
          </cell>
          <cell r="AZ596" t="str">
            <v>F18</v>
          </cell>
          <cell r="BA596">
            <v>0</v>
          </cell>
          <cell r="BB596" t="str">
            <v>PSY2</v>
          </cell>
          <cell r="BC596" t="str">
            <v>F18</v>
          </cell>
        </row>
        <row r="597">
          <cell r="A597" t="str">
            <v>552C2</v>
          </cell>
          <cell r="B597" t="str">
            <v>3</v>
          </cell>
          <cell r="C597" t="str">
            <v>06</v>
          </cell>
          <cell r="D597">
            <v>21</v>
          </cell>
          <cell r="E597" t="str">
            <v>552C2</v>
          </cell>
          <cell r="F597">
            <v>4.99</v>
          </cell>
          <cell r="G597">
            <v>3.85</v>
          </cell>
          <cell r="H597">
            <v>3.85</v>
          </cell>
          <cell r="I597" t="str">
            <v>Y2</v>
          </cell>
          <cell r="J597" t="str">
            <v>FC</v>
          </cell>
          <cell r="K597">
            <v>0</v>
          </cell>
          <cell r="L597">
            <v>45681</v>
          </cell>
          <cell r="M597">
            <v>45681</v>
          </cell>
          <cell r="N597">
            <v>313</v>
          </cell>
          <cell r="O597" t="str">
            <v>PS</v>
          </cell>
          <cell r="P597" t="str">
            <v/>
          </cell>
          <cell r="Q597">
            <v>45681</v>
          </cell>
          <cell r="R597" t="str">
            <v/>
          </cell>
          <cell r="S597" t="str">
            <v/>
          </cell>
          <cell r="T597" t="str">
            <v/>
          </cell>
          <cell r="U597">
            <v>9977</v>
          </cell>
          <cell r="V597" t="str">
            <v/>
          </cell>
          <cell r="W597">
            <v>45681</v>
          </cell>
          <cell r="X597" t="str">
            <v>Lokasi Produksi 552C2 ( pecahan 552C )</v>
          </cell>
          <cell r="Z597">
            <v>0</v>
          </cell>
          <cell r="AA597">
            <v>45681</v>
          </cell>
          <cell r="AB597">
            <v>265.59733611111005</v>
          </cell>
          <cell r="AC597">
            <v>8.8532445370370016</v>
          </cell>
          <cell r="AD597">
            <v>-20</v>
          </cell>
          <cell r="AE597">
            <v>0</v>
          </cell>
          <cell r="AF597">
            <v>0</v>
          </cell>
          <cell r="AG597">
            <v>-1365.8333333333333</v>
          </cell>
          <cell r="AM597" t="str">
            <v>OK</v>
          </cell>
          <cell r="AO597">
            <v>10.445185108024695</v>
          </cell>
          <cell r="AP597">
            <v>10.445185108024695</v>
          </cell>
          <cell r="AQ597">
            <v>0</v>
          </cell>
          <cell r="AR597">
            <v>10.445185108024695</v>
          </cell>
          <cell r="AS597">
            <v>0</v>
          </cell>
          <cell r="AT597">
            <v>45681</v>
          </cell>
          <cell r="AU597">
            <v>10.445185108024695</v>
          </cell>
          <cell r="AV597">
            <v>313.35555324074085</v>
          </cell>
          <cell r="AW597">
            <v>10.445185108024695</v>
          </cell>
          <cell r="AY597">
            <v>318.46369178241002</v>
          </cell>
          <cell r="AZ597" t="str">
            <v>F18</v>
          </cell>
          <cell r="BA597">
            <v>0</v>
          </cell>
          <cell r="BB597" t="str">
            <v>PSY2</v>
          </cell>
          <cell r="BC597" t="str">
            <v>F18</v>
          </cell>
        </row>
        <row r="598">
          <cell r="A598" t="str">
            <v>552C3</v>
          </cell>
          <cell r="B598" t="str">
            <v>3</v>
          </cell>
          <cell r="C598" t="str">
            <v>06</v>
          </cell>
          <cell r="D598">
            <v>21</v>
          </cell>
          <cell r="E598" t="str">
            <v>552C3</v>
          </cell>
          <cell r="F598">
            <v>6.92</v>
          </cell>
          <cell r="G598">
            <v>5.03</v>
          </cell>
          <cell r="H598">
            <v>5.03</v>
          </cell>
          <cell r="I598" t="str">
            <v>Y2</v>
          </cell>
          <cell r="J598" t="str">
            <v>FC</v>
          </cell>
          <cell r="K598">
            <v>0</v>
          </cell>
          <cell r="L598">
            <v>45681</v>
          </cell>
          <cell r="M598">
            <v>45681</v>
          </cell>
          <cell r="N598">
            <v>313</v>
          </cell>
          <cell r="O598" t="str">
            <v>PS</v>
          </cell>
          <cell r="P598" t="str">
            <v/>
          </cell>
          <cell r="Q598">
            <v>45681</v>
          </cell>
          <cell r="R598" t="str">
            <v/>
          </cell>
          <cell r="S598" t="str">
            <v/>
          </cell>
          <cell r="T598" t="str">
            <v/>
          </cell>
          <cell r="U598">
            <v>13395</v>
          </cell>
          <cell r="V598" t="str">
            <v/>
          </cell>
          <cell r="W598">
            <v>45681</v>
          </cell>
          <cell r="X598" t="str">
            <v>Lokasi Produksi 552C3 ( pecahan 552C )</v>
          </cell>
          <cell r="Z598">
            <v>0</v>
          </cell>
          <cell r="AA598">
            <v>45681</v>
          </cell>
          <cell r="AB598">
            <v>4806.5973361111101</v>
          </cell>
          <cell r="AC598">
            <v>160.21991120370367</v>
          </cell>
          <cell r="AD598">
            <v>-20</v>
          </cell>
          <cell r="AE598">
            <v>0</v>
          </cell>
          <cell r="AF598">
            <v>0</v>
          </cell>
          <cell r="AG598">
            <v>-1214.4666666666667</v>
          </cell>
          <cell r="AM598" t="str">
            <v>OK</v>
          </cell>
          <cell r="AO598">
            <v>10.445185108024695</v>
          </cell>
          <cell r="AP598">
            <v>10.445185108024695</v>
          </cell>
          <cell r="AQ598">
            <v>0</v>
          </cell>
          <cell r="AR598">
            <v>10.445185108024695</v>
          </cell>
          <cell r="AS598">
            <v>0</v>
          </cell>
          <cell r="AT598">
            <v>45681</v>
          </cell>
          <cell r="AU598">
            <v>10.445185108024695</v>
          </cell>
          <cell r="AV598">
            <v>313.35555324074085</v>
          </cell>
          <cell r="AW598">
            <v>10.445185108024695</v>
          </cell>
          <cell r="AY598">
            <v>318.46369178241002</v>
          </cell>
          <cell r="AZ598" t="str">
            <v>F18</v>
          </cell>
          <cell r="BA598">
            <v>0</v>
          </cell>
          <cell r="BB598" t="str">
            <v>PSY2</v>
          </cell>
          <cell r="BC598" t="str">
            <v>F18</v>
          </cell>
        </row>
        <row r="599">
          <cell r="A599" t="str">
            <v>552D1</v>
          </cell>
          <cell r="B599" t="str">
            <v>3</v>
          </cell>
          <cell r="C599" t="str">
            <v>06</v>
          </cell>
          <cell r="D599">
            <v>21</v>
          </cell>
          <cell r="E599" t="str">
            <v>552D1</v>
          </cell>
          <cell r="F599">
            <v>7.94</v>
          </cell>
          <cell r="G599">
            <v>6.5</v>
          </cell>
          <cell r="H599">
            <v>6.5</v>
          </cell>
          <cell r="I599" t="str">
            <v>ST</v>
          </cell>
          <cell r="J599" t="str">
            <v>BK</v>
          </cell>
          <cell r="K599">
            <v>0</v>
          </cell>
          <cell r="L599">
            <v>45946</v>
          </cell>
          <cell r="M599">
            <v>45946</v>
          </cell>
          <cell r="N599">
            <v>48</v>
          </cell>
          <cell r="O599" t="str">
            <v>NS</v>
          </cell>
          <cell r="P599" t="str">
            <v/>
          </cell>
          <cell r="Q599">
            <v>45946</v>
          </cell>
          <cell r="R599" t="str">
            <v/>
          </cell>
          <cell r="S599" t="str">
            <v/>
          </cell>
          <cell r="T599" t="str">
            <v/>
          </cell>
          <cell r="U599">
            <v>69622</v>
          </cell>
          <cell r="V599">
            <v>74017</v>
          </cell>
          <cell r="W599" t="str">
            <v/>
          </cell>
          <cell r="X599" t="str">
            <v>Lokasi Produksi 552D1 ( pecahan 552D )</v>
          </cell>
          <cell r="Z599">
            <v>0</v>
          </cell>
          <cell r="AA599">
            <v>45946</v>
          </cell>
          <cell r="AB599">
            <v>528.59733611111005</v>
          </cell>
          <cell r="AC599">
            <v>17.619911203703669</v>
          </cell>
          <cell r="AD599">
            <v>-20</v>
          </cell>
          <cell r="AE599">
            <v>0</v>
          </cell>
          <cell r="AF599">
            <v>0</v>
          </cell>
          <cell r="AG599">
            <v>-1357.0666666666666</v>
          </cell>
          <cell r="AK599">
            <v>40299</v>
          </cell>
          <cell r="AM599" t="str">
            <v>OK</v>
          </cell>
          <cell r="AO599">
            <v>1.6118517746913616</v>
          </cell>
          <cell r="AP599">
            <v>1.6118517746913616</v>
          </cell>
          <cell r="AQ599">
            <v>0</v>
          </cell>
          <cell r="AR599">
            <v>1.6118517746913616</v>
          </cell>
          <cell r="AS599">
            <v>0</v>
          </cell>
          <cell r="AT599">
            <v>45946</v>
          </cell>
          <cell r="AU599">
            <v>1.6118517746913616</v>
          </cell>
          <cell r="AV599">
            <v>48.355553240740846</v>
          </cell>
          <cell r="AW599">
            <v>1.6118517746913616</v>
          </cell>
          <cell r="AY599">
            <v>53.463691782410024</v>
          </cell>
          <cell r="AZ599" t="str">
            <v>F18</v>
          </cell>
          <cell r="BA599">
            <v>0</v>
          </cell>
          <cell r="BB599" t="str">
            <v>NSST</v>
          </cell>
          <cell r="BC599" t="str">
            <v>F18</v>
          </cell>
        </row>
        <row r="600">
          <cell r="A600" t="str">
            <v>552D2</v>
          </cell>
          <cell r="B600" t="str">
            <v>3</v>
          </cell>
          <cell r="C600" t="str">
            <v>06</v>
          </cell>
          <cell r="D600">
            <v>21</v>
          </cell>
          <cell r="E600" t="str">
            <v>552D2</v>
          </cell>
          <cell r="F600">
            <v>10.11</v>
          </cell>
          <cell r="G600">
            <v>7.83</v>
          </cell>
          <cell r="H600">
            <v>7.83</v>
          </cell>
          <cell r="I600" t="str">
            <v>BK</v>
          </cell>
          <cell r="J600" t="str">
            <v>BB</v>
          </cell>
          <cell r="K600">
            <v>0</v>
          </cell>
          <cell r="L600">
            <v>45992</v>
          </cell>
          <cell r="M600">
            <v>45992</v>
          </cell>
          <cell r="N600">
            <v>2</v>
          </cell>
          <cell r="O600" t="str">
            <v>NS</v>
          </cell>
          <cell r="P600" t="str">
            <v/>
          </cell>
          <cell r="Q600">
            <v>45992</v>
          </cell>
          <cell r="R600" t="str">
            <v/>
          </cell>
          <cell r="S600" t="str">
            <v/>
          </cell>
          <cell r="T600" t="str">
            <v/>
          </cell>
          <cell r="U600">
            <v>68203</v>
          </cell>
          <cell r="V600">
            <v>78494</v>
          </cell>
          <cell r="W600">
            <v>43837</v>
          </cell>
          <cell r="X600" t="str">
            <v>Lokasi Produksi 552D2 ( pecahan 552D )</v>
          </cell>
          <cell r="Z600">
            <v>0</v>
          </cell>
          <cell r="AA600">
            <v>45992</v>
          </cell>
          <cell r="AB600">
            <v>567.59733611111005</v>
          </cell>
          <cell r="AC600">
            <v>18.91991120370367</v>
          </cell>
          <cell r="AD600">
            <v>-20</v>
          </cell>
          <cell r="AE600">
            <v>0</v>
          </cell>
          <cell r="AF600">
            <v>0</v>
          </cell>
          <cell r="AG600">
            <v>-1355.7666666666667</v>
          </cell>
          <cell r="AM600" t="str">
            <v>OK</v>
          </cell>
          <cell r="AO600">
            <v>7.8518441358028213E-2</v>
          </cell>
          <cell r="AP600">
            <v>7.8518441358028213E-2</v>
          </cell>
          <cell r="AQ600">
            <v>0</v>
          </cell>
          <cell r="AR600">
            <v>7.8518441358028213E-2</v>
          </cell>
          <cell r="AS600">
            <v>0</v>
          </cell>
          <cell r="AT600">
            <v>45992</v>
          </cell>
          <cell r="AU600">
            <v>7.8518441358028213E-2</v>
          </cell>
          <cell r="AV600">
            <v>2.3555532407408464</v>
          </cell>
          <cell r="AW600">
            <v>7.8518441358028213E-2</v>
          </cell>
          <cell r="AY600">
            <v>7.4636917824100237</v>
          </cell>
          <cell r="AZ600" t="str">
            <v>F18</v>
          </cell>
          <cell r="BA600">
            <v>0</v>
          </cell>
          <cell r="BB600" t="str">
            <v>NSBK</v>
          </cell>
          <cell r="BC600" t="str">
            <v>F18</v>
          </cell>
        </row>
        <row r="601">
          <cell r="A601" t="str">
            <v>552DS1</v>
          </cell>
          <cell r="B601" t="str">
            <v>3</v>
          </cell>
          <cell r="C601" t="str">
            <v>06</v>
          </cell>
          <cell r="D601">
            <v>21</v>
          </cell>
          <cell r="E601" t="str">
            <v>552DS1</v>
          </cell>
          <cell r="F601">
            <v>0.59</v>
          </cell>
          <cell r="G601">
            <v>0.59</v>
          </cell>
          <cell r="H601">
            <v>0.59</v>
          </cell>
          <cell r="I601" t="str">
            <v>FC</v>
          </cell>
          <cell r="J601" t="str">
            <v>ST</v>
          </cell>
          <cell r="K601">
            <v>0</v>
          </cell>
          <cell r="L601">
            <v>45810</v>
          </cell>
          <cell r="M601">
            <v>45810</v>
          </cell>
          <cell r="N601">
            <v>184</v>
          </cell>
          <cell r="O601" t="str">
            <v>SK</v>
          </cell>
          <cell r="P601" t="str">
            <v/>
          </cell>
          <cell r="Q601">
            <v>45810</v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>Lokasi Produksi 552DS1 ( singkong )</v>
          </cell>
          <cell r="Z601">
            <v>0</v>
          </cell>
          <cell r="AA601">
            <v>45810</v>
          </cell>
          <cell r="AB601">
            <v>82.597336111110053</v>
          </cell>
          <cell r="AC601">
            <v>2.7532445370370016</v>
          </cell>
          <cell r="AD601">
            <v>-5.246755462962998</v>
          </cell>
          <cell r="AE601">
            <v>8.94</v>
          </cell>
          <cell r="AF601">
            <v>0</v>
          </cell>
          <cell r="AG601">
            <v>-1371.9333333333334</v>
          </cell>
          <cell r="AK601">
            <v>40297</v>
          </cell>
          <cell r="AM601" t="str">
            <v>OK</v>
          </cell>
          <cell r="AO601">
            <v>6.1451851080246946</v>
          </cell>
          <cell r="AP601">
            <v>6.1451851080246946</v>
          </cell>
          <cell r="AQ601">
            <v>0</v>
          </cell>
          <cell r="AR601">
            <v>6.1451851080246946</v>
          </cell>
          <cell r="AS601">
            <v>0</v>
          </cell>
          <cell r="AT601">
            <v>45810</v>
          </cell>
          <cell r="AU601">
            <v>6.1451851080246946</v>
          </cell>
          <cell r="AV601">
            <v>184.35555324074085</v>
          </cell>
          <cell r="AW601">
            <v>6.1451851080246946</v>
          </cell>
          <cell r="AY601">
            <v>189.46369178241002</v>
          </cell>
          <cell r="AZ601" t="str">
            <v>F18</v>
          </cell>
          <cell r="BA601">
            <v>0</v>
          </cell>
          <cell r="BB601" t="str">
            <v>SKFC</v>
          </cell>
          <cell r="BC601" t="str">
            <v>F18</v>
          </cell>
        </row>
        <row r="602">
          <cell r="A602" t="str">
            <v>552E</v>
          </cell>
          <cell r="B602" t="str">
            <v>3</v>
          </cell>
          <cell r="C602" t="str">
            <v>06</v>
          </cell>
          <cell r="D602">
            <v>21</v>
          </cell>
          <cell r="E602" t="str">
            <v>552E</v>
          </cell>
          <cell r="F602">
            <v>10.87</v>
          </cell>
          <cell r="G602">
            <v>8.8800000000000008</v>
          </cell>
          <cell r="H602">
            <v>8.8800000000000008</v>
          </cell>
          <cell r="I602" t="str">
            <v>SC</v>
          </cell>
          <cell r="J602" t="str">
            <v>BB</v>
          </cell>
          <cell r="K602">
            <v>8</v>
          </cell>
          <cell r="L602">
            <v>45898</v>
          </cell>
          <cell r="M602">
            <v>45898</v>
          </cell>
          <cell r="N602">
            <v>96</v>
          </cell>
          <cell r="O602" t="str">
            <v>NS</v>
          </cell>
          <cell r="P602" t="str">
            <v/>
          </cell>
          <cell r="Q602">
            <v>46142</v>
          </cell>
          <cell r="R602" t="str">
            <v/>
          </cell>
          <cell r="S602" t="str">
            <v/>
          </cell>
          <cell r="T602" t="str">
            <v/>
          </cell>
          <cell r="U602">
            <v>69481</v>
          </cell>
          <cell r="V602">
            <v>70562</v>
          </cell>
          <cell r="W602">
            <v>43720</v>
          </cell>
          <cell r="X602" t="str">
            <v>Lokasi Produksi 552E</v>
          </cell>
          <cell r="Z602">
            <v>8</v>
          </cell>
          <cell r="AA602">
            <v>46142</v>
          </cell>
          <cell r="AB602">
            <v>77.597336111110053</v>
          </cell>
          <cell r="AC602">
            <v>2.586577870370335</v>
          </cell>
          <cell r="AD602">
            <v>-5.413422129629665</v>
          </cell>
          <cell r="AE602">
            <v>23.3</v>
          </cell>
          <cell r="AF602">
            <v>0</v>
          </cell>
          <cell r="AG602">
            <v>-1372.1</v>
          </cell>
          <cell r="AK602">
            <v>40327</v>
          </cell>
          <cell r="AM602" t="str">
            <v>OK</v>
          </cell>
          <cell r="AO602">
            <v>3.2118517746913615</v>
          </cell>
          <cell r="AP602">
            <v>-4.7881482253086389</v>
          </cell>
          <cell r="AQ602">
            <v>0</v>
          </cell>
          <cell r="AR602">
            <v>3.2118517746913615</v>
          </cell>
          <cell r="AS602">
            <v>0</v>
          </cell>
          <cell r="AT602">
            <v>46142</v>
          </cell>
          <cell r="AU602">
            <v>-4.7881482253086389</v>
          </cell>
          <cell r="AV602">
            <v>96.355553240740846</v>
          </cell>
          <cell r="AW602">
            <v>-4.7881482253086389</v>
          </cell>
          <cell r="AY602">
            <v>101.46369178241002</v>
          </cell>
          <cell r="AZ602" t="str">
            <v>F18</v>
          </cell>
          <cell r="BA602">
            <v>8.8800000000000008</v>
          </cell>
          <cell r="BB602" t="str">
            <v>NSSC</v>
          </cell>
          <cell r="BC602" t="str">
            <v>F18</v>
          </cell>
        </row>
        <row r="603">
          <cell r="A603" t="str">
            <v>552F</v>
          </cell>
          <cell r="B603" t="str">
            <v>3</v>
          </cell>
          <cell r="C603" t="str">
            <v>06</v>
          </cell>
          <cell r="D603">
            <v>21</v>
          </cell>
          <cell r="E603" t="str">
            <v>552F</v>
          </cell>
          <cell r="F603">
            <v>7.32</v>
          </cell>
          <cell r="G603">
            <v>6.14</v>
          </cell>
          <cell r="H603">
            <v>6.14</v>
          </cell>
          <cell r="I603" t="str">
            <v>FC</v>
          </cell>
          <cell r="J603" t="str">
            <v>ST</v>
          </cell>
          <cell r="K603">
            <v>14</v>
          </cell>
          <cell r="L603">
            <v>45859</v>
          </cell>
          <cell r="M603">
            <v>45859</v>
          </cell>
          <cell r="N603">
            <v>135</v>
          </cell>
          <cell r="O603" t="str">
            <v>NS</v>
          </cell>
          <cell r="P603" t="str">
            <v>NSF18CK3</v>
          </cell>
          <cell r="Q603">
            <v>46286</v>
          </cell>
          <cell r="R603" t="str">
            <v/>
          </cell>
          <cell r="S603" t="str">
            <v/>
          </cell>
          <cell r="T603" t="str">
            <v/>
          </cell>
          <cell r="U603">
            <v>68051</v>
          </cell>
          <cell r="V603">
            <v>52777</v>
          </cell>
          <cell r="W603">
            <v>43477</v>
          </cell>
          <cell r="X603" t="str">
            <v>Lokasi Produksi 552F</v>
          </cell>
          <cell r="Z603">
            <v>14</v>
          </cell>
          <cell r="AA603">
            <v>46286</v>
          </cell>
          <cell r="AB603">
            <v>521.59733611111005</v>
          </cell>
          <cell r="AC603">
            <v>17.386577870370335</v>
          </cell>
          <cell r="AD603">
            <v>-20</v>
          </cell>
          <cell r="AE603">
            <v>0</v>
          </cell>
          <cell r="AF603">
            <v>0</v>
          </cell>
          <cell r="AG603">
            <v>-1357.3</v>
          </cell>
          <cell r="AM603" t="str">
            <v>OK</v>
          </cell>
          <cell r="AO603">
            <v>4.5118517746913618</v>
          </cell>
          <cell r="AP603">
            <v>-9.4881482253086382</v>
          </cell>
          <cell r="AQ603">
            <v>0</v>
          </cell>
          <cell r="AR603">
            <v>4.5118517746913618</v>
          </cell>
          <cell r="AS603">
            <v>0</v>
          </cell>
          <cell r="AT603">
            <v>46286</v>
          </cell>
          <cell r="AU603">
            <v>-9.4881482253086382</v>
          </cell>
          <cell r="AV603">
            <v>135.35555324074085</v>
          </cell>
          <cell r="AW603">
            <v>-9.4881482253086382</v>
          </cell>
          <cell r="AY603">
            <v>140.46369178241002</v>
          </cell>
          <cell r="AZ603" t="str">
            <v>F18</v>
          </cell>
          <cell r="BA603">
            <v>6.14</v>
          </cell>
          <cell r="BB603" t="str">
            <v>NSFC</v>
          </cell>
          <cell r="BC603" t="str">
            <v>F18CK</v>
          </cell>
        </row>
        <row r="604">
          <cell r="A604" t="str">
            <v>552G1A</v>
          </cell>
          <cell r="B604" t="str">
            <v>3</v>
          </cell>
          <cell r="C604" t="str">
            <v>06</v>
          </cell>
          <cell r="D604">
            <v>21</v>
          </cell>
          <cell r="E604" t="str">
            <v>552G1A</v>
          </cell>
          <cell r="F604">
            <v>4.3099999999999996</v>
          </cell>
          <cell r="G604">
            <v>2.8</v>
          </cell>
          <cell r="H604">
            <v>2.8</v>
          </cell>
          <cell r="I604" t="str">
            <v>Y2</v>
          </cell>
          <cell r="J604" t="str">
            <v>FC</v>
          </cell>
          <cell r="K604">
            <v>0</v>
          </cell>
          <cell r="L604">
            <v>45635</v>
          </cell>
          <cell r="M604">
            <v>45635</v>
          </cell>
          <cell r="N604">
            <v>359</v>
          </cell>
          <cell r="O604" t="str">
            <v>PS</v>
          </cell>
          <cell r="P604" t="str">
            <v/>
          </cell>
          <cell r="Q604">
            <v>45635</v>
          </cell>
          <cell r="R604" t="str">
            <v/>
          </cell>
          <cell r="S604" t="str">
            <v/>
          </cell>
          <cell r="T604" t="str">
            <v/>
          </cell>
          <cell r="U604">
            <v>7351</v>
          </cell>
          <cell r="V604" t="str">
            <v/>
          </cell>
          <cell r="W604">
            <v>45635</v>
          </cell>
          <cell r="X604" t="str">
            <v>Lokasi Produksi 552G1A ( pecahan 552G1 )</v>
          </cell>
          <cell r="Z604">
            <v>0</v>
          </cell>
          <cell r="AA604">
            <v>45635</v>
          </cell>
          <cell r="AB604">
            <v>515.59733611111005</v>
          </cell>
          <cell r="AC604">
            <v>17.186577870370336</v>
          </cell>
          <cell r="AD604">
            <v>-20</v>
          </cell>
          <cell r="AE604">
            <v>0</v>
          </cell>
          <cell r="AF604">
            <v>0</v>
          </cell>
          <cell r="AG604">
            <v>-1357.5</v>
          </cell>
          <cell r="AM604" t="str">
            <v>OK</v>
          </cell>
          <cell r="AO604">
            <v>11.978518441358029</v>
          </cell>
          <cell r="AP604">
            <v>11.978518441358029</v>
          </cell>
          <cell r="AQ604">
            <v>0</v>
          </cell>
          <cell r="AR604">
            <v>11.978518441358029</v>
          </cell>
          <cell r="AS604">
            <v>0</v>
          </cell>
          <cell r="AT604">
            <v>45635</v>
          </cell>
          <cell r="AU604">
            <v>11.978518441358029</v>
          </cell>
          <cell r="AV604">
            <v>359.35555324074085</v>
          </cell>
          <cell r="AW604">
            <v>11.978518441358029</v>
          </cell>
          <cell r="AY604">
            <v>364.46369178241002</v>
          </cell>
          <cell r="AZ604" t="str">
            <v>F18</v>
          </cell>
          <cell r="BA604">
            <v>0</v>
          </cell>
          <cell r="BB604" t="str">
            <v>PSY2</v>
          </cell>
          <cell r="BC604" t="str">
            <v>F18</v>
          </cell>
        </row>
        <row r="605">
          <cell r="A605" t="str">
            <v>552G1B</v>
          </cell>
          <cell r="B605" t="str">
            <v>3</v>
          </cell>
          <cell r="C605" t="str">
            <v>06</v>
          </cell>
          <cell r="D605">
            <v>21</v>
          </cell>
          <cell r="E605" t="str">
            <v>552G1B</v>
          </cell>
          <cell r="F605">
            <v>6.79</v>
          </cell>
          <cell r="G605">
            <v>4.7300000000000004</v>
          </cell>
          <cell r="H605">
            <v>4.7300000000000004</v>
          </cell>
          <cell r="I605" t="str">
            <v>Y2</v>
          </cell>
          <cell r="J605" t="str">
            <v>FC</v>
          </cell>
          <cell r="K605">
            <v>0</v>
          </cell>
          <cell r="L605">
            <v>45635</v>
          </cell>
          <cell r="M605">
            <v>45635</v>
          </cell>
          <cell r="N605">
            <v>359</v>
          </cell>
          <cell r="O605" t="str">
            <v>PS</v>
          </cell>
          <cell r="P605" t="str">
            <v/>
          </cell>
          <cell r="Q605">
            <v>45635</v>
          </cell>
          <cell r="R605" t="str">
            <v/>
          </cell>
          <cell r="S605" t="str">
            <v/>
          </cell>
          <cell r="T605" t="str">
            <v/>
          </cell>
          <cell r="U605">
            <v>13105</v>
          </cell>
          <cell r="V605" t="str">
            <v/>
          </cell>
          <cell r="W605">
            <v>46000</v>
          </cell>
          <cell r="X605" t="str">
            <v>Lokasi Produksi 552G1B ( pecahan 552G1 )</v>
          </cell>
          <cell r="Z605">
            <v>0</v>
          </cell>
          <cell r="AA605">
            <v>45635</v>
          </cell>
          <cell r="AB605">
            <v>105.59733611111005</v>
          </cell>
          <cell r="AC605">
            <v>3.5199112037036686</v>
          </cell>
          <cell r="AD605">
            <v>-10.480088796296332</v>
          </cell>
          <cell r="AE605">
            <v>14.28</v>
          </cell>
          <cell r="AF605">
            <v>0</v>
          </cell>
          <cell r="AG605">
            <v>-1371.1666666666667</v>
          </cell>
          <cell r="AM605" t="str">
            <v>OK</v>
          </cell>
          <cell r="AO605">
            <v>11.978518441358029</v>
          </cell>
          <cell r="AP605">
            <v>11.978518441358029</v>
          </cell>
          <cell r="AQ605">
            <v>0</v>
          </cell>
          <cell r="AR605">
            <v>11.978518441358029</v>
          </cell>
          <cell r="AS605">
            <v>0</v>
          </cell>
          <cell r="AT605">
            <v>45635</v>
          </cell>
          <cell r="AU605">
            <v>11.978518441358029</v>
          </cell>
          <cell r="AV605">
            <v>359.35555324074085</v>
          </cell>
          <cell r="AW605">
            <v>11.978518441358029</v>
          </cell>
          <cell r="AY605">
            <v>364.46369178241002</v>
          </cell>
          <cell r="AZ605" t="str">
            <v>F18</v>
          </cell>
          <cell r="BA605">
            <v>0</v>
          </cell>
          <cell r="BB605" t="str">
            <v>PSY2</v>
          </cell>
          <cell r="BC605" t="str">
            <v>F18</v>
          </cell>
        </row>
        <row r="606">
          <cell r="A606" t="str">
            <v>552G2A</v>
          </cell>
          <cell r="B606" t="str">
            <v>3</v>
          </cell>
          <cell r="C606" t="str">
            <v>06</v>
          </cell>
          <cell r="D606">
            <v>21</v>
          </cell>
          <cell r="E606" t="str">
            <v>552G2A</v>
          </cell>
          <cell r="F606">
            <v>4.0999999999999996</v>
          </cell>
          <cell r="G606">
            <v>2.69</v>
          </cell>
          <cell r="H606">
            <v>2.69</v>
          </cell>
          <cell r="I606" t="str">
            <v>Y2</v>
          </cell>
          <cell r="J606" t="str">
            <v>FC</v>
          </cell>
          <cell r="K606">
            <v>0</v>
          </cell>
          <cell r="L606">
            <v>45635</v>
          </cell>
          <cell r="M606">
            <v>45635</v>
          </cell>
          <cell r="N606">
            <v>359</v>
          </cell>
          <cell r="O606" t="str">
            <v>PS</v>
          </cell>
          <cell r="P606" t="str">
            <v/>
          </cell>
          <cell r="Q606">
            <v>45635</v>
          </cell>
          <cell r="R606" t="str">
            <v/>
          </cell>
          <cell r="S606" t="str">
            <v/>
          </cell>
          <cell r="T606" t="str">
            <v/>
          </cell>
          <cell r="U606">
            <v>12932</v>
          </cell>
          <cell r="V606" t="str">
            <v/>
          </cell>
          <cell r="W606">
            <v>45635</v>
          </cell>
          <cell r="X606" t="str">
            <v>Lokasi Produksi 552G2A ( pecahan 552G2 )</v>
          </cell>
          <cell r="Z606">
            <v>0</v>
          </cell>
          <cell r="AA606">
            <v>45635</v>
          </cell>
          <cell r="AB606">
            <v>76.597336111110053</v>
          </cell>
          <cell r="AC606">
            <v>2.5532445370370018</v>
          </cell>
          <cell r="AD606">
            <v>-9.4467554629629973</v>
          </cell>
          <cell r="AE606">
            <v>6.68</v>
          </cell>
          <cell r="AF606">
            <v>0</v>
          </cell>
          <cell r="AG606">
            <v>-1372.1333333333334</v>
          </cell>
          <cell r="AM606" t="str">
            <v>OK</v>
          </cell>
          <cell r="AO606">
            <v>11.978518441358029</v>
          </cell>
          <cell r="AP606">
            <v>11.978518441358029</v>
          </cell>
          <cell r="AQ606">
            <v>0</v>
          </cell>
          <cell r="AR606">
            <v>11.978518441358029</v>
          </cell>
          <cell r="AS606">
            <v>0</v>
          </cell>
          <cell r="AT606">
            <v>45635</v>
          </cell>
          <cell r="AU606">
            <v>11.978518441358029</v>
          </cell>
          <cell r="AV606">
            <v>359.35555324074085</v>
          </cell>
          <cell r="AW606">
            <v>11.978518441358029</v>
          </cell>
          <cell r="AY606">
            <v>364.46369178241002</v>
          </cell>
          <cell r="AZ606" t="str">
            <v>F18</v>
          </cell>
          <cell r="BA606">
            <v>0</v>
          </cell>
          <cell r="BB606" t="str">
            <v>PSY2</v>
          </cell>
          <cell r="BC606" t="str">
            <v>F18</v>
          </cell>
        </row>
        <row r="607">
          <cell r="A607" t="str">
            <v>552G2B</v>
          </cell>
          <cell r="B607" t="str">
            <v>3</v>
          </cell>
          <cell r="C607" t="str">
            <v>06</v>
          </cell>
          <cell r="D607">
            <v>21</v>
          </cell>
          <cell r="E607" t="str">
            <v>552G2B</v>
          </cell>
          <cell r="F607">
            <v>6.43</v>
          </cell>
          <cell r="G607">
            <v>4.5</v>
          </cell>
          <cell r="H607">
            <v>4.5</v>
          </cell>
          <cell r="I607" t="str">
            <v>Y2</v>
          </cell>
          <cell r="J607" t="str">
            <v>FC</v>
          </cell>
          <cell r="K607">
            <v>0</v>
          </cell>
          <cell r="L607">
            <v>45635</v>
          </cell>
          <cell r="M607">
            <v>45635</v>
          </cell>
          <cell r="N607">
            <v>359</v>
          </cell>
          <cell r="O607" t="str">
            <v>PS</v>
          </cell>
          <cell r="P607" t="str">
            <v/>
          </cell>
          <cell r="Q607">
            <v>45635</v>
          </cell>
          <cell r="R607" t="str">
            <v/>
          </cell>
          <cell r="S607" t="str">
            <v/>
          </cell>
          <cell r="T607" t="str">
            <v/>
          </cell>
          <cell r="U607">
            <v>12509</v>
          </cell>
          <cell r="V607" t="str">
            <v/>
          </cell>
          <cell r="W607">
            <v>45635</v>
          </cell>
          <cell r="X607" t="str">
            <v>Lokasi Produksi 552G2B ( pecahan 552G2 )</v>
          </cell>
          <cell r="Z607">
            <v>0</v>
          </cell>
          <cell r="AA607">
            <v>45635</v>
          </cell>
          <cell r="AB607">
            <v>106.59733611111005</v>
          </cell>
          <cell r="AC607">
            <v>3.5532445370370018</v>
          </cell>
          <cell r="AD607">
            <v>-8.4467554629629973</v>
          </cell>
          <cell r="AE607">
            <v>10.69</v>
          </cell>
          <cell r="AF607">
            <v>0</v>
          </cell>
          <cell r="AG607">
            <v>-1371.1333333333334</v>
          </cell>
          <cell r="AM607" t="str">
            <v>OK</v>
          </cell>
          <cell r="AO607">
            <v>11.978518441358029</v>
          </cell>
          <cell r="AP607">
            <v>11.978518441358029</v>
          </cell>
          <cell r="AQ607">
            <v>0</v>
          </cell>
          <cell r="AR607">
            <v>11.978518441358029</v>
          </cell>
          <cell r="AS607">
            <v>0</v>
          </cell>
          <cell r="AT607">
            <v>45635</v>
          </cell>
          <cell r="AU607">
            <v>11.978518441358029</v>
          </cell>
          <cell r="AV607">
            <v>359.35555324074085</v>
          </cell>
          <cell r="AW607">
            <v>11.978518441358029</v>
          </cell>
          <cell r="AY607">
            <v>364.46369178241002</v>
          </cell>
          <cell r="AZ607" t="str">
            <v>F18</v>
          </cell>
          <cell r="BA607">
            <v>0</v>
          </cell>
          <cell r="BB607" t="str">
            <v>PSY2</v>
          </cell>
          <cell r="BC607" t="str">
            <v>F18</v>
          </cell>
        </row>
        <row r="608">
          <cell r="A608" t="str">
            <v>552GS</v>
          </cell>
          <cell r="B608" t="str">
            <v>3</v>
          </cell>
          <cell r="C608" t="str">
            <v>06</v>
          </cell>
          <cell r="D608">
            <v>21</v>
          </cell>
          <cell r="E608" t="str">
            <v>552GS</v>
          </cell>
          <cell r="F608">
            <v>1.17</v>
          </cell>
          <cell r="G608">
            <v>1.17</v>
          </cell>
          <cell r="H608">
            <v>1.17</v>
          </cell>
          <cell r="I608" t="str">
            <v>FC</v>
          </cell>
          <cell r="J608" t="str">
            <v>ST</v>
          </cell>
          <cell r="K608">
            <v>0</v>
          </cell>
          <cell r="L608">
            <v>45842</v>
          </cell>
          <cell r="M608">
            <v>45842</v>
          </cell>
          <cell r="N608">
            <v>152</v>
          </cell>
          <cell r="O608" t="str">
            <v>SK</v>
          </cell>
          <cell r="P608" t="str">
            <v/>
          </cell>
          <cell r="Q608">
            <v>45842</v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>Lokasi Produksi 552GS ( singkong )</v>
          </cell>
          <cell r="Z608">
            <v>0</v>
          </cell>
          <cell r="AA608">
            <v>45842</v>
          </cell>
          <cell r="AB608">
            <v>370.59733611111005</v>
          </cell>
          <cell r="AC608">
            <v>12.353244537037002</v>
          </cell>
          <cell r="AD608">
            <v>-1.6467554629629984</v>
          </cell>
          <cell r="AE608">
            <v>15.19</v>
          </cell>
          <cell r="AF608">
            <v>0</v>
          </cell>
          <cell r="AG608">
            <v>-1362.3333333333333</v>
          </cell>
          <cell r="AM608" t="str">
            <v>OK</v>
          </cell>
          <cell r="AO608">
            <v>5.0785184413580282</v>
          </cell>
          <cell r="AP608">
            <v>5.0785184413580282</v>
          </cell>
          <cell r="AQ608">
            <v>0</v>
          </cell>
          <cell r="AR608">
            <v>5.0785184413580282</v>
          </cell>
          <cell r="AS608">
            <v>0</v>
          </cell>
          <cell r="AT608">
            <v>45842</v>
          </cell>
          <cell r="AU608">
            <v>5.0785184413580282</v>
          </cell>
          <cell r="AV608">
            <v>152.35555324074085</v>
          </cell>
          <cell r="AW608">
            <v>5.0785184413580282</v>
          </cell>
          <cell r="AY608">
            <v>157.46369178241002</v>
          </cell>
          <cell r="AZ608" t="str">
            <v>F18</v>
          </cell>
          <cell r="BA608">
            <v>0</v>
          </cell>
          <cell r="BB608" t="str">
            <v>SKFC</v>
          </cell>
          <cell r="BC608" t="str">
            <v>F18</v>
          </cell>
        </row>
        <row r="609">
          <cell r="A609" t="str">
            <v>553A</v>
          </cell>
          <cell r="B609" t="str">
            <v>3</v>
          </cell>
          <cell r="C609" t="str">
            <v>06</v>
          </cell>
          <cell r="D609">
            <v>21</v>
          </cell>
          <cell r="E609" t="str">
            <v>553A</v>
          </cell>
          <cell r="F609">
            <v>5.71</v>
          </cell>
          <cell r="G609">
            <v>4.43</v>
          </cell>
          <cell r="H609">
            <v>4.43</v>
          </cell>
          <cell r="I609" t="str">
            <v>SC</v>
          </cell>
          <cell r="J609" t="str">
            <v>FC</v>
          </cell>
          <cell r="K609">
            <v>8</v>
          </cell>
          <cell r="L609">
            <v>45730</v>
          </cell>
          <cell r="M609">
            <v>45730</v>
          </cell>
          <cell r="N609">
            <v>264</v>
          </cell>
          <cell r="O609" t="str">
            <v>NS</v>
          </cell>
          <cell r="P609" t="str">
            <v/>
          </cell>
          <cell r="Q609">
            <v>45974</v>
          </cell>
          <cell r="R609" t="str">
            <v/>
          </cell>
          <cell r="S609" t="str">
            <v/>
          </cell>
          <cell r="T609">
            <v>45971</v>
          </cell>
          <cell r="U609">
            <v>67801</v>
          </cell>
          <cell r="V609">
            <v>70090</v>
          </cell>
          <cell r="W609" t="str">
            <v/>
          </cell>
          <cell r="X609" t="str">
            <v>Lokasi Produksi 553A</v>
          </cell>
          <cell r="Z609">
            <v>8</v>
          </cell>
          <cell r="AA609">
            <v>45974</v>
          </cell>
          <cell r="AB609">
            <v>4730.5973361111101</v>
          </cell>
          <cell r="AC609">
            <v>157.68657787037034</v>
          </cell>
          <cell r="AD609">
            <v>-20</v>
          </cell>
          <cell r="AE609">
            <v>0</v>
          </cell>
          <cell r="AF609">
            <v>0</v>
          </cell>
          <cell r="AG609">
            <v>-1217</v>
          </cell>
          <cell r="AM609" t="str">
            <v>OK</v>
          </cell>
          <cell r="AO609">
            <v>8.8118517746913607</v>
          </cell>
          <cell r="AP609">
            <v>0.81185177469136072</v>
          </cell>
          <cell r="AQ609">
            <v>45971</v>
          </cell>
          <cell r="AR609">
            <v>8.0333333333333332</v>
          </cell>
          <cell r="AS609">
            <v>0.7785184413580275</v>
          </cell>
          <cell r="AT609">
            <v>45974</v>
          </cell>
          <cell r="AU609">
            <v>0.7785184413580275</v>
          </cell>
          <cell r="AV609">
            <v>241</v>
          </cell>
          <cell r="AW609">
            <v>0.7785184413580275</v>
          </cell>
          <cell r="AY609">
            <v>269.46369178241002</v>
          </cell>
          <cell r="AZ609" t="str">
            <v>F18</v>
          </cell>
          <cell r="BA609">
            <v>4.43</v>
          </cell>
          <cell r="BB609" t="str">
            <v>NSSC</v>
          </cell>
          <cell r="BC609" t="str">
            <v>F18</v>
          </cell>
        </row>
        <row r="610">
          <cell r="A610" t="str">
            <v>553B1A</v>
          </cell>
          <cell r="B610" t="str">
            <v>3</v>
          </cell>
          <cell r="C610" t="str">
            <v>05</v>
          </cell>
          <cell r="D610">
            <v>19</v>
          </cell>
          <cell r="E610" t="str">
            <v>553B1A</v>
          </cell>
          <cell r="F610">
            <v>4.72</v>
          </cell>
          <cell r="G610">
            <v>4.01</v>
          </cell>
          <cell r="H610">
            <v>4.01</v>
          </cell>
          <cell r="I610" t="str">
            <v>SR</v>
          </cell>
          <cell r="J610" t="str">
            <v>SC</v>
          </cell>
          <cell r="K610">
            <v>0</v>
          </cell>
          <cell r="L610">
            <v>45604</v>
          </cell>
          <cell r="M610">
            <v>45604</v>
          </cell>
          <cell r="N610">
            <v>390</v>
          </cell>
          <cell r="O610" t="str">
            <v>PS</v>
          </cell>
          <cell r="P610" t="str">
            <v/>
          </cell>
          <cell r="Q610">
            <v>45604</v>
          </cell>
          <cell r="R610" t="str">
            <v/>
          </cell>
          <cell r="S610" t="str">
            <v/>
          </cell>
          <cell r="T610" t="str">
            <v/>
          </cell>
          <cell r="U610">
            <v>10810</v>
          </cell>
          <cell r="V610">
            <v>8880</v>
          </cell>
          <cell r="W610">
            <v>46020</v>
          </cell>
          <cell r="X610" t="str">
            <v>Lokasi Produksi 553B1A ( pecahan 553B1 )</v>
          </cell>
          <cell r="Z610">
            <v>0</v>
          </cell>
          <cell r="AA610">
            <v>45604</v>
          </cell>
          <cell r="AB610">
            <v>692.59733611111005</v>
          </cell>
          <cell r="AC610">
            <v>23.086577870370334</v>
          </cell>
          <cell r="AD610">
            <v>5.0865778703703342</v>
          </cell>
          <cell r="AE610">
            <v>19.149999999999999</v>
          </cell>
          <cell r="AF610">
            <v>0</v>
          </cell>
          <cell r="AG610">
            <v>-1351.6</v>
          </cell>
          <cell r="AM610" t="str">
            <v>OK</v>
          </cell>
          <cell r="AO610">
            <v>13.011851774691362</v>
          </cell>
          <cell r="AP610">
            <v>13.011851774691362</v>
          </cell>
          <cell r="AQ610">
            <v>0</v>
          </cell>
          <cell r="AR610">
            <v>13.011851774691362</v>
          </cell>
          <cell r="AS610">
            <v>0</v>
          </cell>
          <cell r="AT610">
            <v>45604</v>
          </cell>
          <cell r="AU610">
            <v>13.011851774691362</v>
          </cell>
          <cell r="AV610">
            <v>390.35555324074085</v>
          </cell>
          <cell r="AW610">
            <v>13.011851774691362</v>
          </cell>
          <cell r="AY610">
            <v>395.46369178241002</v>
          </cell>
          <cell r="AZ610" t="str">
            <v>F18</v>
          </cell>
          <cell r="BA610">
            <v>0</v>
          </cell>
          <cell r="BB610" t="str">
            <v>PSSR</v>
          </cell>
          <cell r="BC610" t="str">
            <v>F18</v>
          </cell>
        </row>
        <row r="611">
          <cell r="A611" t="str">
            <v>553B1B</v>
          </cell>
          <cell r="B611" t="str">
            <v>3</v>
          </cell>
          <cell r="C611" t="str">
            <v>05</v>
          </cell>
          <cell r="D611">
            <v>19</v>
          </cell>
          <cell r="E611" t="str">
            <v>553B1B</v>
          </cell>
          <cell r="F611">
            <v>3.87</v>
          </cell>
          <cell r="G611">
            <v>3.37</v>
          </cell>
          <cell r="H611">
            <v>3.37</v>
          </cell>
          <cell r="I611" t="str">
            <v>SR</v>
          </cell>
          <cell r="J611" t="str">
            <v>SC</v>
          </cell>
          <cell r="K611">
            <v>0</v>
          </cell>
          <cell r="L611">
            <v>45604</v>
          </cell>
          <cell r="M611">
            <v>45604</v>
          </cell>
          <cell r="N611">
            <v>390</v>
          </cell>
          <cell r="O611" t="str">
            <v>PS</v>
          </cell>
          <cell r="P611" t="str">
            <v/>
          </cell>
          <cell r="Q611">
            <v>45604</v>
          </cell>
          <cell r="R611" t="str">
            <v/>
          </cell>
          <cell r="S611" t="str">
            <v/>
          </cell>
          <cell r="T611" t="str">
            <v/>
          </cell>
          <cell r="U611">
            <v>8850</v>
          </cell>
          <cell r="V611">
            <v>10850</v>
          </cell>
          <cell r="W611">
            <v>46020</v>
          </cell>
          <cell r="X611" t="str">
            <v>Lokasi Produksi 553B1B ( pecahan 553B1 )</v>
          </cell>
          <cell r="Z611">
            <v>0</v>
          </cell>
          <cell r="AA611">
            <v>45604</v>
          </cell>
          <cell r="AB611">
            <v>97.597336111110053</v>
          </cell>
          <cell r="AC611">
            <v>3.2532445370370016</v>
          </cell>
          <cell r="AD611">
            <v>-4.746755462962998</v>
          </cell>
          <cell r="AE611">
            <v>18.68</v>
          </cell>
          <cell r="AF611">
            <v>0</v>
          </cell>
          <cell r="AG611">
            <v>-1371.4333333333334</v>
          </cell>
          <cell r="AM611" t="str">
            <v>OK</v>
          </cell>
          <cell r="AO611">
            <v>13.011851774691362</v>
          </cell>
          <cell r="AP611">
            <v>13.011851774691362</v>
          </cell>
          <cell r="AQ611">
            <v>0</v>
          </cell>
          <cell r="AR611">
            <v>13.011851774691362</v>
          </cell>
          <cell r="AS611">
            <v>0</v>
          </cell>
          <cell r="AT611">
            <v>45604</v>
          </cell>
          <cell r="AU611">
            <v>13.011851774691362</v>
          </cell>
          <cell r="AV611">
            <v>390.35555324074085</v>
          </cell>
          <cell r="AW611">
            <v>13.011851774691362</v>
          </cell>
          <cell r="AY611">
            <v>395.46369178241002</v>
          </cell>
          <cell r="AZ611" t="str">
            <v>F18</v>
          </cell>
          <cell r="BA611">
            <v>0</v>
          </cell>
          <cell r="BB611" t="str">
            <v>PSSR</v>
          </cell>
          <cell r="BC611" t="str">
            <v>F18</v>
          </cell>
        </row>
        <row r="612">
          <cell r="A612" t="str">
            <v>553B2A</v>
          </cell>
          <cell r="B612" t="str">
            <v>3</v>
          </cell>
          <cell r="C612" t="str">
            <v>05</v>
          </cell>
          <cell r="D612">
            <v>19</v>
          </cell>
          <cell r="E612" t="str">
            <v>553B2A</v>
          </cell>
          <cell r="F612">
            <v>3.64</v>
          </cell>
          <cell r="G612">
            <v>2.73</v>
          </cell>
          <cell r="H612">
            <v>2.73</v>
          </cell>
          <cell r="I612" t="str">
            <v>SR</v>
          </cell>
          <cell r="J612" t="str">
            <v>SC</v>
          </cell>
          <cell r="K612">
            <v>0</v>
          </cell>
          <cell r="L612">
            <v>45604</v>
          </cell>
          <cell r="M612">
            <v>45604</v>
          </cell>
          <cell r="N612">
            <v>390</v>
          </cell>
          <cell r="O612" t="str">
            <v>PS</v>
          </cell>
          <cell r="P612" t="str">
            <v/>
          </cell>
          <cell r="Q612">
            <v>45604</v>
          </cell>
          <cell r="R612" t="str">
            <v/>
          </cell>
          <cell r="S612" t="str">
            <v/>
          </cell>
          <cell r="T612" t="str">
            <v/>
          </cell>
          <cell r="U612">
            <v>8003</v>
          </cell>
          <cell r="V612">
            <v>8003</v>
          </cell>
          <cell r="W612">
            <v>45604</v>
          </cell>
          <cell r="X612" t="str">
            <v>Lokasi Produksi 553B2A ( pecahan 553B2 )</v>
          </cell>
          <cell r="Z612">
            <v>0</v>
          </cell>
          <cell r="AA612">
            <v>45604</v>
          </cell>
          <cell r="AB612">
            <v>213.59733611111005</v>
          </cell>
          <cell r="AC612">
            <v>7.1199112037036683</v>
          </cell>
          <cell r="AD612">
            <v>-0.88008879629633174</v>
          </cell>
          <cell r="AE612">
            <v>23.17</v>
          </cell>
          <cell r="AF612">
            <v>0</v>
          </cell>
          <cell r="AG612">
            <v>-1367.5666666666666</v>
          </cell>
          <cell r="AM612" t="str">
            <v>OK</v>
          </cell>
          <cell r="AO612">
            <v>13.011851774691362</v>
          </cell>
          <cell r="AP612">
            <v>13.011851774691362</v>
          </cell>
          <cell r="AQ612">
            <v>0</v>
          </cell>
          <cell r="AR612">
            <v>13.011851774691362</v>
          </cell>
          <cell r="AS612">
            <v>0</v>
          </cell>
          <cell r="AT612">
            <v>45604</v>
          </cell>
          <cell r="AU612">
            <v>13.011851774691362</v>
          </cell>
          <cell r="AV612">
            <v>390.35555324074085</v>
          </cell>
          <cell r="AW612">
            <v>13.011851774691362</v>
          </cell>
          <cell r="AY612">
            <v>395.46369178241002</v>
          </cell>
          <cell r="AZ612" t="str">
            <v>F18</v>
          </cell>
          <cell r="BA612">
            <v>0</v>
          </cell>
          <cell r="BB612" t="str">
            <v>PSSR</v>
          </cell>
          <cell r="BC612" t="str">
            <v>F18</v>
          </cell>
        </row>
        <row r="613">
          <cell r="A613" t="str">
            <v>553B2B</v>
          </cell>
          <cell r="B613" t="str">
            <v>3</v>
          </cell>
          <cell r="C613" t="str">
            <v>05</v>
          </cell>
          <cell r="D613">
            <v>19</v>
          </cell>
          <cell r="E613" t="str">
            <v>553B2B</v>
          </cell>
          <cell r="F613">
            <v>6.8</v>
          </cell>
          <cell r="G613">
            <v>5.37</v>
          </cell>
          <cell r="H613">
            <v>5.37</v>
          </cell>
          <cell r="I613" t="str">
            <v>SR</v>
          </cell>
          <cell r="J613" t="str">
            <v>SC</v>
          </cell>
          <cell r="K613">
            <v>0</v>
          </cell>
          <cell r="L613">
            <v>45604</v>
          </cell>
          <cell r="M613">
            <v>45604</v>
          </cell>
          <cell r="N613">
            <v>390</v>
          </cell>
          <cell r="O613" t="str">
            <v>PS</v>
          </cell>
          <cell r="P613" t="str">
            <v/>
          </cell>
          <cell r="Q613">
            <v>45604</v>
          </cell>
          <cell r="R613" t="str">
            <v/>
          </cell>
          <cell r="S613" t="str">
            <v/>
          </cell>
          <cell r="T613" t="str">
            <v/>
          </cell>
          <cell r="U613">
            <v>15095</v>
          </cell>
          <cell r="V613">
            <v>15095</v>
          </cell>
          <cell r="W613">
            <v>45604</v>
          </cell>
          <cell r="X613" t="str">
            <v>Lokasi Produksi 553B2B ( pecahan 553B2 )</v>
          </cell>
          <cell r="Z613">
            <v>0</v>
          </cell>
          <cell r="AA613">
            <v>45604</v>
          </cell>
          <cell r="AB613">
            <v>308.59733611111005</v>
          </cell>
          <cell r="AC613">
            <v>10.286577870370335</v>
          </cell>
          <cell r="AD613">
            <v>2.2865778703703352</v>
          </cell>
          <cell r="AE613">
            <v>8.8800000000000008</v>
          </cell>
          <cell r="AF613">
            <v>0</v>
          </cell>
          <cell r="AG613">
            <v>-1364.4</v>
          </cell>
          <cell r="AM613" t="str">
            <v>OK</v>
          </cell>
          <cell r="AO613">
            <v>13.011851774691362</v>
          </cell>
          <cell r="AP613">
            <v>13.011851774691362</v>
          </cell>
          <cell r="AQ613">
            <v>0</v>
          </cell>
          <cell r="AR613">
            <v>13.011851774691362</v>
          </cell>
          <cell r="AS613">
            <v>0</v>
          </cell>
          <cell r="AT613">
            <v>45604</v>
          </cell>
          <cell r="AU613">
            <v>13.011851774691362</v>
          </cell>
          <cell r="AV613">
            <v>390.35555324074085</v>
          </cell>
          <cell r="AW613">
            <v>13.011851774691362</v>
          </cell>
          <cell r="AY613">
            <v>395.46369178241002</v>
          </cell>
          <cell r="AZ613" t="str">
            <v>F18</v>
          </cell>
          <cell r="BA613">
            <v>0</v>
          </cell>
          <cell r="BB613" t="str">
            <v>PSSR</v>
          </cell>
          <cell r="BC613" t="str">
            <v>F18</v>
          </cell>
        </row>
        <row r="614">
          <cell r="A614" t="str">
            <v>553B2C</v>
          </cell>
          <cell r="B614" t="str">
            <v>3</v>
          </cell>
          <cell r="C614" t="str">
            <v>05</v>
          </cell>
          <cell r="D614">
            <v>19</v>
          </cell>
          <cell r="E614" t="str">
            <v>553B2C</v>
          </cell>
          <cell r="F614">
            <v>2.69</v>
          </cell>
          <cell r="G614">
            <v>2.0499999999999998</v>
          </cell>
          <cell r="H614">
            <v>2.0499999999999998</v>
          </cell>
          <cell r="I614" t="str">
            <v>SR</v>
          </cell>
          <cell r="J614" t="str">
            <v>SC</v>
          </cell>
          <cell r="K614">
            <v>0</v>
          </cell>
          <cell r="L614">
            <v>45604</v>
          </cell>
          <cell r="M614">
            <v>45604</v>
          </cell>
          <cell r="N614">
            <v>390</v>
          </cell>
          <cell r="O614" t="str">
            <v>PS</v>
          </cell>
          <cell r="P614" t="str">
            <v/>
          </cell>
          <cell r="Q614">
            <v>45604</v>
          </cell>
          <cell r="R614" t="str">
            <v/>
          </cell>
          <cell r="S614" t="str">
            <v/>
          </cell>
          <cell r="T614" t="str">
            <v/>
          </cell>
          <cell r="U614">
            <v>5825</v>
          </cell>
          <cell r="V614">
            <v>5825</v>
          </cell>
          <cell r="W614">
            <v>45604</v>
          </cell>
          <cell r="X614" t="str">
            <v>Lokasi Produksi 553B2C ( pecahan 553B2 )</v>
          </cell>
          <cell r="Z614">
            <v>0</v>
          </cell>
          <cell r="AA614">
            <v>45604</v>
          </cell>
          <cell r="AB614">
            <v>237.59733611111005</v>
          </cell>
          <cell r="AC614">
            <v>7.9199112037036681</v>
          </cell>
          <cell r="AD614">
            <v>-8.0088796296331921E-2</v>
          </cell>
          <cell r="AE614">
            <v>20.03</v>
          </cell>
          <cell r="AF614">
            <v>0</v>
          </cell>
          <cell r="AG614">
            <v>-1366.7666666666667</v>
          </cell>
          <cell r="AM614" t="str">
            <v>OK</v>
          </cell>
          <cell r="AO614">
            <v>13.011851774691362</v>
          </cell>
          <cell r="AP614">
            <v>13.011851774691362</v>
          </cell>
          <cell r="AQ614">
            <v>0</v>
          </cell>
          <cell r="AR614">
            <v>13.011851774691362</v>
          </cell>
          <cell r="AS614">
            <v>0</v>
          </cell>
          <cell r="AT614">
            <v>45604</v>
          </cell>
          <cell r="AU614">
            <v>13.011851774691362</v>
          </cell>
          <cell r="AV614">
            <v>390.35555324074085</v>
          </cell>
          <cell r="AW614">
            <v>13.011851774691362</v>
          </cell>
          <cell r="AY614">
            <v>395.46369178241002</v>
          </cell>
          <cell r="AZ614" t="str">
            <v>F18</v>
          </cell>
          <cell r="BA614">
            <v>0</v>
          </cell>
          <cell r="BB614" t="str">
            <v>PSSR</v>
          </cell>
          <cell r="BC614" t="str">
            <v>F18</v>
          </cell>
        </row>
        <row r="615">
          <cell r="A615" t="str">
            <v>553D1</v>
          </cell>
          <cell r="B615" t="str">
            <v>3</v>
          </cell>
          <cell r="C615" t="str">
            <v>05</v>
          </cell>
          <cell r="D615">
            <v>19</v>
          </cell>
          <cell r="E615" t="str">
            <v>553D1</v>
          </cell>
          <cell r="F615">
            <v>5.27</v>
          </cell>
          <cell r="G615">
            <v>4.32</v>
          </cell>
          <cell r="H615">
            <v>4.32</v>
          </cell>
          <cell r="I615" t="str">
            <v>Y1</v>
          </cell>
          <cell r="J615" t="str">
            <v>TU</v>
          </cell>
          <cell r="K615">
            <v>0</v>
          </cell>
          <cell r="L615">
            <v>45744</v>
          </cell>
          <cell r="M615">
            <v>45744</v>
          </cell>
          <cell r="N615">
            <v>250</v>
          </cell>
          <cell r="O615" t="str">
            <v>PS</v>
          </cell>
          <cell r="P615" t="str">
            <v/>
          </cell>
          <cell r="Q615">
            <v>45744</v>
          </cell>
          <cell r="R615" t="str">
            <v/>
          </cell>
          <cell r="S615" t="str">
            <v/>
          </cell>
          <cell r="T615" t="str">
            <v/>
          </cell>
          <cell r="U615">
            <v>10271</v>
          </cell>
          <cell r="V615" t="str">
            <v/>
          </cell>
          <cell r="W615" t="str">
            <v/>
          </cell>
          <cell r="X615" t="str">
            <v>Lokasi Produksi 553D1 ( pecahan 553D )</v>
          </cell>
          <cell r="Z615">
            <v>0</v>
          </cell>
          <cell r="AA615">
            <v>45744</v>
          </cell>
          <cell r="AB615">
            <v>4348.5973361111101</v>
          </cell>
          <cell r="AC615">
            <v>144.95324453703699</v>
          </cell>
          <cell r="AD615">
            <v>-20</v>
          </cell>
          <cell r="AE615">
            <v>0</v>
          </cell>
          <cell r="AF615">
            <v>0</v>
          </cell>
          <cell r="AG615">
            <v>-1229.7333333333333</v>
          </cell>
          <cell r="AM615" t="str">
            <v>OK</v>
          </cell>
          <cell r="AO615">
            <v>8.3451851080246957</v>
          </cell>
          <cell r="AP615">
            <v>8.3451851080246957</v>
          </cell>
          <cell r="AQ615">
            <v>0</v>
          </cell>
          <cell r="AR615">
            <v>8.3451851080246957</v>
          </cell>
          <cell r="AS615">
            <v>0</v>
          </cell>
          <cell r="AT615">
            <v>45744</v>
          </cell>
          <cell r="AU615">
            <v>8.3451851080246957</v>
          </cell>
          <cell r="AV615">
            <v>250.35555324074087</v>
          </cell>
          <cell r="AW615">
            <v>8.3451851080246957</v>
          </cell>
          <cell r="AY615">
            <v>255.46369178241002</v>
          </cell>
          <cell r="AZ615" t="str">
            <v>F18</v>
          </cell>
          <cell r="BA615">
            <v>0</v>
          </cell>
          <cell r="BB615" t="str">
            <v>PSY1</v>
          </cell>
          <cell r="BC615" t="str">
            <v>F18</v>
          </cell>
        </row>
        <row r="616">
          <cell r="A616" t="str">
            <v>553D2</v>
          </cell>
          <cell r="B616" t="str">
            <v>3</v>
          </cell>
          <cell r="C616" t="str">
            <v>05</v>
          </cell>
          <cell r="D616">
            <v>19</v>
          </cell>
          <cell r="E616" t="str">
            <v>553D2</v>
          </cell>
          <cell r="F616">
            <v>7.22</v>
          </cell>
          <cell r="G616">
            <v>5.91</v>
          </cell>
          <cell r="H616">
            <v>5.91</v>
          </cell>
          <cell r="I616" t="str">
            <v>Y1</v>
          </cell>
          <cell r="J616" t="str">
            <v>TU</v>
          </cell>
          <cell r="K616">
            <v>0</v>
          </cell>
          <cell r="L616">
            <v>45739</v>
          </cell>
          <cell r="M616">
            <v>45739</v>
          </cell>
          <cell r="N616">
            <v>255</v>
          </cell>
          <cell r="O616" t="str">
            <v>PS</v>
          </cell>
          <cell r="P616" t="str">
            <v/>
          </cell>
          <cell r="Q616">
            <v>45739</v>
          </cell>
          <cell r="R616" t="str">
            <v/>
          </cell>
          <cell r="S616" t="str">
            <v/>
          </cell>
          <cell r="T616" t="str">
            <v/>
          </cell>
          <cell r="U616">
            <v>13992</v>
          </cell>
          <cell r="V616" t="str">
            <v/>
          </cell>
          <cell r="W616" t="str">
            <v/>
          </cell>
          <cell r="X616" t="str">
            <v>Lokasi Produksi 553D2 ( pecahan 553D )</v>
          </cell>
          <cell r="Z616">
            <v>0</v>
          </cell>
          <cell r="AA616">
            <v>45739</v>
          </cell>
          <cell r="AB616">
            <v>253.59733611111005</v>
          </cell>
          <cell r="AC616">
            <v>8.4532445370370013</v>
          </cell>
          <cell r="AD616">
            <v>0.45324453703700129</v>
          </cell>
          <cell r="AE616">
            <v>13.13</v>
          </cell>
          <cell r="AF616">
            <v>0</v>
          </cell>
          <cell r="AG616">
            <v>-1366.2333333333333</v>
          </cell>
          <cell r="AM616" t="str">
            <v>OK</v>
          </cell>
          <cell r="AO616">
            <v>8.5118517746913618</v>
          </cell>
          <cell r="AP616">
            <v>8.5118517746913618</v>
          </cell>
          <cell r="AQ616">
            <v>0</v>
          </cell>
          <cell r="AR616">
            <v>8.5118517746913618</v>
          </cell>
          <cell r="AS616">
            <v>0</v>
          </cell>
          <cell r="AT616">
            <v>45739</v>
          </cell>
          <cell r="AU616">
            <v>8.5118517746913618</v>
          </cell>
          <cell r="AV616">
            <v>255.35555324074085</v>
          </cell>
          <cell r="AW616">
            <v>8.5118517746913618</v>
          </cell>
          <cell r="AY616">
            <v>260.46369178241002</v>
          </cell>
          <cell r="AZ616" t="str">
            <v>F18</v>
          </cell>
          <cell r="BA616">
            <v>0</v>
          </cell>
          <cell r="BB616" t="str">
            <v>PSY1</v>
          </cell>
          <cell r="BC616" t="str">
            <v>F18</v>
          </cell>
        </row>
        <row r="617">
          <cell r="A617" t="str">
            <v>553E1</v>
          </cell>
          <cell r="B617" t="str">
            <v>3</v>
          </cell>
          <cell r="C617" t="str">
            <v>05</v>
          </cell>
          <cell r="D617">
            <v>19</v>
          </cell>
          <cell r="E617" t="str">
            <v>553E1</v>
          </cell>
          <cell r="F617">
            <v>13.4</v>
          </cell>
          <cell r="G617">
            <v>11.4</v>
          </cell>
          <cell r="H617">
            <v>11.4</v>
          </cell>
          <cell r="I617" t="str">
            <v>FC</v>
          </cell>
          <cell r="J617" t="str">
            <v>ST</v>
          </cell>
          <cell r="K617">
            <v>14</v>
          </cell>
          <cell r="L617">
            <v>45885</v>
          </cell>
          <cell r="M617">
            <v>45885</v>
          </cell>
          <cell r="N617">
            <v>109</v>
          </cell>
          <cell r="O617" t="str">
            <v>NS</v>
          </cell>
          <cell r="P617" t="str">
            <v>NSGP3CK3</v>
          </cell>
          <cell r="Q617">
            <v>46312</v>
          </cell>
          <cell r="R617" t="str">
            <v/>
          </cell>
          <cell r="S617" t="str">
            <v/>
          </cell>
          <cell r="T617" t="str">
            <v/>
          </cell>
          <cell r="U617">
            <v>71358</v>
          </cell>
          <cell r="V617">
            <v>51611</v>
          </cell>
          <cell r="W617">
            <v>44722</v>
          </cell>
          <cell r="X617" t="str">
            <v>Lokasi Produksi 553E1 ( pecahan 553E )</v>
          </cell>
          <cell r="Z617">
            <v>14</v>
          </cell>
          <cell r="AA617">
            <v>46312</v>
          </cell>
          <cell r="AB617">
            <v>154.59733611111005</v>
          </cell>
          <cell r="AC617">
            <v>5.1532445370370015</v>
          </cell>
          <cell r="AD617">
            <v>-20</v>
          </cell>
          <cell r="AE617">
            <v>0</v>
          </cell>
          <cell r="AF617">
            <v>0</v>
          </cell>
          <cell r="AG617">
            <v>-1369.5333333333333</v>
          </cell>
          <cell r="AM617" t="str">
            <v>OK</v>
          </cell>
          <cell r="AO617">
            <v>3.6451851080246951</v>
          </cell>
          <cell r="AP617">
            <v>-10.354814891975305</v>
          </cell>
          <cell r="AQ617">
            <v>0</v>
          </cell>
          <cell r="AR617">
            <v>3.6451851080246951</v>
          </cell>
          <cell r="AS617">
            <v>0</v>
          </cell>
          <cell r="AT617">
            <v>46312</v>
          </cell>
          <cell r="AU617">
            <v>-10.354814891975305</v>
          </cell>
          <cell r="AV617">
            <v>109.35555324074085</v>
          </cell>
          <cell r="AW617">
            <v>-10.354814891975305</v>
          </cell>
          <cell r="AY617">
            <v>114.46369178241002</v>
          </cell>
          <cell r="AZ617" t="str">
            <v>GP3</v>
          </cell>
          <cell r="BA617">
            <v>11.4</v>
          </cell>
          <cell r="BB617" t="str">
            <v>NSFC</v>
          </cell>
          <cell r="BC617" t="str">
            <v>GP3CK</v>
          </cell>
        </row>
        <row r="618">
          <cell r="A618" t="str">
            <v>553E2</v>
          </cell>
          <cell r="B618" t="str">
            <v>3</v>
          </cell>
          <cell r="C618" t="str">
            <v>05</v>
          </cell>
          <cell r="D618">
            <v>19</v>
          </cell>
          <cell r="E618" t="str">
            <v>553E2</v>
          </cell>
          <cell r="F618">
            <v>8</v>
          </cell>
          <cell r="G618">
            <v>6.78</v>
          </cell>
          <cell r="H618">
            <v>6.78</v>
          </cell>
          <cell r="I618" t="str">
            <v>FC</v>
          </cell>
          <cell r="J618" t="str">
            <v>ST</v>
          </cell>
          <cell r="K618">
            <v>14</v>
          </cell>
          <cell r="L618">
            <v>45882</v>
          </cell>
          <cell r="M618">
            <v>45882</v>
          </cell>
          <cell r="N618">
            <v>112</v>
          </cell>
          <cell r="O618" t="str">
            <v>NS</v>
          </cell>
          <cell r="P618" t="str">
            <v>NSGP3CK3</v>
          </cell>
          <cell r="Q618">
            <v>46309</v>
          </cell>
          <cell r="R618" t="str">
            <v/>
          </cell>
          <cell r="S618" t="str">
            <v/>
          </cell>
          <cell r="T618" t="str">
            <v/>
          </cell>
          <cell r="U618">
            <v>69020</v>
          </cell>
          <cell r="V618">
            <v>51546</v>
          </cell>
          <cell r="W618">
            <v>44722</v>
          </cell>
          <cell r="X618" t="str">
            <v>Lokasi Produksi 553E2 ( pecahan 553E )</v>
          </cell>
          <cell r="Z618">
            <v>14</v>
          </cell>
          <cell r="AA618">
            <v>46309</v>
          </cell>
          <cell r="AB618">
            <v>213.59733611111005</v>
          </cell>
          <cell r="AC618">
            <v>7.1199112037036683</v>
          </cell>
          <cell r="AD618">
            <v>-20</v>
          </cell>
          <cell r="AE618">
            <v>0</v>
          </cell>
          <cell r="AF618">
            <v>0</v>
          </cell>
          <cell r="AG618">
            <v>-1367.5666666666666</v>
          </cell>
          <cell r="AK618">
            <v>40323</v>
          </cell>
          <cell r="AM618" t="str">
            <v>OK</v>
          </cell>
          <cell r="AO618">
            <v>3.7451851080246947</v>
          </cell>
          <cell r="AP618">
            <v>-10.254814891975306</v>
          </cell>
          <cell r="AQ618">
            <v>0</v>
          </cell>
          <cell r="AR618">
            <v>3.7451851080246947</v>
          </cell>
          <cell r="AS618">
            <v>0</v>
          </cell>
          <cell r="AT618">
            <v>46309</v>
          </cell>
          <cell r="AU618">
            <v>-10.254814891975306</v>
          </cell>
          <cell r="AV618">
            <v>112.35555324074085</v>
          </cell>
          <cell r="AW618">
            <v>-10.254814891975306</v>
          </cell>
          <cell r="AY618">
            <v>117.46369178241002</v>
          </cell>
          <cell r="AZ618" t="str">
            <v>GP3</v>
          </cell>
          <cell r="BA618">
            <v>6.78</v>
          </cell>
          <cell r="BB618" t="str">
            <v>NSFC</v>
          </cell>
          <cell r="BC618" t="str">
            <v>GP3CK</v>
          </cell>
        </row>
        <row r="619">
          <cell r="A619" t="str">
            <v>554A2</v>
          </cell>
          <cell r="B619" t="str">
            <v>3</v>
          </cell>
          <cell r="C619" t="str">
            <v>06</v>
          </cell>
          <cell r="D619">
            <v>23</v>
          </cell>
          <cell r="E619" t="str">
            <v>554A2</v>
          </cell>
          <cell r="F619">
            <v>7.69</v>
          </cell>
          <cell r="G619">
            <v>6.34</v>
          </cell>
          <cell r="H619">
            <v>6.34</v>
          </cell>
          <cell r="I619" t="str">
            <v>FC</v>
          </cell>
          <cell r="J619" t="str">
            <v>ST</v>
          </cell>
          <cell r="K619">
            <v>14</v>
          </cell>
          <cell r="L619">
            <v>45644</v>
          </cell>
          <cell r="M619">
            <v>45644</v>
          </cell>
          <cell r="N619">
            <v>350</v>
          </cell>
          <cell r="O619" t="str">
            <v>NS</v>
          </cell>
          <cell r="P619" t="str">
            <v>NSF18SK3</v>
          </cell>
          <cell r="Q619">
            <v>46071</v>
          </cell>
          <cell r="R619" t="str">
            <v/>
          </cell>
          <cell r="S619" t="str">
            <v/>
          </cell>
          <cell r="T619" t="str">
            <v/>
          </cell>
          <cell r="U619">
            <v>64364</v>
          </cell>
          <cell r="V619">
            <v>71615</v>
          </cell>
          <cell r="W619">
            <v>45408</v>
          </cell>
          <cell r="X619" t="str">
            <v>Lokasi Produksi 554A2 (pecahan 554A)</v>
          </cell>
          <cell r="Z619">
            <v>14</v>
          </cell>
          <cell r="AA619">
            <v>46071</v>
          </cell>
          <cell r="AB619">
            <v>153.59733611111005</v>
          </cell>
          <cell r="AC619">
            <v>5.1199112037036683</v>
          </cell>
          <cell r="AD619">
            <v>-20</v>
          </cell>
          <cell r="AE619">
            <v>0</v>
          </cell>
          <cell r="AF619">
            <v>0</v>
          </cell>
          <cell r="AG619">
            <v>-1369.5666666666666</v>
          </cell>
          <cell r="AM619" t="str">
            <v>OK</v>
          </cell>
          <cell r="AO619">
            <v>11.678518441358028</v>
          </cell>
          <cell r="AP619">
            <v>-2.3214815586419721</v>
          </cell>
          <cell r="AQ619">
            <v>0</v>
          </cell>
          <cell r="AR619">
            <v>11.678518441358028</v>
          </cell>
          <cell r="AS619">
            <v>0</v>
          </cell>
          <cell r="AT619">
            <v>46071</v>
          </cell>
          <cell r="AU619">
            <v>-2.3214815586419721</v>
          </cell>
          <cell r="AV619">
            <v>350.35555324074085</v>
          </cell>
          <cell r="AW619">
            <v>-2.3214815586419721</v>
          </cell>
          <cell r="AY619">
            <v>355.46369178241002</v>
          </cell>
          <cell r="AZ619" t="str">
            <v>F18</v>
          </cell>
          <cell r="BA619">
            <v>6.34</v>
          </cell>
          <cell r="BB619" t="str">
            <v>NSFC</v>
          </cell>
          <cell r="BC619" t="str">
            <v>F18SK</v>
          </cell>
        </row>
        <row r="620">
          <cell r="A620" t="str">
            <v>554A3</v>
          </cell>
          <cell r="B620" t="str">
            <v>3</v>
          </cell>
          <cell r="C620" t="str">
            <v>06</v>
          </cell>
          <cell r="D620">
            <v>23</v>
          </cell>
          <cell r="E620" t="str">
            <v>554A3</v>
          </cell>
          <cell r="F620">
            <v>8.91</v>
          </cell>
          <cell r="G620">
            <v>7.31</v>
          </cell>
          <cell r="H620">
            <v>7.31</v>
          </cell>
          <cell r="I620" t="str">
            <v>FC</v>
          </cell>
          <cell r="J620" t="str">
            <v>ST</v>
          </cell>
          <cell r="K620">
            <v>12</v>
          </cell>
          <cell r="L620">
            <v>45638</v>
          </cell>
          <cell r="M620">
            <v>45638</v>
          </cell>
          <cell r="N620">
            <v>356</v>
          </cell>
          <cell r="O620" t="str">
            <v>NS</v>
          </cell>
          <cell r="P620" t="str">
            <v>NSF18SS3</v>
          </cell>
          <cell r="Q620">
            <v>46004</v>
          </cell>
          <cell r="R620" t="str">
            <v/>
          </cell>
          <cell r="S620" t="str">
            <v/>
          </cell>
          <cell r="T620">
            <v>45982</v>
          </cell>
          <cell r="U620">
            <v>70414</v>
          </cell>
          <cell r="V620">
            <v>70624</v>
          </cell>
          <cell r="W620">
            <v>45533</v>
          </cell>
          <cell r="X620" t="str">
            <v>Lokasi Produksi 554A3 (pecahan 554A)</v>
          </cell>
          <cell r="Z620">
            <v>12</v>
          </cell>
          <cell r="AA620">
            <v>46004</v>
          </cell>
          <cell r="AB620">
            <v>747.59733611111005</v>
          </cell>
          <cell r="AC620">
            <v>24.91991120370367</v>
          </cell>
          <cell r="AD620">
            <v>-20</v>
          </cell>
          <cell r="AE620">
            <v>0</v>
          </cell>
          <cell r="AF620">
            <v>0</v>
          </cell>
          <cell r="AG620">
            <v>-1349.7666666666667</v>
          </cell>
          <cell r="AM620" t="str">
            <v>OK</v>
          </cell>
          <cell r="AO620">
            <v>11.878518441358029</v>
          </cell>
          <cell r="AP620">
            <v>-0.12148155864197108</v>
          </cell>
          <cell r="AQ620">
            <v>45982</v>
          </cell>
          <cell r="AR620">
            <v>11.466666666666667</v>
          </cell>
          <cell r="AS620">
            <v>0.41185177469136214</v>
          </cell>
          <cell r="AT620">
            <v>46004</v>
          </cell>
          <cell r="AU620">
            <v>0.41185177469136214</v>
          </cell>
          <cell r="AV620">
            <v>344</v>
          </cell>
          <cell r="AW620">
            <v>0.41185177469136214</v>
          </cell>
          <cell r="AY620">
            <v>361.46369178241002</v>
          </cell>
          <cell r="AZ620" t="str">
            <v>F18</v>
          </cell>
          <cell r="BA620">
            <v>7.31</v>
          </cell>
          <cell r="BB620" t="str">
            <v>NSFC</v>
          </cell>
          <cell r="BC620" t="str">
            <v>F18SS</v>
          </cell>
        </row>
        <row r="621">
          <cell r="A621" t="str">
            <v>554B1A</v>
          </cell>
          <cell r="B621" t="str">
            <v>3</v>
          </cell>
          <cell r="C621" t="str">
            <v>06</v>
          </cell>
          <cell r="D621">
            <v>23</v>
          </cell>
          <cell r="E621" t="str">
            <v>554B1A</v>
          </cell>
          <cell r="F621">
            <v>4.6399999999999997</v>
          </cell>
          <cell r="G621">
            <v>3.62</v>
          </cell>
          <cell r="H621">
            <v>3.62</v>
          </cell>
          <cell r="I621" t="str">
            <v>SC</v>
          </cell>
          <cell r="J621" t="str">
            <v>FC</v>
          </cell>
          <cell r="K621">
            <v>8</v>
          </cell>
          <cell r="L621">
            <v>45782</v>
          </cell>
          <cell r="M621">
            <v>45782</v>
          </cell>
          <cell r="N621">
            <v>212</v>
          </cell>
          <cell r="O621" t="str">
            <v>NS</v>
          </cell>
          <cell r="P621" t="str">
            <v/>
          </cell>
          <cell r="Q621">
            <v>46026</v>
          </cell>
          <cell r="R621" t="str">
            <v/>
          </cell>
          <cell r="S621" t="str">
            <v/>
          </cell>
          <cell r="T621" t="str">
            <v/>
          </cell>
          <cell r="U621">
            <v>68312</v>
          </cell>
          <cell r="V621">
            <v>70501</v>
          </cell>
          <cell r="W621">
            <v>45892</v>
          </cell>
          <cell r="X621" t="str">
            <v>Lokasi Produksi 554B1A ( pecahan 554B1 )</v>
          </cell>
          <cell r="Z621">
            <v>8</v>
          </cell>
          <cell r="AA621">
            <v>46026</v>
          </cell>
          <cell r="AB621">
            <v>4501.5973361111101</v>
          </cell>
          <cell r="AC621">
            <v>150.05324453703699</v>
          </cell>
          <cell r="AD621">
            <v>-20</v>
          </cell>
          <cell r="AE621">
            <v>0</v>
          </cell>
          <cell r="AF621">
            <v>0</v>
          </cell>
          <cell r="AG621">
            <v>-1224.6333333333334</v>
          </cell>
          <cell r="AM621" t="str">
            <v>OK</v>
          </cell>
          <cell r="AO621">
            <v>7.0785184413580282</v>
          </cell>
          <cell r="AP621">
            <v>-0.92148155864197179</v>
          </cell>
          <cell r="AQ621">
            <v>0</v>
          </cell>
          <cell r="AR621">
            <v>7.0785184413580282</v>
          </cell>
          <cell r="AS621">
            <v>0</v>
          </cell>
          <cell r="AT621">
            <v>46026</v>
          </cell>
          <cell r="AU621">
            <v>-0.92148155864197179</v>
          </cell>
          <cell r="AV621">
            <v>212.35555324074085</v>
          </cell>
          <cell r="AW621">
            <v>-0.92148155864197179</v>
          </cell>
          <cell r="AY621">
            <v>217.46369178241002</v>
          </cell>
          <cell r="AZ621" t="str">
            <v>F18</v>
          </cell>
          <cell r="BA621">
            <v>3.62</v>
          </cell>
          <cell r="BB621" t="str">
            <v>NSSC</v>
          </cell>
          <cell r="BC621" t="str">
            <v>F18</v>
          </cell>
        </row>
        <row r="622">
          <cell r="A622" t="str">
            <v>554B1B</v>
          </cell>
          <cell r="B622" t="str">
            <v>3</v>
          </cell>
          <cell r="C622" t="str">
            <v>06</v>
          </cell>
          <cell r="D622">
            <v>23</v>
          </cell>
          <cell r="E622" t="str">
            <v>554B1B</v>
          </cell>
          <cell r="F622">
            <v>6.97</v>
          </cell>
          <cell r="G622">
            <v>5.65</v>
          </cell>
          <cell r="H622">
            <v>5.65</v>
          </cell>
          <cell r="I622" t="str">
            <v>SC</v>
          </cell>
          <cell r="J622" t="str">
            <v>FC</v>
          </cell>
          <cell r="K622">
            <v>8</v>
          </cell>
          <cell r="L622">
            <v>45930</v>
          </cell>
          <cell r="M622">
            <v>45930</v>
          </cell>
          <cell r="N622">
            <v>64</v>
          </cell>
          <cell r="O622" t="str">
            <v>NS</v>
          </cell>
          <cell r="P622" t="str">
            <v/>
          </cell>
          <cell r="Q622">
            <v>46174</v>
          </cell>
          <cell r="R622" t="str">
            <v/>
          </cell>
          <cell r="S622" t="str">
            <v/>
          </cell>
          <cell r="T622" t="str">
            <v/>
          </cell>
          <cell r="U622">
            <v>71156</v>
          </cell>
          <cell r="V622">
            <v>71062</v>
          </cell>
          <cell r="W622">
            <v>45230</v>
          </cell>
          <cell r="X622" t="str">
            <v>Lokasi Produksi 554B1B ( pecahan 554B1 )</v>
          </cell>
          <cell r="Z622">
            <v>8</v>
          </cell>
          <cell r="AA622">
            <v>46174</v>
          </cell>
          <cell r="AB622">
            <v>277.59733611111005</v>
          </cell>
          <cell r="AC622">
            <v>9.253244537037002</v>
          </cell>
          <cell r="AD622">
            <v>-20</v>
          </cell>
          <cell r="AE622">
            <v>0</v>
          </cell>
          <cell r="AF622">
            <v>0</v>
          </cell>
          <cell r="AG622">
            <v>-1365.4333333333334</v>
          </cell>
          <cell r="AM622" t="str">
            <v>OK</v>
          </cell>
          <cell r="AO622">
            <v>2.1451851080246951</v>
          </cell>
          <cell r="AP622">
            <v>-5.8548148919753054</v>
          </cell>
          <cell r="AQ622">
            <v>0</v>
          </cell>
          <cell r="AR622">
            <v>2.1451851080246951</v>
          </cell>
          <cell r="AS622">
            <v>0</v>
          </cell>
          <cell r="AT622">
            <v>46174</v>
          </cell>
          <cell r="AU622">
            <v>-5.8548148919753054</v>
          </cell>
          <cell r="AV622">
            <v>64.355553240740846</v>
          </cell>
          <cell r="AW622">
            <v>-5.8548148919753054</v>
          </cell>
          <cell r="AY622">
            <v>69.463691782410024</v>
          </cell>
          <cell r="AZ622" t="str">
            <v>F18</v>
          </cell>
          <cell r="BA622">
            <v>5.65</v>
          </cell>
          <cell r="BB622" t="str">
            <v>NSSC</v>
          </cell>
          <cell r="BC622" t="str">
            <v>F18</v>
          </cell>
        </row>
        <row r="623">
          <cell r="A623" t="str">
            <v>554B1C</v>
          </cell>
          <cell r="B623" t="str">
            <v>3</v>
          </cell>
          <cell r="C623" t="str">
            <v>06</v>
          </cell>
          <cell r="D623">
            <v>23</v>
          </cell>
          <cell r="E623" t="str">
            <v>554B1C</v>
          </cell>
          <cell r="F623">
            <v>4.84</v>
          </cell>
          <cell r="G623">
            <v>3.83</v>
          </cell>
          <cell r="H623">
            <v>3.83</v>
          </cell>
          <cell r="I623" t="str">
            <v>SC</v>
          </cell>
          <cell r="J623" t="str">
            <v>FC</v>
          </cell>
          <cell r="K623">
            <v>8</v>
          </cell>
          <cell r="L623">
            <v>45782</v>
          </cell>
          <cell r="M623">
            <v>45782</v>
          </cell>
          <cell r="N623">
            <v>212</v>
          </cell>
          <cell r="O623" t="str">
            <v>NS</v>
          </cell>
          <cell r="P623" t="str">
            <v/>
          </cell>
          <cell r="Q623">
            <v>46026</v>
          </cell>
          <cell r="R623" t="str">
            <v/>
          </cell>
          <cell r="S623" t="str">
            <v/>
          </cell>
          <cell r="T623" t="str">
            <v/>
          </cell>
          <cell r="U623">
            <v>68738</v>
          </cell>
          <cell r="V623">
            <v>69224</v>
          </cell>
          <cell r="W623">
            <v>45161</v>
          </cell>
          <cell r="X623" t="str">
            <v>Lokasi Produksi 554B1C ( pecahan 554B1 )</v>
          </cell>
          <cell r="Z623">
            <v>8</v>
          </cell>
          <cell r="AA623">
            <v>46026</v>
          </cell>
          <cell r="AB623">
            <v>277.59733611111005</v>
          </cell>
          <cell r="AC623">
            <v>9.253244537037002</v>
          </cell>
          <cell r="AD623">
            <v>-20</v>
          </cell>
          <cell r="AE623">
            <v>0</v>
          </cell>
          <cell r="AF623">
            <v>0</v>
          </cell>
          <cell r="AG623">
            <v>-1365.4333333333334</v>
          </cell>
          <cell r="AM623" t="str">
            <v>OK</v>
          </cell>
          <cell r="AO623">
            <v>7.0785184413580282</v>
          </cell>
          <cell r="AP623">
            <v>-0.92148155864197179</v>
          </cell>
          <cell r="AQ623">
            <v>0</v>
          </cell>
          <cell r="AR623">
            <v>7.0785184413580282</v>
          </cell>
          <cell r="AS623">
            <v>0</v>
          </cell>
          <cell r="AT623">
            <v>46026</v>
          </cell>
          <cell r="AU623">
            <v>-0.92148155864197179</v>
          </cell>
          <cell r="AV623">
            <v>212.35555324074085</v>
          </cell>
          <cell r="AW623">
            <v>-0.92148155864197179</v>
          </cell>
          <cell r="AY623">
            <v>217.46369178241002</v>
          </cell>
          <cell r="AZ623" t="str">
            <v>F18</v>
          </cell>
          <cell r="BA623">
            <v>3.83</v>
          </cell>
          <cell r="BB623" t="str">
            <v>NSSC</v>
          </cell>
          <cell r="BC623" t="str">
            <v>F18</v>
          </cell>
        </row>
        <row r="624">
          <cell r="A624" t="str">
            <v>554B2</v>
          </cell>
          <cell r="B624" t="str">
            <v>3</v>
          </cell>
          <cell r="C624" t="str">
            <v>06</v>
          </cell>
          <cell r="D624">
            <v>23</v>
          </cell>
          <cell r="E624" t="str">
            <v>554B2</v>
          </cell>
          <cell r="F624">
            <v>15.24</v>
          </cell>
          <cell r="G624">
            <v>12.74</v>
          </cell>
          <cell r="H624">
            <v>12.74</v>
          </cell>
          <cell r="I624" t="str">
            <v>FC</v>
          </cell>
          <cell r="J624" t="str">
            <v>ST</v>
          </cell>
          <cell r="K624">
            <v>14</v>
          </cell>
          <cell r="L624">
            <v>45971</v>
          </cell>
          <cell r="M624">
            <v>45971</v>
          </cell>
          <cell r="N624">
            <v>23</v>
          </cell>
          <cell r="O624" t="str">
            <v>NS</v>
          </cell>
          <cell r="P624" t="str">
            <v>NSF18SK3</v>
          </cell>
          <cell r="Q624">
            <v>46398</v>
          </cell>
          <cell r="R624" t="str">
            <v/>
          </cell>
          <cell r="S624" t="str">
            <v/>
          </cell>
          <cell r="T624" t="str">
            <v/>
          </cell>
          <cell r="U624">
            <v>27663</v>
          </cell>
          <cell r="V624">
            <v>66408</v>
          </cell>
          <cell r="W624">
            <v>45855</v>
          </cell>
          <cell r="X624" t="str">
            <v>Lokasi Produksi 554B2</v>
          </cell>
          <cell r="Z624">
            <v>14</v>
          </cell>
          <cell r="AA624">
            <v>46398</v>
          </cell>
          <cell r="AB624">
            <v>267.59733611111005</v>
          </cell>
          <cell r="AC624">
            <v>8.9199112037036681</v>
          </cell>
          <cell r="AD624">
            <v>-20</v>
          </cell>
          <cell r="AE624">
            <v>0</v>
          </cell>
          <cell r="AF624">
            <v>0</v>
          </cell>
          <cell r="AG624">
            <v>-1365.7666666666667</v>
          </cell>
          <cell r="AM624" t="str">
            <v>OK</v>
          </cell>
          <cell r="AO624">
            <v>0.77851844135802817</v>
          </cell>
          <cell r="AP624">
            <v>-13.221481558641972</v>
          </cell>
          <cell r="AQ624">
            <v>0</v>
          </cell>
          <cell r="AR624">
            <v>0.77851844135802817</v>
          </cell>
          <cell r="AS624">
            <v>0</v>
          </cell>
          <cell r="AT624">
            <v>46398</v>
          </cell>
          <cell r="AU624">
            <v>-13.221481558641972</v>
          </cell>
          <cell r="AV624">
            <v>23.355553240740846</v>
          </cell>
          <cell r="AW624">
            <v>-13.221481558641972</v>
          </cell>
          <cell r="AY624">
            <v>28.463691782410024</v>
          </cell>
          <cell r="AZ624" t="str">
            <v>F18</v>
          </cell>
          <cell r="BA624">
            <v>12.74</v>
          </cell>
          <cell r="BB624" t="str">
            <v>NSFC</v>
          </cell>
          <cell r="BC624" t="str">
            <v>F18SK</v>
          </cell>
        </row>
        <row r="625">
          <cell r="A625" t="str">
            <v>554C1</v>
          </cell>
          <cell r="B625" t="str">
            <v>3</v>
          </cell>
          <cell r="C625" t="str">
            <v>06</v>
          </cell>
          <cell r="D625">
            <v>21</v>
          </cell>
          <cell r="E625" t="str">
            <v>554C1</v>
          </cell>
          <cell r="F625">
            <v>13.75</v>
          </cell>
          <cell r="G625">
            <v>11.61</v>
          </cell>
          <cell r="H625">
            <v>11.61</v>
          </cell>
          <cell r="I625" t="str">
            <v>FC</v>
          </cell>
          <cell r="J625" t="str">
            <v>ST</v>
          </cell>
          <cell r="K625">
            <v>14</v>
          </cell>
          <cell r="L625">
            <v>45882</v>
          </cell>
          <cell r="M625">
            <v>45882</v>
          </cell>
          <cell r="N625">
            <v>112</v>
          </cell>
          <cell r="O625" t="str">
            <v>NS</v>
          </cell>
          <cell r="P625" t="str">
            <v>NSGP3CK3</v>
          </cell>
          <cell r="Q625">
            <v>46309</v>
          </cell>
          <cell r="R625" t="str">
            <v/>
          </cell>
          <cell r="S625" t="str">
            <v/>
          </cell>
          <cell r="T625" t="str">
            <v/>
          </cell>
          <cell r="U625">
            <v>68080</v>
          </cell>
          <cell r="V625">
            <v>52541</v>
          </cell>
          <cell r="W625">
            <v>44682</v>
          </cell>
          <cell r="X625" t="str">
            <v>Lokasi Produksi 554C1 ( pecahan 554C )</v>
          </cell>
          <cell r="Z625">
            <v>14</v>
          </cell>
          <cell r="AA625">
            <v>46309</v>
          </cell>
          <cell r="AB625">
            <v>364.59733611111005</v>
          </cell>
          <cell r="AC625">
            <v>12.153244537037002</v>
          </cell>
          <cell r="AD625">
            <v>-20</v>
          </cell>
          <cell r="AE625">
            <v>0</v>
          </cell>
          <cell r="AF625">
            <v>0</v>
          </cell>
          <cell r="AG625">
            <v>-1362.5333333333333</v>
          </cell>
          <cell r="AM625" t="str">
            <v>OK</v>
          </cell>
          <cell r="AO625">
            <v>3.7451851080246947</v>
          </cell>
          <cell r="AP625">
            <v>-10.254814891975306</v>
          </cell>
          <cell r="AQ625">
            <v>0</v>
          </cell>
          <cell r="AR625">
            <v>3.7451851080246947</v>
          </cell>
          <cell r="AS625">
            <v>0</v>
          </cell>
          <cell r="AT625">
            <v>46309</v>
          </cell>
          <cell r="AU625">
            <v>-10.254814891975306</v>
          </cell>
          <cell r="AV625">
            <v>112.35555324074085</v>
          </cell>
          <cell r="AW625">
            <v>-10.254814891975306</v>
          </cell>
          <cell r="AY625">
            <v>117.46369178241002</v>
          </cell>
          <cell r="AZ625" t="str">
            <v>GP3</v>
          </cell>
          <cell r="BA625">
            <v>11.61</v>
          </cell>
          <cell r="BB625" t="str">
            <v>NSFC</v>
          </cell>
          <cell r="BC625" t="str">
            <v>GP3CK</v>
          </cell>
        </row>
        <row r="626">
          <cell r="A626" t="str">
            <v>554C2</v>
          </cell>
          <cell r="B626" t="str">
            <v>3</v>
          </cell>
          <cell r="C626" t="str">
            <v>06</v>
          </cell>
          <cell r="D626">
            <v>21</v>
          </cell>
          <cell r="E626" t="str">
            <v>554C2</v>
          </cell>
          <cell r="F626">
            <v>7.47</v>
          </cell>
          <cell r="G626">
            <v>6.4</v>
          </cell>
          <cell r="H626">
            <v>6.4</v>
          </cell>
          <cell r="I626" t="str">
            <v>FC</v>
          </cell>
          <cell r="J626" t="str">
            <v>ST</v>
          </cell>
          <cell r="K626">
            <v>14</v>
          </cell>
          <cell r="L626">
            <v>45876</v>
          </cell>
          <cell r="M626">
            <v>45876</v>
          </cell>
          <cell r="N626">
            <v>118</v>
          </cell>
          <cell r="O626" t="str">
            <v>NS</v>
          </cell>
          <cell r="P626" t="str">
            <v>NSGP3CK3</v>
          </cell>
          <cell r="Q626">
            <v>46303</v>
          </cell>
          <cell r="R626" t="str">
            <v/>
          </cell>
          <cell r="S626" t="str">
            <v/>
          </cell>
          <cell r="T626" t="str">
            <v/>
          </cell>
          <cell r="U626">
            <v>69461</v>
          </cell>
          <cell r="V626">
            <v>52440</v>
          </cell>
          <cell r="W626">
            <v>44682</v>
          </cell>
          <cell r="X626" t="str">
            <v>Lokasi Produksi 554C2 ( pecahan 554C )</v>
          </cell>
          <cell r="Z626">
            <v>14</v>
          </cell>
          <cell r="AA626">
            <v>46303</v>
          </cell>
          <cell r="AB626">
            <v>260.59733611111005</v>
          </cell>
          <cell r="AC626">
            <v>8.6865778703703356</v>
          </cell>
          <cell r="AD626">
            <v>0.68657787037033557</v>
          </cell>
          <cell r="AE626">
            <v>22.74</v>
          </cell>
          <cell r="AF626">
            <v>0</v>
          </cell>
          <cell r="AG626">
            <v>-1366</v>
          </cell>
          <cell r="AM626" t="str">
            <v>OK</v>
          </cell>
          <cell r="AO626">
            <v>3.9451851080246949</v>
          </cell>
          <cell r="AP626">
            <v>-10.054814891975305</v>
          </cell>
          <cell r="AQ626">
            <v>0</v>
          </cell>
          <cell r="AR626">
            <v>3.9451851080246949</v>
          </cell>
          <cell r="AS626">
            <v>0</v>
          </cell>
          <cell r="AT626">
            <v>46303</v>
          </cell>
          <cell r="AU626">
            <v>-10.054814891975305</v>
          </cell>
          <cell r="AV626">
            <v>118.35555324074085</v>
          </cell>
          <cell r="AW626">
            <v>-10.054814891975305</v>
          </cell>
          <cell r="AY626">
            <v>123.46369178241002</v>
          </cell>
          <cell r="AZ626" t="str">
            <v>GP3</v>
          </cell>
          <cell r="BA626">
            <v>6.4</v>
          </cell>
          <cell r="BB626" t="str">
            <v>NSFC</v>
          </cell>
          <cell r="BC626" t="str">
            <v>GP3CK</v>
          </cell>
        </row>
        <row r="627">
          <cell r="A627" t="str">
            <v>554D1</v>
          </cell>
          <cell r="B627" t="str">
            <v>3</v>
          </cell>
          <cell r="C627" t="str">
            <v>06</v>
          </cell>
          <cell r="D627">
            <v>21</v>
          </cell>
          <cell r="E627" t="str">
            <v>554D1</v>
          </cell>
          <cell r="F627">
            <v>6.31</v>
          </cell>
          <cell r="G627">
            <v>5</v>
          </cell>
          <cell r="H627">
            <v>5</v>
          </cell>
          <cell r="I627" t="str">
            <v>BK</v>
          </cell>
          <cell r="J627" t="str">
            <v>SR</v>
          </cell>
          <cell r="K627">
            <v>0</v>
          </cell>
          <cell r="L627">
            <v>45989</v>
          </cell>
          <cell r="M627">
            <v>45989</v>
          </cell>
          <cell r="N627">
            <v>5</v>
          </cell>
          <cell r="O627" t="str">
            <v>PS</v>
          </cell>
          <cell r="P627" t="str">
            <v/>
          </cell>
          <cell r="Q627">
            <v>45989</v>
          </cell>
          <cell r="R627" t="str">
            <v/>
          </cell>
          <cell r="S627" t="str">
            <v/>
          </cell>
          <cell r="T627" t="str">
            <v/>
          </cell>
          <cell r="U627">
            <v>13450</v>
          </cell>
          <cell r="V627">
            <v>14023</v>
          </cell>
          <cell r="W627">
            <v>45854</v>
          </cell>
          <cell r="X627" t="str">
            <v>Lokasi Produksi 554D1 ( pecahan 554D )</v>
          </cell>
          <cell r="Z627">
            <v>0</v>
          </cell>
          <cell r="AA627">
            <v>45989</v>
          </cell>
          <cell r="AB627">
            <v>302.59733611111005</v>
          </cell>
          <cell r="AC627">
            <v>10.086577870370336</v>
          </cell>
          <cell r="AD627">
            <v>2.0865778703703359</v>
          </cell>
          <cell r="AE627">
            <v>22.75</v>
          </cell>
          <cell r="AF627">
            <v>0</v>
          </cell>
          <cell r="AG627">
            <v>-1364.6</v>
          </cell>
          <cell r="AM627" t="str">
            <v>OK</v>
          </cell>
          <cell r="AO627">
            <v>0.17851844135802822</v>
          </cell>
          <cell r="AP627">
            <v>0.17851844135802822</v>
          </cell>
          <cell r="AQ627">
            <v>0</v>
          </cell>
          <cell r="AR627">
            <v>0.17851844135802822</v>
          </cell>
          <cell r="AS627">
            <v>0</v>
          </cell>
          <cell r="AT627">
            <v>45989</v>
          </cell>
          <cell r="AU627">
            <v>0.17851844135802822</v>
          </cell>
          <cell r="AV627">
            <v>5.3555532407408464</v>
          </cell>
          <cell r="AW627">
            <v>0.17851844135802822</v>
          </cell>
          <cell r="AY627">
            <v>10.463691782410024</v>
          </cell>
          <cell r="AZ627" t="str">
            <v>F18</v>
          </cell>
          <cell r="BA627">
            <v>0</v>
          </cell>
          <cell r="BB627" t="str">
            <v>PSBK</v>
          </cell>
          <cell r="BC627" t="str">
            <v>F18</v>
          </cell>
        </row>
        <row r="628">
          <cell r="A628" t="str">
            <v>554D2</v>
          </cell>
          <cell r="B628" t="str">
            <v>3</v>
          </cell>
          <cell r="C628" t="str">
            <v>06</v>
          </cell>
          <cell r="D628">
            <v>21</v>
          </cell>
          <cell r="E628" t="str">
            <v>554D2</v>
          </cell>
          <cell r="F628">
            <v>7.65</v>
          </cell>
          <cell r="G628">
            <v>5.85</v>
          </cell>
          <cell r="H628">
            <v>5.85</v>
          </cell>
          <cell r="I628" t="str">
            <v>BK</v>
          </cell>
          <cell r="J628" t="str">
            <v>SR</v>
          </cell>
          <cell r="K628">
            <v>0</v>
          </cell>
          <cell r="L628">
            <v>45989</v>
          </cell>
          <cell r="M628">
            <v>45989</v>
          </cell>
          <cell r="N628">
            <v>5</v>
          </cell>
          <cell r="O628" t="str">
            <v>PS</v>
          </cell>
          <cell r="P628" t="str">
            <v/>
          </cell>
          <cell r="Q628">
            <v>45989</v>
          </cell>
          <cell r="R628" t="str">
            <v/>
          </cell>
          <cell r="S628" t="str">
            <v/>
          </cell>
          <cell r="T628" t="str">
            <v/>
          </cell>
          <cell r="U628">
            <v>15680</v>
          </cell>
          <cell r="V628">
            <v>17100</v>
          </cell>
          <cell r="W628">
            <v>45854</v>
          </cell>
          <cell r="X628" t="str">
            <v>Lokasi Produksi 554D2 ( pecahan 554D )</v>
          </cell>
          <cell r="Z628">
            <v>0</v>
          </cell>
          <cell r="AA628">
            <v>45989</v>
          </cell>
          <cell r="AB628">
            <v>747.59733611111005</v>
          </cell>
          <cell r="AC628">
            <v>24.91991120370367</v>
          </cell>
          <cell r="AD628">
            <v>-20</v>
          </cell>
          <cell r="AE628">
            <v>0</v>
          </cell>
          <cell r="AF628">
            <v>0</v>
          </cell>
          <cell r="AG628">
            <v>-1349.7666666666667</v>
          </cell>
          <cell r="AM628" t="str">
            <v>OK</v>
          </cell>
          <cell r="AO628">
            <v>0.17851844135802822</v>
          </cell>
          <cell r="AP628">
            <v>0.17851844135802822</v>
          </cell>
          <cell r="AQ628">
            <v>0</v>
          </cell>
          <cell r="AR628">
            <v>0.17851844135802822</v>
          </cell>
          <cell r="AS628">
            <v>0</v>
          </cell>
          <cell r="AT628">
            <v>45989</v>
          </cell>
          <cell r="AU628">
            <v>0.17851844135802822</v>
          </cell>
          <cell r="AV628">
            <v>5.3555532407408464</v>
          </cell>
          <cell r="AW628">
            <v>0.17851844135802822</v>
          </cell>
          <cell r="AY628">
            <v>10.463691782410024</v>
          </cell>
          <cell r="AZ628" t="str">
            <v>F18</v>
          </cell>
          <cell r="BA628">
            <v>0</v>
          </cell>
          <cell r="BB628" t="str">
            <v>PSBK</v>
          </cell>
          <cell r="BC628" t="str">
            <v>F18</v>
          </cell>
        </row>
        <row r="629">
          <cell r="A629" t="str">
            <v>554E1A</v>
          </cell>
          <cell r="B629" t="str">
            <v>3</v>
          </cell>
          <cell r="C629" t="str">
            <v>06</v>
          </cell>
          <cell r="D629">
            <v>21</v>
          </cell>
          <cell r="E629" t="str">
            <v>554E1A</v>
          </cell>
          <cell r="F629">
            <v>5.64</v>
          </cell>
          <cell r="G629">
            <v>4.8</v>
          </cell>
          <cell r="H629">
            <v>4.8</v>
          </cell>
          <cell r="I629" t="str">
            <v>FC</v>
          </cell>
          <cell r="J629" t="str">
            <v>ST</v>
          </cell>
          <cell r="K629">
            <v>10</v>
          </cell>
          <cell r="L629">
            <v>45860</v>
          </cell>
          <cell r="M629">
            <v>45860</v>
          </cell>
          <cell r="N629">
            <v>134</v>
          </cell>
          <cell r="O629" t="str">
            <v>NS</v>
          </cell>
          <cell r="P629" t="str">
            <v>NSF18SB3</v>
          </cell>
          <cell r="Q629">
            <v>46165</v>
          </cell>
          <cell r="R629" t="str">
            <v/>
          </cell>
          <cell r="S629" t="str">
            <v/>
          </cell>
          <cell r="T629" t="str">
            <v/>
          </cell>
          <cell r="U629">
            <v>59500</v>
          </cell>
          <cell r="V629">
            <v>72037</v>
          </cell>
          <cell r="W629">
            <v>45229</v>
          </cell>
          <cell r="X629" t="str">
            <v>Lokasi Produksi 554E1A ( pecahan 554E1 )</v>
          </cell>
          <cell r="Z629">
            <v>10</v>
          </cell>
          <cell r="AA629">
            <v>46165</v>
          </cell>
          <cell r="AB629">
            <v>4501.5973361111101</v>
          </cell>
          <cell r="AC629">
            <v>150.05324453703699</v>
          </cell>
          <cell r="AD629">
            <v>-20</v>
          </cell>
          <cell r="AE629">
            <v>0</v>
          </cell>
          <cell r="AF629">
            <v>0</v>
          </cell>
          <cell r="AG629">
            <v>-1224.6333333333334</v>
          </cell>
          <cell r="AM629" t="str">
            <v>OK</v>
          </cell>
          <cell r="AO629">
            <v>4.4785184413580286</v>
          </cell>
          <cell r="AP629">
            <v>-5.5214815586419714</v>
          </cell>
          <cell r="AQ629">
            <v>0</v>
          </cell>
          <cell r="AR629">
            <v>4.4785184413580286</v>
          </cell>
          <cell r="AS629">
            <v>0</v>
          </cell>
          <cell r="AT629">
            <v>46165</v>
          </cell>
          <cell r="AU629">
            <v>-5.5214815586419714</v>
          </cell>
          <cell r="AV629">
            <v>134.35555324074085</v>
          </cell>
          <cell r="AW629">
            <v>-5.5214815586419714</v>
          </cell>
          <cell r="AY629">
            <v>139.46369178241002</v>
          </cell>
          <cell r="AZ629" t="str">
            <v>F18</v>
          </cell>
          <cell r="BA629">
            <v>4.8</v>
          </cell>
          <cell r="BB629" t="str">
            <v>NSFC</v>
          </cell>
          <cell r="BC629" t="str">
            <v>F18SB</v>
          </cell>
        </row>
        <row r="630">
          <cell r="A630" t="str">
            <v>554E1B</v>
          </cell>
          <cell r="B630" t="str">
            <v>3</v>
          </cell>
          <cell r="C630" t="str">
            <v>06</v>
          </cell>
          <cell r="D630">
            <v>21</v>
          </cell>
          <cell r="E630" t="str">
            <v>554E1B</v>
          </cell>
          <cell r="F630">
            <v>7</v>
          </cell>
          <cell r="G630">
            <v>5.87</v>
          </cell>
          <cell r="H630">
            <v>5.87</v>
          </cell>
          <cell r="I630" t="str">
            <v>FC</v>
          </cell>
          <cell r="J630" t="str">
            <v>ST</v>
          </cell>
          <cell r="K630">
            <v>12</v>
          </cell>
          <cell r="L630">
            <v>45862</v>
          </cell>
          <cell r="M630">
            <v>45862</v>
          </cell>
          <cell r="N630">
            <v>132</v>
          </cell>
          <cell r="O630" t="str">
            <v>NS</v>
          </cell>
          <cell r="P630" t="str">
            <v>NSF18SS3</v>
          </cell>
          <cell r="Q630">
            <v>46228</v>
          </cell>
          <cell r="R630" t="str">
            <v/>
          </cell>
          <cell r="S630" t="str">
            <v/>
          </cell>
          <cell r="T630" t="str">
            <v/>
          </cell>
          <cell r="U630">
            <v>59835</v>
          </cell>
          <cell r="V630">
            <v>13821</v>
          </cell>
          <cell r="W630">
            <v>45230</v>
          </cell>
          <cell r="X630" t="str">
            <v>Lokasi Produksi 554E1B ( pecahan 554E1 )</v>
          </cell>
          <cell r="Z630">
            <v>12</v>
          </cell>
          <cell r="AA630">
            <v>46228</v>
          </cell>
          <cell r="AB630">
            <v>247.59733611111005</v>
          </cell>
          <cell r="AC630">
            <v>8.253244537037002</v>
          </cell>
          <cell r="AD630">
            <v>-20</v>
          </cell>
          <cell r="AE630">
            <v>0</v>
          </cell>
          <cell r="AF630">
            <v>0</v>
          </cell>
          <cell r="AG630">
            <v>-1366.4333333333334</v>
          </cell>
          <cell r="AK630">
            <v>40386</v>
          </cell>
          <cell r="AM630" t="str">
            <v>OK</v>
          </cell>
          <cell r="AO630">
            <v>4.4118517746913612</v>
          </cell>
          <cell r="AP630">
            <v>-7.5881482253086388</v>
          </cell>
          <cell r="AQ630">
            <v>0</v>
          </cell>
          <cell r="AR630">
            <v>4.4118517746913612</v>
          </cell>
          <cell r="AS630">
            <v>0</v>
          </cell>
          <cell r="AT630">
            <v>46228</v>
          </cell>
          <cell r="AU630">
            <v>-7.5881482253086388</v>
          </cell>
          <cell r="AV630">
            <v>132.35555324074085</v>
          </cell>
          <cell r="AW630">
            <v>-7.5881482253086388</v>
          </cell>
          <cell r="AY630">
            <v>137.46369178241002</v>
          </cell>
          <cell r="AZ630" t="str">
            <v>F18</v>
          </cell>
          <cell r="BA630">
            <v>5.87</v>
          </cell>
          <cell r="BB630" t="str">
            <v>NSFC</v>
          </cell>
          <cell r="BC630" t="str">
            <v>F18SS</v>
          </cell>
        </row>
        <row r="631">
          <cell r="A631" t="str">
            <v>554E2A</v>
          </cell>
          <cell r="B631" t="str">
            <v>3</v>
          </cell>
          <cell r="C631" t="str">
            <v>06</v>
          </cell>
          <cell r="D631">
            <v>21</v>
          </cell>
          <cell r="E631" t="str">
            <v>554E2A</v>
          </cell>
          <cell r="F631">
            <v>5.35</v>
          </cell>
          <cell r="G631">
            <v>4.42</v>
          </cell>
          <cell r="H631">
            <v>4.42</v>
          </cell>
          <cell r="I631" t="str">
            <v>FC</v>
          </cell>
          <cell r="J631" t="str">
            <v>ST</v>
          </cell>
          <cell r="K631">
            <v>12</v>
          </cell>
          <cell r="L631">
            <v>45714</v>
          </cell>
          <cell r="M631">
            <v>45714</v>
          </cell>
          <cell r="N631">
            <v>280</v>
          </cell>
          <cell r="O631" t="str">
            <v>NS</v>
          </cell>
          <cell r="P631" t="str">
            <v>NSF18SS3</v>
          </cell>
          <cell r="Q631">
            <v>46080</v>
          </cell>
          <cell r="R631" t="str">
            <v/>
          </cell>
          <cell r="S631" t="str">
            <v/>
          </cell>
          <cell r="T631" t="str">
            <v/>
          </cell>
          <cell r="U631">
            <v>69922</v>
          </cell>
          <cell r="V631">
            <v>70633</v>
          </cell>
          <cell r="W631">
            <v>45743</v>
          </cell>
          <cell r="X631" t="str">
            <v>Lokasi Produksi 554E2A ( pecahan 554E2 )</v>
          </cell>
          <cell r="Z631">
            <v>12</v>
          </cell>
          <cell r="AA631">
            <v>46080</v>
          </cell>
          <cell r="AB631">
            <v>65.597336111110053</v>
          </cell>
          <cell r="AC631">
            <v>2.1865778703703351</v>
          </cell>
          <cell r="AD631">
            <v>-20</v>
          </cell>
          <cell r="AE631">
            <v>0</v>
          </cell>
          <cell r="AF631">
            <v>0</v>
          </cell>
          <cell r="AG631">
            <v>-1372.5</v>
          </cell>
          <cell r="AM631" t="str">
            <v>OK</v>
          </cell>
          <cell r="AO631">
            <v>9.3451851080246957</v>
          </cell>
          <cell r="AP631">
            <v>-2.6548148919753043</v>
          </cell>
          <cell r="AQ631">
            <v>0</v>
          </cell>
          <cell r="AR631">
            <v>9.3451851080246957</v>
          </cell>
          <cell r="AS631">
            <v>0</v>
          </cell>
          <cell r="AT631">
            <v>46080</v>
          </cell>
          <cell r="AU631">
            <v>-2.6548148919753043</v>
          </cell>
          <cell r="AV631">
            <v>280.35555324074085</v>
          </cell>
          <cell r="AW631">
            <v>-2.6548148919753043</v>
          </cell>
          <cell r="AY631">
            <v>285.46369178241002</v>
          </cell>
          <cell r="AZ631" t="str">
            <v>F18</v>
          </cell>
          <cell r="BA631">
            <v>4.42</v>
          </cell>
          <cell r="BB631" t="str">
            <v>NSFC</v>
          </cell>
          <cell r="BC631" t="str">
            <v>F18SS</v>
          </cell>
        </row>
        <row r="632">
          <cell r="A632" t="str">
            <v>554E2B</v>
          </cell>
          <cell r="B632" t="str">
            <v>3</v>
          </cell>
          <cell r="C632" t="str">
            <v>06</v>
          </cell>
          <cell r="D632">
            <v>21</v>
          </cell>
          <cell r="E632" t="str">
            <v>554E2B</v>
          </cell>
          <cell r="F632">
            <v>7.98</v>
          </cell>
          <cell r="G632">
            <v>6.68</v>
          </cell>
          <cell r="H632">
            <v>6.68</v>
          </cell>
          <cell r="I632" t="str">
            <v>FC</v>
          </cell>
          <cell r="J632" t="str">
            <v>ST</v>
          </cell>
          <cell r="K632">
            <v>10</v>
          </cell>
          <cell r="L632">
            <v>45940</v>
          </cell>
          <cell r="M632">
            <v>45940</v>
          </cell>
          <cell r="N632">
            <v>54</v>
          </cell>
          <cell r="O632" t="str">
            <v>NS</v>
          </cell>
          <cell r="P632" t="str">
            <v>NSF18SB3</v>
          </cell>
          <cell r="Q632">
            <v>46245</v>
          </cell>
          <cell r="R632" t="str">
            <v/>
          </cell>
          <cell r="S632" t="str">
            <v/>
          </cell>
          <cell r="T632" t="str">
            <v/>
          </cell>
          <cell r="U632">
            <v>71213</v>
          </cell>
          <cell r="V632">
            <v>16137</v>
          </cell>
          <cell r="W632">
            <v>45752</v>
          </cell>
          <cell r="X632" t="str">
            <v>Lokasi Produksi 554E2B ( pecahan 554E2 )</v>
          </cell>
          <cell r="Z632">
            <v>10</v>
          </cell>
          <cell r="AA632">
            <v>46245</v>
          </cell>
          <cell r="AB632">
            <v>525.59733611111005</v>
          </cell>
          <cell r="AC632">
            <v>17.519911203703668</v>
          </cell>
          <cell r="AD632">
            <v>3.5199112037036677</v>
          </cell>
          <cell r="AE632">
            <v>7.6</v>
          </cell>
          <cell r="AF632">
            <v>0</v>
          </cell>
          <cell r="AG632">
            <v>-1357.1666666666667</v>
          </cell>
          <cell r="AM632" t="str">
            <v>OK</v>
          </cell>
          <cell r="AO632">
            <v>1.8118517746913616</v>
          </cell>
          <cell r="AP632">
            <v>-8.1881482253086375</v>
          </cell>
          <cell r="AQ632">
            <v>0</v>
          </cell>
          <cell r="AR632">
            <v>1.8118517746913616</v>
          </cell>
          <cell r="AS632">
            <v>0</v>
          </cell>
          <cell r="AT632">
            <v>46245</v>
          </cell>
          <cell r="AU632">
            <v>-8.1881482253086375</v>
          </cell>
          <cell r="AV632">
            <v>54.355553240740846</v>
          </cell>
          <cell r="AW632">
            <v>-8.1881482253086375</v>
          </cell>
          <cell r="AY632">
            <v>59.463691782410024</v>
          </cell>
          <cell r="AZ632" t="str">
            <v>F18</v>
          </cell>
          <cell r="BA632">
            <v>6.68</v>
          </cell>
          <cell r="BB632" t="str">
            <v>NSFC</v>
          </cell>
          <cell r="BC632" t="str">
            <v>F18SB</v>
          </cell>
        </row>
        <row r="633">
          <cell r="A633" t="str">
            <v>554F4</v>
          </cell>
          <cell r="B633" t="str">
            <v>3</v>
          </cell>
          <cell r="C633" t="str">
            <v>06</v>
          </cell>
          <cell r="D633">
            <v>23</v>
          </cell>
          <cell r="E633" t="str">
            <v>554F4</v>
          </cell>
          <cell r="F633">
            <v>7.3</v>
          </cell>
          <cell r="G633">
            <v>5.69</v>
          </cell>
          <cell r="H633">
            <v>5.69</v>
          </cell>
          <cell r="I633" t="str">
            <v>SC</v>
          </cell>
          <cell r="J633" t="str">
            <v>FC</v>
          </cell>
          <cell r="K633">
            <v>8</v>
          </cell>
          <cell r="L633">
            <v>45738</v>
          </cell>
          <cell r="M633">
            <v>45738</v>
          </cell>
          <cell r="N633">
            <v>256</v>
          </cell>
          <cell r="O633" t="str">
            <v>NS</v>
          </cell>
          <cell r="P633" t="str">
            <v/>
          </cell>
          <cell r="Q633">
            <v>45982</v>
          </cell>
          <cell r="R633" t="str">
            <v/>
          </cell>
          <cell r="S633" t="str">
            <v/>
          </cell>
          <cell r="T633">
            <v>45958</v>
          </cell>
          <cell r="U633">
            <v>68292</v>
          </cell>
          <cell r="V633">
            <v>70620</v>
          </cell>
          <cell r="W633">
            <v>44977</v>
          </cell>
          <cell r="X633" t="str">
            <v>Lokasi Produksi 554F4 ( pecahan 554F )</v>
          </cell>
          <cell r="Z633">
            <v>8</v>
          </cell>
          <cell r="AA633">
            <v>45982</v>
          </cell>
          <cell r="AB633">
            <v>80.597336111110053</v>
          </cell>
          <cell r="AC633">
            <v>2.6865778703703351</v>
          </cell>
          <cell r="AD633">
            <v>-5.3134221296296644</v>
          </cell>
          <cell r="AE633">
            <v>12.46</v>
          </cell>
          <cell r="AF633">
            <v>0</v>
          </cell>
          <cell r="AG633">
            <v>-1372</v>
          </cell>
          <cell r="AM633" t="str">
            <v>OK</v>
          </cell>
          <cell r="AO633">
            <v>8.545185108024695</v>
          </cell>
          <cell r="AP633">
            <v>0.545185108024695</v>
          </cell>
          <cell r="AQ633">
            <v>45958</v>
          </cell>
          <cell r="AR633">
            <v>7.333333333333333</v>
          </cell>
          <cell r="AS633">
            <v>1.211851774691362</v>
          </cell>
          <cell r="AT633">
            <v>45982</v>
          </cell>
          <cell r="AU633">
            <v>1.211851774691362</v>
          </cell>
          <cell r="AV633">
            <v>220</v>
          </cell>
          <cell r="AW633">
            <v>1.211851774691362</v>
          </cell>
          <cell r="AY633">
            <v>261.46369178241002</v>
          </cell>
          <cell r="AZ633" t="str">
            <v>F18</v>
          </cell>
          <cell r="BA633">
            <v>5.69</v>
          </cell>
          <cell r="BB633" t="str">
            <v>NSSC</v>
          </cell>
          <cell r="BC633" t="str">
            <v>F18</v>
          </cell>
        </row>
        <row r="634">
          <cell r="A634" t="str">
            <v>554F5</v>
          </cell>
          <cell r="B634" t="str">
            <v>3</v>
          </cell>
          <cell r="C634" t="str">
            <v>06</v>
          </cell>
          <cell r="D634">
            <v>23</v>
          </cell>
          <cell r="E634" t="str">
            <v>554F5</v>
          </cell>
          <cell r="F634">
            <v>8.35</v>
          </cell>
          <cell r="G634">
            <v>7.08</v>
          </cell>
          <cell r="H634">
            <v>7.08</v>
          </cell>
          <cell r="I634" t="str">
            <v>FC</v>
          </cell>
          <cell r="J634" t="str">
            <v>ST</v>
          </cell>
          <cell r="K634">
            <v>10</v>
          </cell>
          <cell r="L634">
            <v>45726</v>
          </cell>
          <cell r="M634">
            <v>45726</v>
          </cell>
          <cell r="N634">
            <v>268</v>
          </cell>
          <cell r="O634" t="str">
            <v>NS</v>
          </cell>
          <cell r="P634" t="str">
            <v>NSF18SB3</v>
          </cell>
          <cell r="Q634">
            <v>46031</v>
          </cell>
          <cell r="R634" t="str">
            <v/>
          </cell>
          <cell r="S634" t="str">
            <v/>
          </cell>
          <cell r="T634" t="str">
            <v/>
          </cell>
          <cell r="U634">
            <v>70706</v>
          </cell>
          <cell r="V634">
            <v>72101</v>
          </cell>
          <cell r="W634">
            <v>45653</v>
          </cell>
          <cell r="X634" t="str">
            <v>Lokasi Produksi 554F5 ( pecahan 554F )</v>
          </cell>
          <cell r="Z634">
            <v>10</v>
          </cell>
          <cell r="AA634">
            <v>46031</v>
          </cell>
          <cell r="AB634">
            <v>45.597336111110053</v>
          </cell>
          <cell r="AC634">
            <v>1.5199112037036684</v>
          </cell>
          <cell r="AD634">
            <v>-6.4800887962963314</v>
          </cell>
          <cell r="AE634">
            <v>22.37</v>
          </cell>
          <cell r="AF634">
            <v>0</v>
          </cell>
          <cell r="AG634">
            <v>-1373.1666666666667</v>
          </cell>
          <cell r="AM634" t="str">
            <v>OK</v>
          </cell>
          <cell r="AO634">
            <v>8.9451851080246954</v>
          </cell>
          <cell r="AP634">
            <v>-1.0548148919753046</v>
          </cell>
          <cell r="AQ634">
            <v>0</v>
          </cell>
          <cell r="AR634">
            <v>8.9451851080246954</v>
          </cell>
          <cell r="AS634">
            <v>0</v>
          </cell>
          <cell r="AT634">
            <v>46031</v>
          </cell>
          <cell r="AU634">
            <v>-1.0548148919753046</v>
          </cell>
          <cell r="AV634">
            <v>268.35555324074085</v>
          </cell>
          <cell r="AW634">
            <v>-1.0548148919753046</v>
          </cell>
          <cell r="AY634">
            <v>273.46369178241002</v>
          </cell>
          <cell r="AZ634" t="str">
            <v>F18</v>
          </cell>
          <cell r="BA634">
            <v>7.08</v>
          </cell>
          <cell r="BB634" t="str">
            <v>NSFC</v>
          </cell>
          <cell r="BC634" t="str">
            <v>F18SB</v>
          </cell>
        </row>
        <row r="635">
          <cell r="A635" t="str">
            <v>554G1</v>
          </cell>
          <cell r="B635" t="str">
            <v>3</v>
          </cell>
          <cell r="C635" t="str">
            <v>06</v>
          </cell>
          <cell r="D635">
            <v>23</v>
          </cell>
          <cell r="E635" t="str">
            <v>554G1</v>
          </cell>
          <cell r="F635">
            <v>6.42</v>
          </cell>
          <cell r="G635">
            <v>5.45</v>
          </cell>
          <cell r="H635">
            <v>5.45</v>
          </cell>
          <cell r="I635" t="str">
            <v>FC</v>
          </cell>
          <cell r="J635" t="str">
            <v>ST</v>
          </cell>
          <cell r="K635">
            <v>12</v>
          </cell>
          <cell r="L635">
            <v>45576</v>
          </cell>
          <cell r="M635">
            <v>45576</v>
          </cell>
          <cell r="N635">
            <v>418</v>
          </cell>
          <cell r="O635" t="str">
            <v>NS</v>
          </cell>
          <cell r="P635" t="str">
            <v>NSGP3SS3</v>
          </cell>
          <cell r="Q635">
            <v>45942</v>
          </cell>
          <cell r="R635" t="str">
            <v/>
          </cell>
          <cell r="S635" t="str">
            <v/>
          </cell>
          <cell r="T635">
            <v>45903</v>
          </cell>
          <cell r="U635">
            <v>72985</v>
          </cell>
          <cell r="V635">
            <v>72066</v>
          </cell>
          <cell r="W635">
            <v>45378</v>
          </cell>
          <cell r="X635" t="str">
            <v>Lokasi Produksi 554G1 ( pecahan 554G )</v>
          </cell>
          <cell r="Z635">
            <v>12</v>
          </cell>
          <cell r="AA635">
            <v>45942</v>
          </cell>
          <cell r="AB635">
            <v>748.59733611111005</v>
          </cell>
          <cell r="AC635">
            <v>24.953244537037001</v>
          </cell>
          <cell r="AD635">
            <v>-20</v>
          </cell>
          <cell r="AE635">
            <v>0</v>
          </cell>
          <cell r="AF635">
            <v>0</v>
          </cell>
          <cell r="AG635">
            <v>-1349.7333333333333</v>
          </cell>
          <cell r="AM635" t="str">
            <v>OK</v>
          </cell>
          <cell r="AO635">
            <v>13.945185108024695</v>
          </cell>
          <cell r="AP635">
            <v>1.9451851080246954</v>
          </cell>
          <cell r="AQ635">
            <v>45903</v>
          </cell>
          <cell r="AR635">
            <v>10.9</v>
          </cell>
          <cell r="AS635">
            <v>3.045185108024695</v>
          </cell>
          <cell r="AT635">
            <v>45942</v>
          </cell>
          <cell r="AU635">
            <v>3.045185108024695</v>
          </cell>
          <cell r="AV635">
            <v>327</v>
          </cell>
          <cell r="AW635">
            <v>3.045185108024695</v>
          </cell>
          <cell r="AY635">
            <v>423.46369178241002</v>
          </cell>
          <cell r="AZ635" t="str">
            <v>GP3</v>
          </cell>
          <cell r="BA635">
            <v>5.45</v>
          </cell>
          <cell r="BB635" t="str">
            <v>NSFC</v>
          </cell>
          <cell r="BC635" t="str">
            <v>GP3SS</v>
          </cell>
        </row>
        <row r="636">
          <cell r="A636" t="str">
            <v>554G2</v>
          </cell>
          <cell r="B636" t="str">
            <v>3</v>
          </cell>
          <cell r="C636" t="str">
            <v>06</v>
          </cell>
          <cell r="D636">
            <v>23</v>
          </cell>
          <cell r="E636" t="str">
            <v>554G2</v>
          </cell>
          <cell r="F636">
            <v>5.45</v>
          </cell>
          <cell r="G636">
            <v>4.71</v>
          </cell>
          <cell r="H636">
            <v>4.71</v>
          </cell>
          <cell r="I636" t="str">
            <v>FC</v>
          </cell>
          <cell r="J636" t="str">
            <v>ST</v>
          </cell>
          <cell r="K636">
            <v>12</v>
          </cell>
          <cell r="L636">
            <v>45539</v>
          </cell>
          <cell r="M636">
            <v>45539</v>
          </cell>
          <cell r="N636">
            <v>455</v>
          </cell>
          <cell r="O636" t="str">
            <v>NS</v>
          </cell>
          <cell r="P636" t="str">
            <v>NSF18SS3</v>
          </cell>
          <cell r="Q636">
            <v>45905</v>
          </cell>
          <cell r="R636" t="str">
            <v/>
          </cell>
          <cell r="S636" t="str">
            <v/>
          </cell>
          <cell r="T636">
            <v>45860</v>
          </cell>
          <cell r="U636">
            <v>68889</v>
          </cell>
          <cell r="V636">
            <v>70862</v>
          </cell>
          <cell r="W636">
            <v>45168</v>
          </cell>
          <cell r="X636" t="str">
            <v>Lokasi Produksi 554G2 ( pecahan 554G )</v>
          </cell>
          <cell r="Z636">
            <v>12</v>
          </cell>
          <cell r="AA636">
            <v>45905</v>
          </cell>
          <cell r="AB636">
            <v>4369.5973361111101</v>
          </cell>
          <cell r="AC636">
            <v>145.65324453703701</v>
          </cell>
          <cell r="AD636">
            <v>-20</v>
          </cell>
          <cell r="AE636">
            <v>0</v>
          </cell>
          <cell r="AF636">
            <v>0</v>
          </cell>
          <cell r="AG636">
            <v>-1229.0333333333333</v>
          </cell>
          <cell r="AM636" t="str">
            <v>OK</v>
          </cell>
          <cell r="AO636">
            <v>15.178518441358028</v>
          </cell>
          <cell r="AP636">
            <v>3.1785184413580279</v>
          </cell>
          <cell r="AQ636">
            <v>45860</v>
          </cell>
          <cell r="AR636">
            <v>10.7</v>
          </cell>
          <cell r="AS636">
            <v>4.4785184413580286</v>
          </cell>
          <cell r="AT636">
            <v>45905</v>
          </cell>
          <cell r="AU636">
            <v>4.4785184413580286</v>
          </cell>
          <cell r="AV636">
            <v>321</v>
          </cell>
          <cell r="AW636">
            <v>4.4785184413580286</v>
          </cell>
          <cell r="AY636">
            <v>460.46369178241002</v>
          </cell>
          <cell r="AZ636" t="str">
            <v>F18</v>
          </cell>
          <cell r="BA636">
            <v>4.71</v>
          </cell>
          <cell r="BB636" t="str">
            <v>NSFC</v>
          </cell>
          <cell r="BC636" t="str">
            <v>F18SS</v>
          </cell>
        </row>
        <row r="637">
          <cell r="A637" t="str">
            <v>554G3</v>
          </cell>
          <cell r="B637" t="str">
            <v>3</v>
          </cell>
          <cell r="C637" t="str">
            <v>06</v>
          </cell>
          <cell r="D637">
            <v>23</v>
          </cell>
          <cell r="E637" t="str">
            <v>554G3</v>
          </cell>
          <cell r="F637">
            <v>3.79</v>
          </cell>
          <cell r="G637">
            <v>3.23</v>
          </cell>
          <cell r="H637">
            <v>3.23</v>
          </cell>
          <cell r="I637" t="str">
            <v>FC</v>
          </cell>
          <cell r="J637" t="str">
            <v>ST</v>
          </cell>
          <cell r="K637">
            <v>12</v>
          </cell>
          <cell r="L637">
            <v>45538</v>
          </cell>
          <cell r="M637">
            <v>45538</v>
          </cell>
          <cell r="N637">
            <v>456</v>
          </cell>
          <cell r="O637" t="str">
            <v>NS</v>
          </cell>
          <cell r="P637" t="str">
            <v>NSF18SS3</v>
          </cell>
          <cell r="Q637">
            <v>45904</v>
          </cell>
          <cell r="R637" t="str">
            <v/>
          </cell>
          <cell r="S637" t="str">
            <v/>
          </cell>
          <cell r="T637">
            <v>45839</v>
          </cell>
          <cell r="U637">
            <v>69859</v>
          </cell>
          <cell r="V637">
            <v>70521</v>
          </cell>
          <cell r="W637">
            <v>45168</v>
          </cell>
          <cell r="X637" t="str">
            <v>Lokasi Produksi 554G3 ( pecahan 554G )</v>
          </cell>
          <cell r="Z637">
            <v>12</v>
          </cell>
          <cell r="AA637">
            <v>45904</v>
          </cell>
          <cell r="AB637">
            <v>245.59733611111005</v>
          </cell>
          <cell r="AC637">
            <v>8.1865778703703356</v>
          </cell>
          <cell r="AD637">
            <v>-20</v>
          </cell>
          <cell r="AE637">
            <v>0</v>
          </cell>
          <cell r="AF637">
            <v>0</v>
          </cell>
          <cell r="AG637">
            <v>-1366.5</v>
          </cell>
          <cell r="AM637" t="str">
            <v>OK</v>
          </cell>
          <cell r="AO637">
            <v>15.211851774691361</v>
          </cell>
          <cell r="AP637">
            <v>3.2118517746913611</v>
          </cell>
          <cell r="AQ637">
            <v>45839</v>
          </cell>
          <cell r="AR637">
            <v>10.033333333333333</v>
          </cell>
          <cell r="AS637">
            <v>5.1785184413580279</v>
          </cell>
          <cell r="AT637">
            <v>45904</v>
          </cell>
          <cell r="AU637">
            <v>5.1785184413580279</v>
          </cell>
          <cell r="AV637">
            <v>301</v>
          </cell>
          <cell r="AW637">
            <v>5.1785184413580279</v>
          </cell>
          <cell r="AY637">
            <v>461.46369178241002</v>
          </cell>
          <cell r="AZ637" t="str">
            <v>F18</v>
          </cell>
          <cell r="BA637">
            <v>3.23</v>
          </cell>
          <cell r="BB637" t="str">
            <v>NSFC</v>
          </cell>
          <cell r="BC637" t="str">
            <v>F18SS</v>
          </cell>
        </row>
        <row r="638">
          <cell r="A638" t="str">
            <v>555A1</v>
          </cell>
          <cell r="B638" t="str">
            <v>3</v>
          </cell>
          <cell r="C638" t="str">
            <v>06</v>
          </cell>
          <cell r="D638">
            <v>23</v>
          </cell>
          <cell r="E638" t="str">
            <v>555A1</v>
          </cell>
          <cell r="F638">
            <v>7.37</v>
          </cell>
          <cell r="G638">
            <v>5.31</v>
          </cell>
          <cell r="H638">
            <v>5.31</v>
          </cell>
          <cell r="I638" t="str">
            <v>Y2</v>
          </cell>
          <cell r="J638" t="str">
            <v>FC</v>
          </cell>
          <cell r="K638">
            <v>0</v>
          </cell>
          <cell r="L638">
            <v>45563</v>
          </cell>
          <cell r="M638">
            <v>45563</v>
          </cell>
          <cell r="N638">
            <v>431</v>
          </cell>
          <cell r="O638" t="str">
            <v>PS</v>
          </cell>
          <cell r="P638" t="str">
            <v>PSCJ4MTX</v>
          </cell>
          <cell r="Q638">
            <v>45563</v>
          </cell>
          <cell r="R638" t="str">
            <v/>
          </cell>
          <cell r="S638" t="str">
            <v/>
          </cell>
          <cell r="T638" t="str">
            <v/>
          </cell>
          <cell r="U638">
            <v>13872</v>
          </cell>
          <cell r="V638" t="str">
            <v/>
          </cell>
          <cell r="W638">
            <v>45712</v>
          </cell>
          <cell r="X638" t="str">
            <v>Lokasi Produksi 555A1 ( pecahan 555A )</v>
          </cell>
          <cell r="Z638">
            <v>0</v>
          </cell>
          <cell r="AA638">
            <v>45563</v>
          </cell>
          <cell r="AB638">
            <v>180.59733611111005</v>
          </cell>
          <cell r="AC638">
            <v>6.0199112037036686</v>
          </cell>
          <cell r="AD638">
            <v>-20</v>
          </cell>
          <cell r="AE638">
            <v>0</v>
          </cell>
          <cell r="AF638">
            <v>0</v>
          </cell>
          <cell r="AG638">
            <v>-1368.6666666666667</v>
          </cell>
          <cell r="AM638" t="str">
            <v>OK</v>
          </cell>
          <cell r="AO638">
            <v>14.378518441358029</v>
          </cell>
          <cell r="AP638">
            <v>14.378518441358029</v>
          </cell>
          <cell r="AQ638">
            <v>0</v>
          </cell>
          <cell r="AR638">
            <v>14.378518441358029</v>
          </cell>
          <cell r="AS638">
            <v>0</v>
          </cell>
          <cell r="AT638">
            <v>45563</v>
          </cell>
          <cell r="AU638">
            <v>14.378518441358029</v>
          </cell>
          <cell r="AV638">
            <v>431.35555324074085</v>
          </cell>
          <cell r="AW638">
            <v>14.378518441358029</v>
          </cell>
          <cell r="AY638">
            <v>436.46369178241002</v>
          </cell>
          <cell r="AZ638" t="str">
            <v>CJ4</v>
          </cell>
          <cell r="BA638">
            <v>0</v>
          </cell>
          <cell r="BB638" t="str">
            <v>PSY2</v>
          </cell>
          <cell r="BC638" t="str">
            <v>CJ4MT</v>
          </cell>
        </row>
        <row r="639">
          <cell r="A639" t="str">
            <v>555A2</v>
          </cell>
          <cell r="B639" t="str">
            <v>3</v>
          </cell>
          <cell r="C639" t="str">
            <v>06</v>
          </cell>
          <cell r="D639">
            <v>23</v>
          </cell>
          <cell r="E639" t="str">
            <v>555A2</v>
          </cell>
          <cell r="F639">
            <v>9.32</v>
          </cell>
          <cell r="G639">
            <v>6.5</v>
          </cell>
          <cell r="H639">
            <v>6.5</v>
          </cell>
          <cell r="I639" t="str">
            <v>Y2</v>
          </cell>
          <cell r="J639" t="str">
            <v>FC</v>
          </cell>
          <cell r="K639">
            <v>0</v>
          </cell>
          <cell r="L639">
            <v>45563</v>
          </cell>
          <cell r="M639">
            <v>45563</v>
          </cell>
          <cell r="N639">
            <v>431</v>
          </cell>
          <cell r="O639" t="str">
            <v>PS</v>
          </cell>
          <cell r="P639" t="str">
            <v>PSCJ4MTX</v>
          </cell>
          <cell r="Q639">
            <v>45563</v>
          </cell>
          <cell r="R639" t="str">
            <v/>
          </cell>
          <cell r="S639" t="str">
            <v/>
          </cell>
          <cell r="T639" t="str">
            <v/>
          </cell>
          <cell r="U639">
            <v>17310</v>
          </cell>
          <cell r="V639" t="str">
            <v/>
          </cell>
          <cell r="W639">
            <v>45712</v>
          </cell>
          <cell r="X639" t="str">
            <v>Lokasi Produksi 555A2 ( pecahan 555A )</v>
          </cell>
          <cell r="Z639">
            <v>0</v>
          </cell>
          <cell r="AA639">
            <v>45563</v>
          </cell>
          <cell r="AB639">
            <v>272.59733611111005</v>
          </cell>
          <cell r="AC639">
            <v>9.0865778703703359</v>
          </cell>
          <cell r="AD639">
            <v>-4.9134221296296641</v>
          </cell>
          <cell r="AE639">
            <v>15.56</v>
          </cell>
          <cell r="AF639">
            <v>0</v>
          </cell>
          <cell r="AG639">
            <v>-1365.6</v>
          </cell>
          <cell r="AM639" t="str">
            <v>OK</v>
          </cell>
          <cell r="AO639">
            <v>14.378518441358029</v>
          </cell>
          <cell r="AP639">
            <v>14.378518441358029</v>
          </cell>
          <cell r="AQ639">
            <v>0</v>
          </cell>
          <cell r="AR639">
            <v>14.378518441358029</v>
          </cell>
          <cell r="AS639">
            <v>0</v>
          </cell>
          <cell r="AT639">
            <v>45563</v>
          </cell>
          <cell r="AU639">
            <v>14.378518441358029</v>
          </cell>
          <cell r="AV639">
            <v>431.35555324074085</v>
          </cell>
          <cell r="AW639">
            <v>14.378518441358029</v>
          </cell>
          <cell r="AY639">
            <v>436.46369178241002</v>
          </cell>
          <cell r="AZ639" t="str">
            <v>CJ4</v>
          </cell>
          <cell r="BA639">
            <v>0</v>
          </cell>
          <cell r="BB639" t="str">
            <v>PSY2</v>
          </cell>
          <cell r="BC639" t="str">
            <v>CJ4MT</v>
          </cell>
        </row>
        <row r="640">
          <cell r="A640" t="str">
            <v>555B</v>
          </cell>
          <cell r="B640" t="str">
            <v>3</v>
          </cell>
          <cell r="C640" t="str">
            <v>06</v>
          </cell>
          <cell r="D640">
            <v>23</v>
          </cell>
          <cell r="E640" t="str">
            <v>555B</v>
          </cell>
          <cell r="F640">
            <v>8.1199999999999992</v>
          </cell>
          <cell r="G640">
            <v>6.85</v>
          </cell>
          <cell r="H640">
            <v>6.85</v>
          </cell>
          <cell r="I640" t="str">
            <v>FC</v>
          </cell>
          <cell r="J640" t="str">
            <v>ST</v>
          </cell>
          <cell r="K640">
            <v>14</v>
          </cell>
          <cell r="L640">
            <v>45863</v>
          </cell>
          <cell r="M640">
            <v>45863</v>
          </cell>
          <cell r="N640">
            <v>131</v>
          </cell>
          <cell r="O640" t="str">
            <v>NS</v>
          </cell>
          <cell r="P640" t="str">
            <v>NSF18CK3</v>
          </cell>
          <cell r="Q640">
            <v>46290</v>
          </cell>
          <cell r="R640" t="str">
            <v/>
          </cell>
          <cell r="S640" t="str">
            <v/>
          </cell>
          <cell r="T640" t="str">
            <v/>
          </cell>
          <cell r="U640">
            <v>65685</v>
          </cell>
          <cell r="V640">
            <v>51429</v>
          </cell>
          <cell r="W640" t="str">
            <v/>
          </cell>
          <cell r="X640" t="str">
            <v>Lokasi Produksi 555B</v>
          </cell>
          <cell r="Z640">
            <v>14</v>
          </cell>
          <cell r="AA640">
            <v>46290</v>
          </cell>
          <cell r="AB640">
            <v>180.59733611111005</v>
          </cell>
          <cell r="AC640">
            <v>6.0199112037036686</v>
          </cell>
          <cell r="AD640">
            <v>-1.9800887962963314</v>
          </cell>
          <cell r="AE640">
            <v>11</v>
          </cell>
          <cell r="AF640">
            <v>0</v>
          </cell>
          <cell r="AG640">
            <v>-1368.6666666666667</v>
          </cell>
          <cell r="AM640" t="str">
            <v>OK</v>
          </cell>
          <cell r="AO640">
            <v>4.378518441358028</v>
          </cell>
          <cell r="AP640">
            <v>-9.6214815586419711</v>
          </cell>
          <cell r="AQ640">
            <v>0</v>
          </cell>
          <cell r="AR640">
            <v>4.378518441358028</v>
          </cell>
          <cell r="AS640">
            <v>0</v>
          </cell>
          <cell r="AT640">
            <v>46290</v>
          </cell>
          <cell r="AU640">
            <v>-9.6214815586419711</v>
          </cell>
          <cell r="AV640">
            <v>131.35555324074085</v>
          </cell>
          <cell r="AW640">
            <v>-9.6214815586419711</v>
          </cell>
          <cell r="AY640">
            <v>136.46369178241002</v>
          </cell>
          <cell r="AZ640" t="str">
            <v>F18</v>
          </cell>
          <cell r="BA640">
            <v>6.85</v>
          </cell>
          <cell r="BB640" t="str">
            <v>NSFC</v>
          </cell>
          <cell r="BC640" t="str">
            <v>F18CK</v>
          </cell>
        </row>
        <row r="641">
          <cell r="A641" t="str">
            <v>555C3</v>
          </cell>
          <cell r="B641" t="str">
            <v>3</v>
          </cell>
          <cell r="C641" t="str">
            <v>06</v>
          </cell>
          <cell r="D641">
            <v>23</v>
          </cell>
          <cell r="E641" t="str">
            <v>555C3</v>
          </cell>
          <cell r="F641">
            <v>10.74</v>
          </cell>
          <cell r="G641">
            <v>8.9600000000000009</v>
          </cell>
          <cell r="H641">
            <v>8.9600000000000009</v>
          </cell>
          <cell r="I641" t="str">
            <v>FC</v>
          </cell>
          <cell r="J641" t="str">
            <v>ST</v>
          </cell>
          <cell r="K641">
            <v>12</v>
          </cell>
          <cell r="L641">
            <v>45838</v>
          </cell>
          <cell r="M641">
            <v>45838</v>
          </cell>
          <cell r="N641">
            <v>156</v>
          </cell>
          <cell r="O641" t="str">
            <v>NS</v>
          </cell>
          <cell r="P641" t="str">
            <v>NSF18SS3</v>
          </cell>
          <cell r="Q641">
            <v>46204</v>
          </cell>
          <cell r="R641" t="str">
            <v/>
          </cell>
          <cell r="S641" t="str">
            <v/>
          </cell>
          <cell r="T641" t="str">
            <v/>
          </cell>
          <cell r="U641">
            <v>59790</v>
          </cell>
          <cell r="V641">
            <v>71238</v>
          </cell>
          <cell r="W641">
            <v>45730</v>
          </cell>
          <cell r="X641" t="str">
            <v>Lokasi Produksi 555C3 ( Gabungan 555C1 &amp; 555C2 )</v>
          </cell>
          <cell r="Z641">
            <v>12</v>
          </cell>
          <cell r="AA641">
            <v>46204</v>
          </cell>
          <cell r="AB641">
            <v>4501.5973361111101</v>
          </cell>
          <cell r="AC641">
            <v>150.05324453703699</v>
          </cell>
          <cell r="AD641">
            <v>-20</v>
          </cell>
          <cell r="AE641">
            <v>0</v>
          </cell>
          <cell r="AF641">
            <v>0</v>
          </cell>
          <cell r="AG641">
            <v>-1224.6333333333334</v>
          </cell>
          <cell r="AM641" t="str">
            <v>OK</v>
          </cell>
          <cell r="AO641">
            <v>5.211851774691362</v>
          </cell>
          <cell r="AP641">
            <v>-6.788148225308638</v>
          </cell>
          <cell r="AQ641">
            <v>0</v>
          </cell>
          <cell r="AR641">
            <v>5.211851774691362</v>
          </cell>
          <cell r="AS641">
            <v>0</v>
          </cell>
          <cell r="AT641">
            <v>46204</v>
          </cell>
          <cell r="AU641">
            <v>-6.788148225308638</v>
          </cell>
          <cell r="AV641">
            <v>156.35555324074085</v>
          </cell>
          <cell r="AW641">
            <v>-6.788148225308638</v>
          </cell>
          <cell r="AY641">
            <v>161.46369178241002</v>
          </cell>
          <cell r="AZ641" t="str">
            <v>F18</v>
          </cell>
          <cell r="BA641">
            <v>8.9600000000000009</v>
          </cell>
          <cell r="BB641" t="str">
            <v>NSFC</v>
          </cell>
          <cell r="BC641" t="str">
            <v>F18SS</v>
          </cell>
        </row>
        <row r="642">
          <cell r="A642" t="str">
            <v>555D1</v>
          </cell>
          <cell r="B642" t="str">
            <v>3</v>
          </cell>
          <cell r="C642" t="str">
            <v>06</v>
          </cell>
          <cell r="D642">
            <v>23</v>
          </cell>
          <cell r="E642" t="str">
            <v>555D1</v>
          </cell>
          <cell r="F642">
            <v>9.09</v>
          </cell>
          <cell r="G642">
            <v>7.7</v>
          </cell>
          <cell r="H642">
            <v>7.7</v>
          </cell>
          <cell r="I642" t="str">
            <v>FC</v>
          </cell>
          <cell r="J642" t="str">
            <v>ST</v>
          </cell>
          <cell r="K642">
            <v>12</v>
          </cell>
          <cell r="L642">
            <v>45890</v>
          </cell>
          <cell r="M642">
            <v>45890</v>
          </cell>
          <cell r="N642">
            <v>104</v>
          </cell>
          <cell r="O642" t="str">
            <v>NS</v>
          </cell>
          <cell r="P642" t="str">
            <v>NSGP3SS3</v>
          </cell>
          <cell r="Q642">
            <v>46256</v>
          </cell>
          <cell r="R642" t="str">
            <v/>
          </cell>
          <cell r="S642" t="str">
            <v/>
          </cell>
          <cell r="T642" t="str">
            <v/>
          </cell>
          <cell r="U642">
            <v>72337</v>
          </cell>
          <cell r="V642">
            <v>18410</v>
          </cell>
          <cell r="W642">
            <v>46007</v>
          </cell>
          <cell r="X642" t="str">
            <v>Lokasi Produksi ( pecahan 555D )</v>
          </cell>
          <cell r="Z642">
            <v>12</v>
          </cell>
          <cell r="AA642">
            <v>46256</v>
          </cell>
          <cell r="AB642">
            <v>577.59733611111005</v>
          </cell>
          <cell r="AC642">
            <v>19.253244537037002</v>
          </cell>
          <cell r="AD642">
            <v>5.253244537037002</v>
          </cell>
          <cell r="AE642">
            <v>20.55</v>
          </cell>
          <cell r="AF642">
            <v>0</v>
          </cell>
          <cell r="AG642">
            <v>-1355.4333333333334</v>
          </cell>
          <cell r="AK642">
            <v>40295</v>
          </cell>
          <cell r="AM642" t="str">
            <v>OK</v>
          </cell>
          <cell r="AO642">
            <v>3.4785184413580281</v>
          </cell>
          <cell r="AP642">
            <v>-8.5214815586419714</v>
          </cell>
          <cell r="AQ642">
            <v>0</v>
          </cell>
          <cell r="AR642">
            <v>3.4785184413580281</v>
          </cell>
          <cell r="AS642">
            <v>0</v>
          </cell>
          <cell r="AT642">
            <v>46256</v>
          </cell>
          <cell r="AU642">
            <v>-8.5214815586419714</v>
          </cell>
          <cell r="AV642">
            <v>104.35555324074085</v>
          </cell>
          <cell r="AW642">
            <v>-8.5214815586419714</v>
          </cell>
          <cell r="AY642">
            <v>109.46369178241002</v>
          </cell>
          <cell r="AZ642" t="str">
            <v>GP3</v>
          </cell>
          <cell r="BA642">
            <v>7.7</v>
          </cell>
          <cell r="BB642" t="str">
            <v>NSFC</v>
          </cell>
          <cell r="BC642" t="str">
            <v>GP3SS</v>
          </cell>
        </row>
        <row r="643">
          <cell r="A643" t="str">
            <v>555D2A</v>
          </cell>
          <cell r="B643" t="str">
            <v>3</v>
          </cell>
          <cell r="C643" t="str">
            <v>06</v>
          </cell>
          <cell r="D643">
            <v>23</v>
          </cell>
          <cell r="E643" t="str">
            <v>555D2A</v>
          </cell>
          <cell r="F643">
            <v>5.16</v>
          </cell>
          <cell r="G643">
            <v>4.43</v>
          </cell>
          <cell r="H643">
            <v>4.43</v>
          </cell>
          <cell r="I643" t="str">
            <v>FC</v>
          </cell>
          <cell r="J643" t="str">
            <v>ST</v>
          </cell>
          <cell r="K643">
            <v>10</v>
          </cell>
          <cell r="L643">
            <v>45885</v>
          </cell>
          <cell r="M643">
            <v>45885</v>
          </cell>
          <cell r="N643">
            <v>109</v>
          </cell>
          <cell r="O643" t="str">
            <v>NS</v>
          </cell>
          <cell r="P643" t="str">
            <v>NSGP3SB3</v>
          </cell>
          <cell r="Q643">
            <v>46190</v>
          </cell>
          <cell r="R643" t="str">
            <v/>
          </cell>
          <cell r="S643" t="str">
            <v/>
          </cell>
          <cell r="T643" t="str">
            <v/>
          </cell>
          <cell r="U643">
            <v>71444</v>
          </cell>
          <cell r="V643">
            <v>71949</v>
          </cell>
          <cell r="W643">
            <v>45714</v>
          </cell>
          <cell r="X643" t="str">
            <v>Lokasi Produksi 555D2A ( pecahan 555D2 )</v>
          </cell>
          <cell r="Z643">
            <v>10</v>
          </cell>
          <cell r="AA643">
            <v>46190</v>
          </cell>
          <cell r="AB643">
            <v>577.59733611111005</v>
          </cell>
          <cell r="AC643">
            <v>19.253244537037002</v>
          </cell>
          <cell r="AD643">
            <v>5.253244537037002</v>
          </cell>
          <cell r="AE643">
            <v>16.86</v>
          </cell>
          <cell r="AF643">
            <v>0</v>
          </cell>
          <cell r="AG643">
            <v>-1355.4333333333334</v>
          </cell>
          <cell r="AM643" t="str">
            <v>OK</v>
          </cell>
          <cell r="AO643">
            <v>3.6451851080246951</v>
          </cell>
          <cell r="AP643">
            <v>-6.3548148919753054</v>
          </cell>
          <cell r="AQ643">
            <v>0</v>
          </cell>
          <cell r="AR643">
            <v>3.6451851080246951</v>
          </cell>
          <cell r="AS643">
            <v>0</v>
          </cell>
          <cell r="AT643">
            <v>46190</v>
          </cell>
          <cell r="AU643">
            <v>-6.3548148919753054</v>
          </cell>
          <cell r="AV643">
            <v>109.35555324074085</v>
          </cell>
          <cell r="AW643">
            <v>-6.3548148919753054</v>
          </cell>
          <cell r="AY643">
            <v>114.46369178241002</v>
          </cell>
          <cell r="AZ643" t="str">
            <v>GP3</v>
          </cell>
          <cell r="BA643">
            <v>4.43</v>
          </cell>
          <cell r="BB643" t="str">
            <v>NSFC</v>
          </cell>
          <cell r="BC643" t="str">
            <v>GP3SB</v>
          </cell>
        </row>
        <row r="644">
          <cell r="A644" t="str">
            <v>555D2B</v>
          </cell>
          <cell r="B644" t="str">
            <v>3</v>
          </cell>
          <cell r="C644" t="str">
            <v>06</v>
          </cell>
          <cell r="D644">
            <v>23</v>
          </cell>
          <cell r="E644" t="str">
            <v>555D2B</v>
          </cell>
          <cell r="F644">
            <v>7.15</v>
          </cell>
          <cell r="G644">
            <v>6.12</v>
          </cell>
          <cell r="H644">
            <v>6.12</v>
          </cell>
          <cell r="I644" t="str">
            <v>FC</v>
          </cell>
          <cell r="J644" t="str">
            <v>ST</v>
          </cell>
          <cell r="K644">
            <v>10</v>
          </cell>
          <cell r="L644">
            <v>45896</v>
          </cell>
          <cell r="M644">
            <v>45896</v>
          </cell>
          <cell r="N644">
            <v>98</v>
          </cell>
          <cell r="O644" t="str">
            <v>NS</v>
          </cell>
          <cell r="P644" t="str">
            <v>NSGP3SB3</v>
          </cell>
          <cell r="Q644">
            <v>46201</v>
          </cell>
          <cell r="R644" t="str">
            <v/>
          </cell>
          <cell r="S644" t="str">
            <v/>
          </cell>
          <cell r="T644" t="str">
            <v/>
          </cell>
          <cell r="U644">
            <v>70752</v>
          </cell>
          <cell r="V644">
            <v>70109</v>
          </cell>
          <cell r="W644">
            <v>46007</v>
          </cell>
          <cell r="X644" t="str">
            <v>Lokasi Produksi 555D2B ( pecahan 555D2 )</v>
          </cell>
          <cell r="Z644">
            <v>10</v>
          </cell>
          <cell r="AA644">
            <v>46201</v>
          </cell>
          <cell r="AB644">
            <v>409.59733611111005</v>
          </cell>
          <cell r="AC644">
            <v>13.653244537037002</v>
          </cell>
          <cell r="AD644">
            <v>-20</v>
          </cell>
          <cell r="AE644">
            <v>0</v>
          </cell>
          <cell r="AF644">
            <v>0</v>
          </cell>
          <cell r="AG644">
            <v>-1361.0333333333333</v>
          </cell>
          <cell r="AM644" t="str">
            <v>OK</v>
          </cell>
          <cell r="AO644">
            <v>3.2785184413580284</v>
          </cell>
          <cell r="AP644">
            <v>-6.7214815586419716</v>
          </cell>
          <cell r="AQ644">
            <v>0</v>
          </cell>
          <cell r="AR644">
            <v>3.2785184413580284</v>
          </cell>
          <cell r="AS644">
            <v>0</v>
          </cell>
          <cell r="AT644">
            <v>46201</v>
          </cell>
          <cell r="AU644">
            <v>-6.7214815586419716</v>
          </cell>
          <cell r="AV644">
            <v>98.355553240740846</v>
          </cell>
          <cell r="AW644">
            <v>-6.7214815586419716</v>
          </cell>
          <cell r="AY644">
            <v>103.46369178241002</v>
          </cell>
          <cell r="AZ644" t="str">
            <v>GP3</v>
          </cell>
          <cell r="BA644">
            <v>6.12</v>
          </cell>
          <cell r="BB644" t="str">
            <v>NSFC</v>
          </cell>
          <cell r="BC644" t="str">
            <v>GP3SB</v>
          </cell>
        </row>
        <row r="645">
          <cell r="A645" t="str">
            <v>555D2C</v>
          </cell>
          <cell r="B645" t="str">
            <v>3</v>
          </cell>
          <cell r="C645" t="str">
            <v>06</v>
          </cell>
          <cell r="D645">
            <v>23</v>
          </cell>
          <cell r="E645" t="str">
            <v>555D2C</v>
          </cell>
          <cell r="F645">
            <v>6.73</v>
          </cell>
          <cell r="G645">
            <v>5.7</v>
          </cell>
          <cell r="H645">
            <v>5.7</v>
          </cell>
          <cell r="I645" t="str">
            <v>FC</v>
          </cell>
          <cell r="J645" t="str">
            <v>ST</v>
          </cell>
          <cell r="K645">
            <v>12</v>
          </cell>
          <cell r="L645">
            <v>45902</v>
          </cell>
          <cell r="M645">
            <v>45902</v>
          </cell>
          <cell r="N645">
            <v>92</v>
          </cell>
          <cell r="O645" t="str">
            <v>NS</v>
          </cell>
          <cell r="P645" t="str">
            <v>NSF18SS3</v>
          </cell>
          <cell r="Q645">
            <v>46268</v>
          </cell>
          <cell r="R645" t="str">
            <v/>
          </cell>
          <cell r="S645" t="str">
            <v/>
          </cell>
          <cell r="T645" t="str">
            <v/>
          </cell>
          <cell r="U645">
            <v>72160</v>
          </cell>
          <cell r="V645">
            <v>12160</v>
          </cell>
          <cell r="W645">
            <v>46007</v>
          </cell>
          <cell r="X645" t="str">
            <v>Lokasi Produksi 555D2C ( pecahan 555D2 )</v>
          </cell>
          <cell r="Z645">
            <v>12</v>
          </cell>
          <cell r="AA645">
            <v>46268</v>
          </cell>
          <cell r="AB645">
            <v>80.597336111110053</v>
          </cell>
          <cell r="AC645">
            <v>2.6865778703703351</v>
          </cell>
          <cell r="AD645">
            <v>-5.3134221296296644</v>
          </cell>
          <cell r="AE645">
            <v>21.49</v>
          </cell>
          <cell r="AF645">
            <v>0</v>
          </cell>
          <cell r="AG645">
            <v>-1372</v>
          </cell>
          <cell r="AM645" t="str">
            <v>OK</v>
          </cell>
          <cell r="AO645">
            <v>3.0785184413580282</v>
          </cell>
          <cell r="AP645">
            <v>-8.9214815586419718</v>
          </cell>
          <cell r="AQ645">
            <v>0</v>
          </cell>
          <cell r="AR645">
            <v>3.0785184413580282</v>
          </cell>
          <cell r="AS645">
            <v>0</v>
          </cell>
          <cell r="AT645">
            <v>46268</v>
          </cell>
          <cell r="AU645">
            <v>-8.9214815586419718</v>
          </cell>
          <cell r="AV645">
            <v>92.355553240740846</v>
          </cell>
          <cell r="AW645">
            <v>-8.9214815586419718</v>
          </cell>
          <cell r="AY645">
            <v>97.463691782410024</v>
          </cell>
          <cell r="AZ645" t="str">
            <v>F18</v>
          </cell>
          <cell r="BA645">
            <v>5.7</v>
          </cell>
          <cell r="BB645" t="str">
            <v>NSFC</v>
          </cell>
          <cell r="BC645" t="str">
            <v>F18SS</v>
          </cell>
        </row>
        <row r="646">
          <cell r="A646" t="str">
            <v>556A</v>
          </cell>
          <cell r="B646" t="str">
            <v>3</v>
          </cell>
          <cell r="C646" t="str">
            <v>06</v>
          </cell>
          <cell r="D646">
            <v>21</v>
          </cell>
          <cell r="E646" t="str">
            <v>556A</v>
          </cell>
          <cell r="F646">
            <v>14.95</v>
          </cell>
          <cell r="G646">
            <v>12.54</v>
          </cell>
          <cell r="H646">
            <v>12.54</v>
          </cell>
          <cell r="I646" t="str">
            <v>FC</v>
          </cell>
          <cell r="J646" t="str">
            <v>ST</v>
          </cell>
          <cell r="K646">
            <v>14</v>
          </cell>
          <cell r="L646">
            <v>45715</v>
          </cell>
          <cell r="M646">
            <v>45715</v>
          </cell>
          <cell r="N646">
            <v>279</v>
          </cell>
          <cell r="O646" t="str">
            <v>NS</v>
          </cell>
          <cell r="P646" t="str">
            <v>NSF18CK3</v>
          </cell>
          <cell r="Q646">
            <v>46142</v>
          </cell>
          <cell r="R646" t="str">
            <v/>
          </cell>
          <cell r="S646" t="str">
            <v/>
          </cell>
          <cell r="T646" t="str">
            <v/>
          </cell>
          <cell r="U646">
            <v>65532</v>
          </cell>
          <cell r="V646">
            <v>67534</v>
          </cell>
          <cell r="W646">
            <v>43545</v>
          </cell>
          <cell r="X646" t="str">
            <v>Lokasi Produksi 556A</v>
          </cell>
          <cell r="Z646">
            <v>14</v>
          </cell>
          <cell r="AA646">
            <v>46142</v>
          </cell>
          <cell r="AB646">
            <v>278.59733611111005</v>
          </cell>
          <cell r="AC646">
            <v>9.2865778703703352</v>
          </cell>
          <cell r="AD646">
            <v>1.2865778703703352</v>
          </cell>
          <cell r="AE646">
            <v>11.01</v>
          </cell>
          <cell r="AF646">
            <v>0</v>
          </cell>
          <cell r="AG646">
            <v>-1365.4</v>
          </cell>
          <cell r="AM646" t="str">
            <v>OK</v>
          </cell>
          <cell r="AO646">
            <v>9.3118517746913607</v>
          </cell>
          <cell r="AP646">
            <v>-4.6881482253086393</v>
          </cell>
          <cell r="AQ646">
            <v>0</v>
          </cell>
          <cell r="AR646">
            <v>9.3118517746913607</v>
          </cell>
          <cell r="AS646">
            <v>0</v>
          </cell>
          <cell r="AT646">
            <v>46142</v>
          </cell>
          <cell r="AU646">
            <v>-4.6881482253086393</v>
          </cell>
          <cell r="AV646">
            <v>279.35555324074085</v>
          </cell>
          <cell r="AW646">
            <v>-4.6881482253086393</v>
          </cell>
          <cell r="AY646">
            <v>284.46369178241002</v>
          </cell>
          <cell r="AZ646" t="str">
            <v>F18</v>
          </cell>
          <cell r="BA646">
            <v>12.54</v>
          </cell>
          <cell r="BB646" t="str">
            <v>NSFC</v>
          </cell>
          <cell r="BC646" t="str">
            <v>F18CK</v>
          </cell>
        </row>
        <row r="647">
          <cell r="A647" t="str">
            <v>556A3</v>
          </cell>
          <cell r="B647" t="str">
            <v>3</v>
          </cell>
          <cell r="C647" t="str">
            <v>06</v>
          </cell>
          <cell r="D647">
            <v>21</v>
          </cell>
          <cell r="E647" t="str">
            <v>556A3</v>
          </cell>
          <cell r="F647">
            <v>0.45</v>
          </cell>
          <cell r="G647">
            <v>0.45</v>
          </cell>
          <cell r="H647">
            <v>0.45</v>
          </cell>
          <cell r="I647" t="str">
            <v>FC</v>
          </cell>
          <cell r="J647" t="str">
            <v>ST</v>
          </cell>
          <cell r="K647">
            <v>0</v>
          </cell>
          <cell r="L647">
            <v>45869</v>
          </cell>
          <cell r="M647">
            <v>45869</v>
          </cell>
          <cell r="N647">
            <v>125</v>
          </cell>
          <cell r="O647" t="str">
            <v>SK</v>
          </cell>
          <cell r="P647" t="str">
            <v/>
          </cell>
          <cell r="Q647">
            <v>45869</v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>Lokasi Produksi 556A3 ( singkong )</v>
          </cell>
          <cell r="Z647">
            <v>0</v>
          </cell>
          <cell r="AA647">
            <v>45869</v>
          </cell>
          <cell r="AB647">
            <v>225.59733611111005</v>
          </cell>
          <cell r="AC647">
            <v>7.5199112037036686</v>
          </cell>
          <cell r="AD647">
            <v>-20</v>
          </cell>
          <cell r="AE647">
            <v>0</v>
          </cell>
          <cell r="AF647">
            <v>0</v>
          </cell>
          <cell r="AG647">
            <v>-1367.1666666666667</v>
          </cell>
          <cell r="AK647">
            <v>40354</v>
          </cell>
          <cell r="AM647" t="str">
            <v>OK</v>
          </cell>
          <cell r="AO647">
            <v>4.1785184413580279</v>
          </cell>
          <cell r="AP647">
            <v>4.1785184413580279</v>
          </cell>
          <cell r="AQ647">
            <v>0</v>
          </cell>
          <cell r="AR647">
            <v>4.1785184413580279</v>
          </cell>
          <cell r="AS647">
            <v>0</v>
          </cell>
          <cell r="AT647">
            <v>45869</v>
          </cell>
          <cell r="AU647">
            <v>4.1785184413580279</v>
          </cell>
          <cell r="AV647">
            <v>125.35555324074083</v>
          </cell>
          <cell r="AW647">
            <v>4.1785184413580279</v>
          </cell>
          <cell r="AY647">
            <v>130.46369178241002</v>
          </cell>
          <cell r="AZ647" t="str">
            <v>F18</v>
          </cell>
          <cell r="BA647">
            <v>0</v>
          </cell>
          <cell r="BB647" t="str">
            <v>SKFC</v>
          </cell>
          <cell r="BC647" t="str">
            <v>F18</v>
          </cell>
        </row>
        <row r="648">
          <cell r="A648" t="str">
            <v>556B1</v>
          </cell>
          <cell r="B648" t="str">
            <v>3</v>
          </cell>
          <cell r="C648" t="str">
            <v>06</v>
          </cell>
          <cell r="D648">
            <v>21</v>
          </cell>
          <cell r="E648" t="str">
            <v>556B1</v>
          </cell>
          <cell r="F648">
            <v>16.73</v>
          </cell>
          <cell r="G648">
            <v>13.33</v>
          </cell>
          <cell r="H648">
            <v>13.33</v>
          </cell>
          <cell r="I648" t="str">
            <v>SC</v>
          </cell>
          <cell r="J648" t="str">
            <v>FC</v>
          </cell>
          <cell r="K648">
            <v>8</v>
          </cell>
          <cell r="L648">
            <v>45891</v>
          </cell>
          <cell r="M648">
            <v>45891</v>
          </cell>
          <cell r="N648">
            <v>103</v>
          </cell>
          <cell r="O648" t="str">
            <v>NS</v>
          </cell>
          <cell r="P648" t="str">
            <v/>
          </cell>
          <cell r="Q648">
            <v>46135</v>
          </cell>
          <cell r="R648" t="str">
            <v/>
          </cell>
          <cell r="S648" t="str">
            <v/>
          </cell>
          <cell r="T648" t="str">
            <v/>
          </cell>
          <cell r="U648">
            <v>62805</v>
          </cell>
          <cell r="V648">
            <v>68355</v>
          </cell>
          <cell r="W648">
            <v>45270</v>
          </cell>
          <cell r="X648" t="str">
            <v>Lokasi Produksi 556B1 ( pecahan 556B )</v>
          </cell>
          <cell r="Z648">
            <v>8</v>
          </cell>
          <cell r="AA648">
            <v>46135</v>
          </cell>
          <cell r="AB648">
            <v>1144.5973361111101</v>
          </cell>
          <cell r="AC648">
            <v>38.153244537037004</v>
          </cell>
          <cell r="AD648">
            <v>-20</v>
          </cell>
          <cell r="AE648">
            <v>11.9</v>
          </cell>
          <cell r="AF648">
            <v>0</v>
          </cell>
          <cell r="AG648">
            <v>-1336.5333333333333</v>
          </cell>
          <cell r="AM648" t="str">
            <v>OK</v>
          </cell>
          <cell r="AO648">
            <v>3.4451851080246949</v>
          </cell>
          <cell r="AP648">
            <v>-4.5548148919753046</v>
          </cell>
          <cell r="AQ648">
            <v>0</v>
          </cell>
          <cell r="AR648">
            <v>3.4451851080246949</v>
          </cell>
          <cell r="AS648">
            <v>0</v>
          </cell>
          <cell r="AT648">
            <v>46135</v>
          </cell>
          <cell r="AU648">
            <v>-4.5548148919753046</v>
          </cell>
          <cell r="AV648">
            <v>103.35555324074085</v>
          </cell>
          <cell r="AW648">
            <v>-4.5548148919753046</v>
          </cell>
          <cell r="AY648">
            <v>108.46369178241002</v>
          </cell>
          <cell r="AZ648" t="str">
            <v>F18</v>
          </cell>
          <cell r="BA648">
            <v>13.33</v>
          </cell>
          <cell r="BB648" t="str">
            <v>NSSC</v>
          </cell>
          <cell r="BC648" t="str">
            <v>F18</v>
          </cell>
        </row>
        <row r="649">
          <cell r="A649" t="str">
            <v>556B2</v>
          </cell>
          <cell r="B649" t="str">
            <v>3</v>
          </cell>
          <cell r="C649" t="str">
            <v>06</v>
          </cell>
          <cell r="D649">
            <v>21</v>
          </cell>
          <cell r="E649" t="str">
            <v>556B2</v>
          </cell>
          <cell r="F649">
            <v>8.58</v>
          </cell>
          <cell r="G649">
            <v>6.92</v>
          </cell>
          <cell r="H649">
            <v>6.92</v>
          </cell>
          <cell r="I649" t="str">
            <v>BB</v>
          </cell>
          <cell r="J649" t="str">
            <v>FC</v>
          </cell>
          <cell r="K649">
            <v>0</v>
          </cell>
          <cell r="L649">
            <v>45933</v>
          </cell>
          <cell r="M649">
            <v>45933</v>
          </cell>
          <cell r="N649">
            <v>61</v>
          </cell>
          <cell r="O649" t="str">
            <v>NS</v>
          </cell>
          <cell r="P649" t="str">
            <v/>
          </cell>
          <cell r="Q649">
            <v>45933</v>
          </cell>
          <cell r="R649" t="str">
            <v/>
          </cell>
          <cell r="S649" t="str">
            <v/>
          </cell>
          <cell r="T649" t="str">
            <v/>
          </cell>
          <cell r="U649">
            <v>68788</v>
          </cell>
          <cell r="V649">
            <v>71145</v>
          </cell>
          <cell r="W649" t="str">
            <v/>
          </cell>
          <cell r="X649" t="str">
            <v>Lokasi Produksi 556B2 ( pecahan 556B )</v>
          </cell>
          <cell r="Z649">
            <v>0</v>
          </cell>
          <cell r="AA649">
            <v>45933</v>
          </cell>
          <cell r="AB649">
            <v>747.59733611111005</v>
          </cell>
          <cell r="AC649">
            <v>24.91991120370367</v>
          </cell>
          <cell r="AD649">
            <v>-20</v>
          </cell>
          <cell r="AE649">
            <v>0</v>
          </cell>
          <cell r="AF649">
            <v>0</v>
          </cell>
          <cell r="AG649">
            <v>-1349.7666666666667</v>
          </cell>
          <cell r="AK649">
            <v>40390</v>
          </cell>
          <cell r="AM649" t="str">
            <v>OK</v>
          </cell>
          <cell r="AO649">
            <v>2.045185108024695</v>
          </cell>
          <cell r="AP649">
            <v>2.045185108024695</v>
          </cell>
          <cell r="AQ649">
            <v>0</v>
          </cell>
          <cell r="AR649">
            <v>2.045185108024695</v>
          </cell>
          <cell r="AS649">
            <v>0</v>
          </cell>
          <cell r="AT649">
            <v>45933</v>
          </cell>
          <cell r="AU649">
            <v>2.045185108024695</v>
          </cell>
          <cell r="AV649">
            <v>61.355553240740846</v>
          </cell>
          <cell r="AW649">
            <v>2.045185108024695</v>
          </cell>
          <cell r="AY649">
            <v>66.463691782410024</v>
          </cell>
          <cell r="AZ649" t="str">
            <v>F18</v>
          </cell>
          <cell r="BA649">
            <v>0</v>
          </cell>
          <cell r="BB649" t="str">
            <v>NSBB</v>
          </cell>
          <cell r="BC649" t="str">
            <v>F18</v>
          </cell>
        </row>
        <row r="650">
          <cell r="A650" t="str">
            <v>556B3</v>
          </cell>
          <cell r="B650" t="str">
            <v>3</v>
          </cell>
          <cell r="C650" t="str">
            <v>06</v>
          </cell>
          <cell r="D650">
            <v>21</v>
          </cell>
          <cell r="E650" t="str">
            <v>556B3</v>
          </cell>
          <cell r="F650">
            <v>8.66</v>
          </cell>
          <cell r="G650">
            <v>7.07</v>
          </cell>
          <cell r="H650">
            <v>7.07</v>
          </cell>
          <cell r="I650" t="str">
            <v>SC</v>
          </cell>
          <cell r="J650" t="str">
            <v>FC</v>
          </cell>
          <cell r="K650">
            <v>8</v>
          </cell>
          <cell r="L650">
            <v>45933</v>
          </cell>
          <cell r="M650">
            <v>45933</v>
          </cell>
          <cell r="N650">
            <v>61</v>
          </cell>
          <cell r="O650" t="str">
            <v>NS</v>
          </cell>
          <cell r="P650" t="str">
            <v/>
          </cell>
          <cell r="Q650">
            <v>46177</v>
          </cell>
          <cell r="R650" t="str">
            <v/>
          </cell>
          <cell r="S650" t="str">
            <v/>
          </cell>
          <cell r="T650" t="str">
            <v/>
          </cell>
          <cell r="U650">
            <v>68570</v>
          </cell>
          <cell r="V650">
            <v>69336</v>
          </cell>
          <cell r="W650">
            <v>45846</v>
          </cell>
          <cell r="X650" t="str">
            <v>Lokasi Produksi 556B3 ( pecahan 556B )</v>
          </cell>
          <cell r="Z650">
            <v>8</v>
          </cell>
          <cell r="AA650">
            <v>46177</v>
          </cell>
          <cell r="AB650">
            <v>5307.5973361111101</v>
          </cell>
          <cell r="AC650">
            <v>176.91991120370366</v>
          </cell>
          <cell r="AD650">
            <v>-20</v>
          </cell>
          <cell r="AE650">
            <v>0</v>
          </cell>
          <cell r="AF650">
            <v>0</v>
          </cell>
          <cell r="AG650">
            <v>-1197.7666666666667</v>
          </cell>
          <cell r="AM650" t="str">
            <v>OK</v>
          </cell>
          <cell r="AO650">
            <v>2.045185108024695</v>
          </cell>
          <cell r="AP650">
            <v>-5.954814891975305</v>
          </cell>
          <cell r="AQ650">
            <v>0</v>
          </cell>
          <cell r="AR650">
            <v>2.045185108024695</v>
          </cell>
          <cell r="AS650">
            <v>0</v>
          </cell>
          <cell r="AT650">
            <v>46177</v>
          </cell>
          <cell r="AU650">
            <v>-5.954814891975305</v>
          </cell>
          <cell r="AV650">
            <v>61.355553240740846</v>
          </cell>
          <cell r="AW650">
            <v>-5.954814891975305</v>
          </cell>
          <cell r="AY650">
            <v>66.463691782410024</v>
          </cell>
          <cell r="AZ650" t="str">
            <v>F18</v>
          </cell>
          <cell r="BA650">
            <v>7.07</v>
          </cell>
          <cell r="BB650" t="str">
            <v>NSSC</v>
          </cell>
          <cell r="BC650" t="str">
            <v>F18</v>
          </cell>
        </row>
        <row r="651">
          <cell r="A651" t="str">
            <v>556E1A</v>
          </cell>
          <cell r="B651" t="str">
            <v>3</v>
          </cell>
          <cell r="C651" t="str">
            <v>06</v>
          </cell>
          <cell r="D651">
            <v>21</v>
          </cell>
          <cell r="E651" t="str">
            <v>556E1A</v>
          </cell>
          <cell r="F651">
            <v>4.58</v>
          </cell>
          <cell r="G651">
            <v>3.85</v>
          </cell>
          <cell r="H651">
            <v>3.85</v>
          </cell>
          <cell r="I651" t="str">
            <v>BK</v>
          </cell>
          <cell r="J651" t="str">
            <v>SR</v>
          </cell>
          <cell r="K651">
            <v>0</v>
          </cell>
          <cell r="L651">
            <v>45902</v>
          </cell>
          <cell r="M651">
            <v>45902</v>
          </cell>
          <cell r="N651">
            <v>92</v>
          </cell>
          <cell r="O651" t="str">
            <v>PS</v>
          </cell>
          <cell r="P651" t="str">
            <v/>
          </cell>
          <cell r="Q651">
            <v>45902</v>
          </cell>
          <cell r="R651" t="str">
            <v/>
          </cell>
          <cell r="S651" t="str">
            <v/>
          </cell>
          <cell r="T651" t="str">
            <v/>
          </cell>
          <cell r="U651">
            <v>9856</v>
          </cell>
          <cell r="V651">
            <v>11797</v>
          </cell>
          <cell r="W651">
            <v>46232</v>
          </cell>
          <cell r="X651" t="str">
            <v>Lokasi Produksi 556E1A ( pecahan 556E1 )</v>
          </cell>
          <cell r="Z651">
            <v>0</v>
          </cell>
          <cell r="AA651">
            <v>45902</v>
          </cell>
          <cell r="AB651">
            <v>76.597336111110053</v>
          </cell>
          <cell r="AC651">
            <v>2.5532445370370018</v>
          </cell>
          <cell r="AD651">
            <v>-11.446755462962997</v>
          </cell>
          <cell r="AE651">
            <v>18.5</v>
          </cell>
          <cell r="AF651">
            <v>0</v>
          </cell>
          <cell r="AG651">
            <v>-1372.1333333333334</v>
          </cell>
          <cell r="AM651" t="str">
            <v>OK</v>
          </cell>
          <cell r="AO651">
            <v>3.0785184413580282</v>
          </cell>
          <cell r="AP651">
            <v>3.0785184413580282</v>
          </cell>
          <cell r="AQ651">
            <v>0</v>
          </cell>
          <cell r="AR651">
            <v>3.0785184413580282</v>
          </cell>
          <cell r="AS651">
            <v>0</v>
          </cell>
          <cell r="AT651">
            <v>45902</v>
          </cell>
          <cell r="AU651">
            <v>3.0785184413580282</v>
          </cell>
          <cell r="AV651">
            <v>92.355553240740846</v>
          </cell>
          <cell r="AW651">
            <v>3.0785184413580282</v>
          </cell>
          <cell r="AY651">
            <v>97.463691782410024</v>
          </cell>
          <cell r="AZ651" t="str">
            <v>F18</v>
          </cell>
          <cell r="BA651">
            <v>0</v>
          </cell>
          <cell r="BB651" t="str">
            <v>PSBK</v>
          </cell>
          <cell r="BC651" t="str">
            <v>F18</v>
          </cell>
        </row>
        <row r="652">
          <cell r="A652" t="str">
            <v>556E1B</v>
          </cell>
          <cell r="B652" t="str">
            <v>3</v>
          </cell>
          <cell r="C652" t="str">
            <v>06</v>
          </cell>
          <cell r="D652">
            <v>21</v>
          </cell>
          <cell r="E652" t="str">
            <v>556E1B</v>
          </cell>
          <cell r="F652">
            <v>6.55</v>
          </cell>
          <cell r="G652">
            <v>5.6</v>
          </cell>
          <cell r="H652">
            <v>5.6</v>
          </cell>
          <cell r="I652" t="str">
            <v>BK</v>
          </cell>
          <cell r="J652" t="str">
            <v>SR</v>
          </cell>
          <cell r="K652">
            <v>0</v>
          </cell>
          <cell r="L652">
            <v>45924</v>
          </cell>
          <cell r="M652">
            <v>45924</v>
          </cell>
          <cell r="N652">
            <v>70</v>
          </cell>
          <cell r="O652" t="str">
            <v>PS</v>
          </cell>
          <cell r="P652" t="str">
            <v/>
          </cell>
          <cell r="Q652">
            <v>45924</v>
          </cell>
          <cell r="R652" t="str">
            <v/>
          </cell>
          <cell r="S652" t="str">
            <v/>
          </cell>
          <cell r="T652" t="str">
            <v/>
          </cell>
          <cell r="U652">
            <v>13036</v>
          </cell>
          <cell r="V652">
            <v>13370</v>
          </cell>
          <cell r="W652">
            <v>46232</v>
          </cell>
          <cell r="X652" t="str">
            <v>Lokasi Produksi 556E1B ( pecahan 556E1 )</v>
          </cell>
          <cell r="Z652">
            <v>0</v>
          </cell>
          <cell r="AA652">
            <v>45924</v>
          </cell>
          <cell r="AB652">
            <v>560.59733611111005</v>
          </cell>
          <cell r="AC652">
            <v>18.686577870370336</v>
          </cell>
          <cell r="AD652">
            <v>-20</v>
          </cell>
          <cell r="AE652">
            <v>0</v>
          </cell>
          <cell r="AF652">
            <v>0</v>
          </cell>
          <cell r="AG652">
            <v>-1356</v>
          </cell>
          <cell r="AM652" t="str">
            <v>OK</v>
          </cell>
          <cell r="AO652">
            <v>2.3451851080246948</v>
          </cell>
          <cell r="AP652">
            <v>2.3451851080246948</v>
          </cell>
          <cell r="AQ652">
            <v>0</v>
          </cell>
          <cell r="AR652">
            <v>2.3451851080246948</v>
          </cell>
          <cell r="AS652">
            <v>0</v>
          </cell>
          <cell r="AT652">
            <v>45924</v>
          </cell>
          <cell r="AU652">
            <v>2.3451851080246948</v>
          </cell>
          <cell r="AV652">
            <v>70.355553240740846</v>
          </cell>
          <cell r="AW652">
            <v>2.3451851080246948</v>
          </cell>
          <cell r="AY652">
            <v>75.463691782410024</v>
          </cell>
          <cell r="AZ652" t="str">
            <v>F18</v>
          </cell>
          <cell r="BA652">
            <v>0</v>
          </cell>
          <cell r="BB652" t="str">
            <v>PSBK</v>
          </cell>
          <cell r="BC652" t="str">
            <v>F18</v>
          </cell>
        </row>
        <row r="653">
          <cell r="A653" t="str">
            <v>556E2</v>
          </cell>
          <cell r="B653" t="str">
            <v>3</v>
          </cell>
          <cell r="C653" t="str">
            <v>06</v>
          </cell>
          <cell r="D653">
            <v>21</v>
          </cell>
          <cell r="E653" t="str">
            <v>556E2</v>
          </cell>
          <cell r="F653">
            <v>7.74</v>
          </cell>
          <cell r="G653">
            <v>6.5</v>
          </cell>
          <cell r="H653">
            <v>6.5</v>
          </cell>
          <cell r="I653" t="str">
            <v>FC</v>
          </cell>
          <cell r="J653" t="str">
            <v>ST</v>
          </cell>
          <cell r="K653">
            <v>14</v>
          </cell>
          <cell r="L653">
            <v>45920</v>
          </cell>
          <cell r="M653">
            <v>45920</v>
          </cell>
          <cell r="N653">
            <v>74</v>
          </cell>
          <cell r="O653" t="str">
            <v>NS</v>
          </cell>
          <cell r="P653" t="str">
            <v>NSF18CK3</v>
          </cell>
          <cell r="Q653">
            <v>46347</v>
          </cell>
          <cell r="R653" t="str">
            <v/>
          </cell>
          <cell r="S653" t="str">
            <v/>
          </cell>
          <cell r="T653" t="str">
            <v/>
          </cell>
          <cell r="U653">
            <v>70160</v>
          </cell>
          <cell r="V653">
            <v>51438</v>
          </cell>
          <cell r="W653">
            <v>43675</v>
          </cell>
          <cell r="X653" t="str">
            <v>Lokasi Produksi 556E2 ( pecahan 556E )</v>
          </cell>
          <cell r="Z653">
            <v>14</v>
          </cell>
          <cell r="AA653">
            <v>46347</v>
          </cell>
          <cell r="AB653">
            <v>182.59733611111005</v>
          </cell>
          <cell r="AC653">
            <v>6.086577870370335</v>
          </cell>
          <cell r="AD653">
            <v>-20</v>
          </cell>
          <cell r="AE653">
            <v>0</v>
          </cell>
          <cell r="AF653">
            <v>0</v>
          </cell>
          <cell r="AG653">
            <v>-1368.6</v>
          </cell>
          <cell r="AM653" t="str">
            <v>OK</v>
          </cell>
          <cell r="AO653">
            <v>2.4785184413580281</v>
          </cell>
          <cell r="AP653">
            <v>-11.521481558641971</v>
          </cell>
          <cell r="AQ653">
            <v>0</v>
          </cell>
          <cell r="AR653">
            <v>2.4785184413580281</v>
          </cell>
          <cell r="AS653">
            <v>0</v>
          </cell>
          <cell r="AT653">
            <v>46347</v>
          </cell>
          <cell r="AU653">
            <v>-11.521481558641971</v>
          </cell>
          <cell r="AV653">
            <v>74.355553240740846</v>
          </cell>
          <cell r="AW653">
            <v>-11.521481558641971</v>
          </cell>
          <cell r="AY653">
            <v>79.463691782410024</v>
          </cell>
          <cell r="AZ653" t="str">
            <v>F18</v>
          </cell>
          <cell r="BA653">
            <v>6.5</v>
          </cell>
          <cell r="BB653" t="str">
            <v>NSFC</v>
          </cell>
          <cell r="BC653" t="str">
            <v>F18CK</v>
          </cell>
        </row>
        <row r="654">
          <cell r="A654" t="str">
            <v>557A1A</v>
          </cell>
          <cell r="B654" t="str">
            <v>3</v>
          </cell>
          <cell r="C654" t="str">
            <v>06</v>
          </cell>
          <cell r="D654">
            <v>21</v>
          </cell>
          <cell r="E654" t="str">
            <v>557A1A</v>
          </cell>
          <cell r="F654">
            <v>7.31</v>
          </cell>
          <cell r="G654">
            <v>6.28</v>
          </cell>
          <cell r="H654">
            <v>6.28</v>
          </cell>
          <cell r="I654" t="str">
            <v>FC</v>
          </cell>
          <cell r="J654" t="str">
            <v>ST</v>
          </cell>
          <cell r="K654">
            <v>10</v>
          </cell>
          <cell r="L654">
            <v>45919</v>
          </cell>
          <cell r="M654">
            <v>45919</v>
          </cell>
          <cell r="N654">
            <v>75</v>
          </cell>
          <cell r="O654" t="str">
            <v>NS</v>
          </cell>
          <cell r="P654" t="str">
            <v>NSF18SB3</v>
          </cell>
          <cell r="Q654">
            <v>46224</v>
          </cell>
          <cell r="R654" t="str">
            <v/>
          </cell>
          <cell r="S654" t="str">
            <v/>
          </cell>
          <cell r="T654" t="str">
            <v/>
          </cell>
          <cell r="U654">
            <v>72103</v>
          </cell>
          <cell r="V654">
            <v>15246</v>
          </cell>
          <cell r="W654">
            <v>45714</v>
          </cell>
          <cell r="X654" t="str">
            <v>Lokasi Produksi 557A1A ( pecahan 557A1 )</v>
          </cell>
          <cell r="Z654">
            <v>10</v>
          </cell>
          <cell r="AA654">
            <v>46224</v>
          </cell>
          <cell r="AB654">
            <v>109.59733611111005</v>
          </cell>
          <cell r="AC654">
            <v>3.6532445370370019</v>
          </cell>
          <cell r="AD654">
            <v>-4.3467554629629976</v>
          </cell>
          <cell r="AE654">
            <v>14.18</v>
          </cell>
          <cell r="AF654">
            <v>0</v>
          </cell>
          <cell r="AG654">
            <v>-1371.0333333333333</v>
          </cell>
          <cell r="AM654" t="str">
            <v>OK</v>
          </cell>
          <cell r="AO654">
            <v>2.5118517746913613</v>
          </cell>
          <cell r="AP654">
            <v>-7.4881482253086382</v>
          </cell>
          <cell r="AQ654">
            <v>0</v>
          </cell>
          <cell r="AR654">
            <v>2.5118517746913613</v>
          </cell>
          <cell r="AS654">
            <v>0</v>
          </cell>
          <cell r="AT654">
            <v>46224</v>
          </cell>
          <cell r="AU654">
            <v>-7.4881482253086382</v>
          </cell>
          <cell r="AV654">
            <v>75.355553240740846</v>
          </cell>
          <cell r="AW654">
            <v>-7.4881482253086382</v>
          </cell>
          <cell r="AY654">
            <v>80.463691782410024</v>
          </cell>
          <cell r="AZ654" t="str">
            <v>F18</v>
          </cell>
          <cell r="BA654">
            <v>6.28</v>
          </cell>
          <cell r="BB654" t="str">
            <v>NSFC</v>
          </cell>
          <cell r="BC654" t="str">
            <v>F18SB</v>
          </cell>
        </row>
        <row r="655">
          <cell r="A655" t="str">
            <v>557A1B</v>
          </cell>
          <cell r="B655" t="str">
            <v>3</v>
          </cell>
          <cell r="C655" t="str">
            <v>06</v>
          </cell>
          <cell r="D655">
            <v>21</v>
          </cell>
          <cell r="E655" t="str">
            <v>557A1B</v>
          </cell>
          <cell r="F655">
            <v>8.39</v>
          </cell>
          <cell r="G655">
            <v>7.13</v>
          </cell>
          <cell r="H655">
            <v>7.13</v>
          </cell>
          <cell r="I655" t="str">
            <v>FC</v>
          </cell>
          <cell r="J655" t="str">
            <v>ST</v>
          </cell>
          <cell r="K655">
            <v>12</v>
          </cell>
          <cell r="L655">
            <v>45934</v>
          </cell>
          <cell r="M655">
            <v>45934</v>
          </cell>
          <cell r="N655">
            <v>60</v>
          </cell>
          <cell r="O655" t="str">
            <v>NS</v>
          </cell>
          <cell r="P655" t="str">
            <v>NSF18SS3</v>
          </cell>
          <cell r="Q655">
            <v>46300</v>
          </cell>
          <cell r="R655" t="str">
            <v/>
          </cell>
          <cell r="S655" t="str">
            <v/>
          </cell>
          <cell r="T655" t="str">
            <v/>
          </cell>
          <cell r="U655">
            <v>72614</v>
          </cell>
          <cell r="V655">
            <v>17042</v>
          </cell>
          <cell r="W655">
            <v>45714</v>
          </cell>
          <cell r="X655" t="str">
            <v>Lokasi Produksi 557A1B ( pecahan 557A1 )</v>
          </cell>
          <cell r="Z655">
            <v>12</v>
          </cell>
          <cell r="AA655">
            <v>46300</v>
          </cell>
          <cell r="AB655">
            <v>393.59733611111005</v>
          </cell>
          <cell r="AC655">
            <v>13.119911203703669</v>
          </cell>
          <cell r="AD655">
            <v>1.1199112037036691</v>
          </cell>
          <cell r="AE655">
            <v>21.7</v>
          </cell>
          <cell r="AF655">
            <v>0</v>
          </cell>
          <cell r="AG655">
            <v>-1361.5666666666666</v>
          </cell>
          <cell r="AM655" t="str">
            <v>OK</v>
          </cell>
          <cell r="AO655">
            <v>2.0118517746913613</v>
          </cell>
          <cell r="AP655">
            <v>-9.9881482253086382</v>
          </cell>
          <cell r="AQ655">
            <v>0</v>
          </cell>
          <cell r="AR655">
            <v>2.0118517746913613</v>
          </cell>
          <cell r="AS655">
            <v>0</v>
          </cell>
          <cell r="AT655">
            <v>46300</v>
          </cell>
          <cell r="AU655">
            <v>-9.9881482253086382</v>
          </cell>
          <cell r="AV655">
            <v>60.355553240740839</v>
          </cell>
          <cell r="AW655">
            <v>-9.9881482253086382</v>
          </cell>
          <cell r="AY655">
            <v>65.463691782410024</v>
          </cell>
          <cell r="AZ655" t="str">
            <v>F18</v>
          </cell>
          <cell r="BA655">
            <v>7.13</v>
          </cell>
          <cell r="BB655" t="str">
            <v>NSFC</v>
          </cell>
          <cell r="BC655" t="str">
            <v>F18SS</v>
          </cell>
        </row>
        <row r="656">
          <cell r="A656" t="str">
            <v>557A2</v>
          </cell>
          <cell r="B656" t="str">
            <v>3</v>
          </cell>
          <cell r="C656" t="str">
            <v>06</v>
          </cell>
          <cell r="D656">
            <v>21</v>
          </cell>
          <cell r="E656" t="str">
            <v>557A2</v>
          </cell>
          <cell r="F656">
            <v>9.5299999999999994</v>
          </cell>
          <cell r="G656">
            <v>8.08</v>
          </cell>
          <cell r="H656">
            <v>8.08</v>
          </cell>
          <cell r="I656" t="str">
            <v>FC</v>
          </cell>
          <cell r="J656" t="str">
            <v>ST</v>
          </cell>
          <cell r="K656">
            <v>12</v>
          </cell>
          <cell r="L656">
            <v>45943</v>
          </cell>
          <cell r="M656">
            <v>45943</v>
          </cell>
          <cell r="N656">
            <v>51</v>
          </cell>
          <cell r="O656" t="str">
            <v>NS</v>
          </cell>
          <cell r="P656" t="str">
            <v>NSF18SS3</v>
          </cell>
          <cell r="Q656">
            <v>46309</v>
          </cell>
          <cell r="R656" t="str">
            <v/>
          </cell>
          <cell r="S656" t="str">
            <v/>
          </cell>
          <cell r="T656" t="str">
            <v/>
          </cell>
          <cell r="U656">
            <v>72249</v>
          </cell>
          <cell r="V656">
            <v>19374</v>
          </cell>
          <cell r="W656">
            <v>45714</v>
          </cell>
          <cell r="X656" t="str">
            <v>Lokasi Produksi 557A2 ( pecahan 557A )</v>
          </cell>
          <cell r="Z656">
            <v>12</v>
          </cell>
          <cell r="AA656">
            <v>46309</v>
          </cell>
          <cell r="AB656">
            <v>409.59733611111005</v>
          </cell>
          <cell r="AC656">
            <v>13.653244537037002</v>
          </cell>
          <cell r="AD656">
            <v>-0.34675546296299764</v>
          </cell>
          <cell r="AE656">
            <v>23.19</v>
          </cell>
          <cell r="AF656">
            <v>0</v>
          </cell>
          <cell r="AG656">
            <v>-1361.0333333333333</v>
          </cell>
          <cell r="AM656" t="str">
            <v>OK</v>
          </cell>
          <cell r="AO656">
            <v>1.7118517746913615</v>
          </cell>
          <cell r="AP656">
            <v>-10.288148225308639</v>
          </cell>
          <cell r="AQ656">
            <v>0</v>
          </cell>
          <cell r="AR656">
            <v>1.7118517746913615</v>
          </cell>
          <cell r="AS656">
            <v>0</v>
          </cell>
          <cell r="AT656">
            <v>46309</v>
          </cell>
          <cell r="AU656">
            <v>-10.288148225308639</v>
          </cell>
          <cell r="AV656">
            <v>51.355553240740846</v>
          </cell>
          <cell r="AW656">
            <v>-10.288148225308639</v>
          </cell>
          <cell r="AY656">
            <v>56.463691782410024</v>
          </cell>
          <cell r="AZ656" t="str">
            <v>F18</v>
          </cell>
          <cell r="BA656">
            <v>8.08</v>
          </cell>
          <cell r="BB656" t="str">
            <v>NSFC</v>
          </cell>
          <cell r="BC656" t="str">
            <v>F18SS</v>
          </cell>
        </row>
        <row r="657">
          <cell r="A657" t="str">
            <v>557B</v>
          </cell>
          <cell r="B657" t="str">
            <v>3</v>
          </cell>
          <cell r="C657" t="str">
            <v>06</v>
          </cell>
          <cell r="D657">
            <v>21</v>
          </cell>
          <cell r="E657" t="str">
            <v>557B</v>
          </cell>
          <cell r="F657">
            <v>6.29</v>
          </cell>
          <cell r="G657">
            <v>5.1100000000000003</v>
          </cell>
          <cell r="H657">
            <v>5.1100000000000003</v>
          </cell>
          <cell r="I657" t="str">
            <v>SC</v>
          </cell>
          <cell r="J657" t="str">
            <v>FC</v>
          </cell>
          <cell r="K657">
            <v>8</v>
          </cell>
          <cell r="L657">
            <v>45899</v>
          </cell>
          <cell r="M657">
            <v>45899</v>
          </cell>
          <cell r="N657">
            <v>95</v>
          </cell>
          <cell r="O657" t="str">
            <v>NS</v>
          </cell>
          <cell r="P657" t="str">
            <v/>
          </cell>
          <cell r="Q657">
            <v>46143</v>
          </cell>
          <cell r="R657" t="str">
            <v/>
          </cell>
          <cell r="S657" t="str">
            <v/>
          </cell>
          <cell r="T657" t="str">
            <v/>
          </cell>
          <cell r="U657">
            <v>69031</v>
          </cell>
          <cell r="V657">
            <v>70488</v>
          </cell>
          <cell r="W657">
            <v>43102</v>
          </cell>
          <cell r="X657" t="str">
            <v>Lokasi Produksi 557B</v>
          </cell>
          <cell r="Z657">
            <v>8</v>
          </cell>
          <cell r="AA657">
            <v>46143</v>
          </cell>
          <cell r="AB657">
            <v>404.59733611111005</v>
          </cell>
          <cell r="AC657">
            <v>13.486577870370335</v>
          </cell>
          <cell r="AD657">
            <v>-0.51342212962966549</v>
          </cell>
          <cell r="AE657">
            <v>14.11</v>
          </cell>
          <cell r="AF657">
            <v>0</v>
          </cell>
          <cell r="AG657">
            <v>-1361.2</v>
          </cell>
          <cell r="AK657">
            <v>40300</v>
          </cell>
          <cell r="AM657" t="str">
            <v>OK</v>
          </cell>
          <cell r="AO657">
            <v>3.1785184413580283</v>
          </cell>
          <cell r="AP657">
            <v>-4.8214815586419721</v>
          </cell>
          <cell r="AQ657">
            <v>0</v>
          </cell>
          <cell r="AR657">
            <v>3.1785184413580283</v>
          </cell>
          <cell r="AS657">
            <v>0</v>
          </cell>
          <cell r="AT657">
            <v>46143</v>
          </cell>
          <cell r="AU657">
            <v>-4.8214815586419721</v>
          </cell>
          <cell r="AV657">
            <v>95.355553240740846</v>
          </cell>
          <cell r="AW657">
            <v>-4.8214815586419721</v>
          </cell>
          <cell r="AY657">
            <v>100.46369178241002</v>
          </cell>
          <cell r="AZ657" t="str">
            <v>F18</v>
          </cell>
          <cell r="BA657">
            <v>5.1100000000000003</v>
          </cell>
          <cell r="BB657" t="str">
            <v>NSSC</v>
          </cell>
          <cell r="BC657" t="str">
            <v>F18</v>
          </cell>
        </row>
        <row r="658">
          <cell r="A658" t="str">
            <v>557B1</v>
          </cell>
          <cell r="B658" t="str">
            <v>3</v>
          </cell>
          <cell r="C658" t="str">
            <v>06</v>
          </cell>
          <cell r="D658">
            <v>21</v>
          </cell>
          <cell r="E658" t="str">
            <v>557B1</v>
          </cell>
          <cell r="F658">
            <v>6.14</v>
          </cell>
          <cell r="G658">
            <v>5.1100000000000003</v>
          </cell>
          <cell r="H658">
            <v>5.1100000000000003</v>
          </cell>
          <cell r="I658" t="str">
            <v>SC</v>
          </cell>
          <cell r="J658" t="str">
            <v>FC</v>
          </cell>
          <cell r="K658">
            <v>8</v>
          </cell>
          <cell r="L658">
            <v>45899</v>
          </cell>
          <cell r="M658">
            <v>45899</v>
          </cell>
          <cell r="N658">
            <v>95</v>
          </cell>
          <cell r="O658" t="str">
            <v>NS</v>
          </cell>
          <cell r="P658" t="str">
            <v/>
          </cell>
          <cell r="Q658">
            <v>46143</v>
          </cell>
          <cell r="R658" t="str">
            <v/>
          </cell>
          <cell r="S658" t="str">
            <v/>
          </cell>
          <cell r="T658" t="str">
            <v/>
          </cell>
          <cell r="U658">
            <v>70217</v>
          </cell>
          <cell r="V658">
            <v>70978</v>
          </cell>
          <cell r="W658">
            <v>43102</v>
          </cell>
          <cell r="X658" t="str">
            <v>Lokasi Produksi 557B1</v>
          </cell>
          <cell r="Z658">
            <v>8</v>
          </cell>
          <cell r="AA658">
            <v>46143</v>
          </cell>
          <cell r="AB658">
            <v>4501.5973361111101</v>
          </cell>
          <cell r="AC658">
            <v>150.05324453703699</v>
          </cell>
          <cell r="AD658">
            <v>-20</v>
          </cell>
          <cell r="AE658">
            <v>0</v>
          </cell>
          <cell r="AF658">
            <v>0</v>
          </cell>
          <cell r="AG658">
            <v>-1224.6333333333334</v>
          </cell>
          <cell r="AM658" t="str">
            <v>OK</v>
          </cell>
          <cell r="AO658">
            <v>3.1785184413580283</v>
          </cell>
          <cell r="AP658">
            <v>-4.8214815586419721</v>
          </cell>
          <cell r="AQ658">
            <v>0</v>
          </cell>
          <cell r="AR658">
            <v>3.1785184413580283</v>
          </cell>
          <cell r="AS658">
            <v>0</v>
          </cell>
          <cell r="AT658">
            <v>46143</v>
          </cell>
          <cell r="AU658">
            <v>-4.8214815586419721</v>
          </cell>
          <cell r="AV658">
            <v>95.355553240740846</v>
          </cell>
          <cell r="AW658">
            <v>-4.8214815586419721</v>
          </cell>
          <cell r="AY658">
            <v>100.46369178241002</v>
          </cell>
          <cell r="AZ658" t="str">
            <v>F18</v>
          </cell>
          <cell r="BA658">
            <v>5.1100000000000003</v>
          </cell>
          <cell r="BB658" t="str">
            <v>NSSC</v>
          </cell>
          <cell r="BC658" t="str">
            <v>F18</v>
          </cell>
        </row>
        <row r="659">
          <cell r="A659" t="str">
            <v>557B2</v>
          </cell>
          <cell r="B659" t="str">
            <v>3</v>
          </cell>
          <cell r="C659" t="str">
            <v>06</v>
          </cell>
          <cell r="D659">
            <v>21</v>
          </cell>
          <cell r="E659" t="str">
            <v>557B2</v>
          </cell>
          <cell r="F659">
            <v>12.49</v>
          </cell>
          <cell r="G659">
            <v>10.29</v>
          </cell>
          <cell r="H659">
            <v>10.29</v>
          </cell>
          <cell r="I659" t="str">
            <v>SC</v>
          </cell>
          <cell r="J659" t="str">
            <v>FC</v>
          </cell>
          <cell r="K659">
            <v>8</v>
          </cell>
          <cell r="L659">
            <v>45899</v>
          </cell>
          <cell r="M659">
            <v>45899</v>
          </cell>
          <cell r="N659">
            <v>95</v>
          </cell>
          <cell r="O659" t="str">
            <v>NS</v>
          </cell>
          <cell r="P659" t="str">
            <v/>
          </cell>
          <cell r="Q659">
            <v>46143</v>
          </cell>
          <cell r="R659" t="str">
            <v/>
          </cell>
          <cell r="S659" t="str">
            <v/>
          </cell>
          <cell r="T659" t="str">
            <v/>
          </cell>
          <cell r="U659">
            <v>64846</v>
          </cell>
          <cell r="V659">
            <v>69060</v>
          </cell>
          <cell r="W659">
            <v>43102</v>
          </cell>
          <cell r="X659" t="str">
            <v>Lokasi Produksi 557B2</v>
          </cell>
          <cell r="Z659">
            <v>8</v>
          </cell>
          <cell r="AA659">
            <v>46143</v>
          </cell>
          <cell r="AB659">
            <v>437.59733611111005</v>
          </cell>
          <cell r="AC659">
            <v>14.586577870370336</v>
          </cell>
          <cell r="AD659">
            <v>6.5865778703703359</v>
          </cell>
          <cell r="AE659">
            <v>16.98</v>
          </cell>
          <cell r="AF659">
            <v>0</v>
          </cell>
          <cell r="AG659">
            <v>-1360.1</v>
          </cell>
          <cell r="AM659" t="str">
            <v>OK</v>
          </cell>
          <cell r="AO659">
            <v>3.1785184413580283</v>
          </cell>
          <cell r="AP659">
            <v>-4.8214815586419721</v>
          </cell>
          <cell r="AQ659">
            <v>0</v>
          </cell>
          <cell r="AR659">
            <v>3.1785184413580283</v>
          </cell>
          <cell r="AS659">
            <v>0</v>
          </cell>
          <cell r="AT659">
            <v>46143</v>
          </cell>
          <cell r="AU659">
            <v>-4.8214815586419721</v>
          </cell>
          <cell r="AV659">
            <v>95.355553240740846</v>
          </cell>
          <cell r="AW659">
            <v>-4.8214815586419721</v>
          </cell>
          <cell r="AY659">
            <v>100.46369178241002</v>
          </cell>
          <cell r="AZ659" t="str">
            <v>F18</v>
          </cell>
          <cell r="BA659">
            <v>10.29</v>
          </cell>
          <cell r="BB659" t="str">
            <v>NSSC</v>
          </cell>
          <cell r="BC659" t="str">
            <v>F18</v>
          </cell>
        </row>
        <row r="660">
          <cell r="A660" t="str">
            <v>557D</v>
          </cell>
          <cell r="B660" t="str">
            <v>3</v>
          </cell>
          <cell r="C660" t="str">
            <v>06</v>
          </cell>
          <cell r="D660">
            <v>21</v>
          </cell>
          <cell r="E660" t="str">
            <v>557D</v>
          </cell>
          <cell r="F660">
            <v>11.99</v>
          </cell>
          <cell r="G660">
            <v>10.1</v>
          </cell>
          <cell r="H660">
            <v>10.1</v>
          </cell>
          <cell r="I660" t="str">
            <v>FC</v>
          </cell>
          <cell r="J660" t="str">
            <v>ST</v>
          </cell>
          <cell r="K660">
            <v>14</v>
          </cell>
          <cell r="L660">
            <v>45670</v>
          </cell>
          <cell r="M660">
            <v>45670</v>
          </cell>
          <cell r="N660">
            <v>324</v>
          </cell>
          <cell r="O660" t="str">
            <v>NS</v>
          </cell>
          <cell r="P660" t="str">
            <v>NSF18CK3</v>
          </cell>
          <cell r="Q660">
            <v>46097</v>
          </cell>
          <cell r="R660" t="str">
            <v/>
          </cell>
          <cell r="S660" t="str">
            <v/>
          </cell>
          <cell r="T660" t="str">
            <v/>
          </cell>
          <cell r="U660">
            <v>63170</v>
          </cell>
          <cell r="V660">
            <v>67814</v>
          </cell>
          <cell r="W660">
            <v>43721</v>
          </cell>
          <cell r="X660" t="str">
            <v>Lokasi Produksi 557D</v>
          </cell>
          <cell r="Z660">
            <v>14</v>
          </cell>
          <cell r="AA660">
            <v>46097</v>
          </cell>
          <cell r="AB660">
            <v>553.59733611111005</v>
          </cell>
          <cell r="AC660">
            <v>18.453244537037001</v>
          </cell>
          <cell r="AD660">
            <v>-20</v>
          </cell>
          <cell r="AE660">
            <v>0</v>
          </cell>
          <cell r="AF660">
            <v>0</v>
          </cell>
          <cell r="AG660">
            <v>-1356.2333333333333</v>
          </cell>
          <cell r="AM660" t="str">
            <v>OK</v>
          </cell>
          <cell r="AO660">
            <v>10.811851774691361</v>
          </cell>
          <cell r="AP660">
            <v>-3.1881482253086393</v>
          </cell>
          <cell r="AQ660">
            <v>0</v>
          </cell>
          <cell r="AR660">
            <v>10.811851774691361</v>
          </cell>
          <cell r="AS660">
            <v>0</v>
          </cell>
          <cell r="AT660">
            <v>46097</v>
          </cell>
          <cell r="AU660">
            <v>-3.1881482253086393</v>
          </cell>
          <cell r="AV660">
            <v>324.35555324074085</v>
          </cell>
          <cell r="AW660">
            <v>-3.1881482253086393</v>
          </cell>
          <cell r="AY660">
            <v>329.46369178241002</v>
          </cell>
          <cell r="AZ660" t="str">
            <v>F18</v>
          </cell>
          <cell r="BA660">
            <v>10.1</v>
          </cell>
          <cell r="BB660" t="str">
            <v>NSFC</v>
          </cell>
          <cell r="BC660" t="str">
            <v>F18CK</v>
          </cell>
        </row>
        <row r="661">
          <cell r="A661" t="str">
            <v>557D1</v>
          </cell>
          <cell r="B661" t="str">
            <v>3</v>
          </cell>
          <cell r="C661" t="str">
            <v>06</v>
          </cell>
          <cell r="D661">
            <v>21</v>
          </cell>
          <cell r="E661" t="str">
            <v>557D1</v>
          </cell>
          <cell r="F661">
            <v>9.52</v>
          </cell>
          <cell r="G661">
            <v>7.93</v>
          </cell>
          <cell r="H661">
            <v>7.93</v>
          </cell>
          <cell r="I661" t="str">
            <v>FC</v>
          </cell>
          <cell r="J661" t="str">
            <v>ST</v>
          </cell>
          <cell r="K661">
            <v>14</v>
          </cell>
          <cell r="L661">
            <v>45654</v>
          </cell>
          <cell r="M661">
            <v>45654</v>
          </cell>
          <cell r="N661">
            <v>340</v>
          </cell>
          <cell r="O661" t="str">
            <v>NS</v>
          </cell>
          <cell r="P661" t="str">
            <v>NSF18CK3</v>
          </cell>
          <cell r="Q661">
            <v>46081</v>
          </cell>
          <cell r="R661" t="str">
            <v/>
          </cell>
          <cell r="S661" t="str">
            <v/>
          </cell>
          <cell r="T661" t="str">
            <v/>
          </cell>
          <cell r="U661">
            <v>65860</v>
          </cell>
          <cell r="V661">
            <v>68010</v>
          </cell>
          <cell r="W661">
            <v>43720</v>
          </cell>
          <cell r="X661" t="str">
            <v>Lokasi Produksi 557D1</v>
          </cell>
          <cell r="Z661">
            <v>14</v>
          </cell>
          <cell r="AA661">
            <v>46081</v>
          </cell>
          <cell r="AB661">
            <v>222.59733611111005</v>
          </cell>
          <cell r="AC661">
            <v>7.4199112037036681</v>
          </cell>
          <cell r="AD661">
            <v>-6.5800887962963319</v>
          </cell>
          <cell r="AE661">
            <v>15.5</v>
          </cell>
          <cell r="AF661">
            <v>0</v>
          </cell>
          <cell r="AG661">
            <v>-1367.2666666666667</v>
          </cell>
          <cell r="AM661" t="str">
            <v>OK</v>
          </cell>
          <cell r="AO661">
            <v>11.345185108024696</v>
          </cell>
          <cell r="AP661">
            <v>-2.6548148919753043</v>
          </cell>
          <cell r="AQ661">
            <v>0</v>
          </cell>
          <cell r="AR661">
            <v>11.345185108024696</v>
          </cell>
          <cell r="AS661">
            <v>0</v>
          </cell>
          <cell r="AT661">
            <v>46081</v>
          </cell>
          <cell r="AU661">
            <v>-2.6548148919753043</v>
          </cell>
          <cell r="AV661">
            <v>340.35555324074085</v>
          </cell>
          <cell r="AW661">
            <v>-2.6548148919753043</v>
          </cell>
          <cell r="AY661">
            <v>345.46369178241002</v>
          </cell>
          <cell r="AZ661" t="str">
            <v>F18</v>
          </cell>
          <cell r="BA661">
            <v>7.93</v>
          </cell>
          <cell r="BB661" t="str">
            <v>NSFC</v>
          </cell>
          <cell r="BC661" t="str">
            <v>F18CK</v>
          </cell>
        </row>
        <row r="662">
          <cell r="A662" t="str">
            <v>557D2</v>
          </cell>
          <cell r="B662" t="str">
            <v>3</v>
          </cell>
          <cell r="C662" t="str">
            <v>06</v>
          </cell>
          <cell r="D662">
            <v>21</v>
          </cell>
          <cell r="E662" t="str">
            <v>557D2</v>
          </cell>
          <cell r="F662">
            <v>11.77</v>
          </cell>
          <cell r="G662">
            <v>9.99</v>
          </cell>
          <cell r="H662">
            <v>9.99</v>
          </cell>
          <cell r="I662" t="str">
            <v>FC</v>
          </cell>
          <cell r="J662" t="str">
            <v>ST</v>
          </cell>
          <cell r="K662">
            <v>14</v>
          </cell>
          <cell r="L662">
            <v>45546</v>
          </cell>
          <cell r="M662">
            <v>45546</v>
          </cell>
          <cell r="N662">
            <v>448</v>
          </cell>
          <cell r="O662" t="str">
            <v>NS</v>
          </cell>
          <cell r="P662" t="str">
            <v>NSGP3CK3</v>
          </cell>
          <cell r="Q662">
            <v>45973</v>
          </cell>
          <cell r="R662" t="str">
            <v/>
          </cell>
          <cell r="S662" t="str">
            <v/>
          </cell>
          <cell r="T662">
            <v>45940</v>
          </cell>
          <cell r="U662">
            <v>61301</v>
          </cell>
          <cell r="V662">
            <v>58574</v>
          </cell>
          <cell r="W662">
            <v>43720</v>
          </cell>
          <cell r="X662" t="str">
            <v>Lokasi Produksi 557D2</v>
          </cell>
          <cell r="Z662">
            <v>14</v>
          </cell>
          <cell r="AA662">
            <v>45973</v>
          </cell>
          <cell r="AB662">
            <v>423.59733611111005</v>
          </cell>
          <cell r="AC662">
            <v>14.119911203703669</v>
          </cell>
          <cell r="AD662">
            <v>-20</v>
          </cell>
          <cell r="AE662">
            <v>0</v>
          </cell>
          <cell r="AF662">
            <v>0</v>
          </cell>
          <cell r="AG662">
            <v>-1360.5666666666666</v>
          </cell>
          <cell r="AM662" t="str">
            <v>OK</v>
          </cell>
          <cell r="AO662">
            <v>14.945185108024695</v>
          </cell>
          <cell r="AP662">
            <v>0.94518510802469535</v>
          </cell>
          <cell r="AQ662">
            <v>45940</v>
          </cell>
          <cell r="AR662">
            <v>13.133333333333333</v>
          </cell>
          <cell r="AS662">
            <v>1.8118517746913625</v>
          </cell>
          <cell r="AT662">
            <v>45973</v>
          </cell>
          <cell r="AU662">
            <v>1.8118517746913625</v>
          </cell>
          <cell r="AV662">
            <v>394</v>
          </cell>
          <cell r="AW662">
            <v>1.8118517746913625</v>
          </cell>
          <cell r="AY662">
            <v>453.46369178241002</v>
          </cell>
          <cell r="AZ662" t="str">
            <v>GP3</v>
          </cell>
          <cell r="BA662">
            <v>9.99</v>
          </cell>
          <cell r="BB662" t="str">
            <v>NSFC</v>
          </cell>
          <cell r="BC662" t="str">
            <v>GP3CK</v>
          </cell>
        </row>
        <row r="663">
          <cell r="A663" t="str">
            <v>557F1</v>
          </cell>
          <cell r="B663" t="str">
            <v>3</v>
          </cell>
          <cell r="C663" t="str">
            <v>06</v>
          </cell>
          <cell r="D663">
            <v>21</v>
          </cell>
          <cell r="E663" t="str">
            <v>557F1</v>
          </cell>
          <cell r="F663">
            <v>4.6500000000000004</v>
          </cell>
          <cell r="G663">
            <v>3.89</v>
          </cell>
          <cell r="H663">
            <v>3.89</v>
          </cell>
          <cell r="I663" t="str">
            <v>FC</v>
          </cell>
          <cell r="J663" t="str">
            <v>ST</v>
          </cell>
          <cell r="K663">
            <v>12</v>
          </cell>
          <cell r="L663">
            <v>45909</v>
          </cell>
          <cell r="M663">
            <v>45909</v>
          </cell>
          <cell r="N663">
            <v>85</v>
          </cell>
          <cell r="O663" t="str">
            <v>NS</v>
          </cell>
          <cell r="P663" t="str">
            <v>NSF18SS3</v>
          </cell>
          <cell r="Q663">
            <v>46275</v>
          </cell>
          <cell r="R663" t="str">
            <v/>
          </cell>
          <cell r="S663" t="str">
            <v/>
          </cell>
          <cell r="T663" t="str">
            <v/>
          </cell>
          <cell r="U663">
            <v>72254</v>
          </cell>
          <cell r="V663">
            <v>8612</v>
          </cell>
          <cell r="W663">
            <v>45779</v>
          </cell>
          <cell r="X663" t="str">
            <v>Lokasi Produksi 557F1 ( pecahan 557F )</v>
          </cell>
          <cell r="Z663">
            <v>12</v>
          </cell>
          <cell r="AA663">
            <v>46275</v>
          </cell>
          <cell r="AB663">
            <v>4501.5973361111101</v>
          </cell>
          <cell r="AC663">
            <v>150.05324453703699</v>
          </cell>
          <cell r="AD663">
            <v>-20</v>
          </cell>
          <cell r="AE663">
            <v>0</v>
          </cell>
          <cell r="AF663">
            <v>0</v>
          </cell>
          <cell r="AG663">
            <v>-1224.6333333333334</v>
          </cell>
          <cell r="AK663">
            <v>40295</v>
          </cell>
          <cell r="AM663" t="str">
            <v>OK</v>
          </cell>
          <cell r="AO663">
            <v>2.8451851080246948</v>
          </cell>
          <cell r="AP663">
            <v>-9.1548148919753061</v>
          </cell>
          <cell r="AQ663">
            <v>0</v>
          </cell>
          <cell r="AR663">
            <v>2.8451851080246948</v>
          </cell>
          <cell r="AS663">
            <v>0</v>
          </cell>
          <cell r="AT663">
            <v>46275</v>
          </cell>
          <cell r="AU663">
            <v>-9.1548148919753061</v>
          </cell>
          <cell r="AV663">
            <v>85.355553240740846</v>
          </cell>
          <cell r="AW663">
            <v>-9.1548148919753061</v>
          </cell>
          <cell r="AY663">
            <v>90.463691782410024</v>
          </cell>
          <cell r="AZ663" t="str">
            <v>F18</v>
          </cell>
          <cell r="BA663">
            <v>3.89</v>
          </cell>
          <cell r="BB663" t="str">
            <v>NSFC</v>
          </cell>
          <cell r="BC663" t="str">
            <v>F18SS</v>
          </cell>
        </row>
        <row r="664">
          <cell r="A664" t="str">
            <v>557F2</v>
          </cell>
          <cell r="B664" t="str">
            <v>3</v>
          </cell>
          <cell r="C664" t="str">
            <v>06</v>
          </cell>
          <cell r="D664">
            <v>21</v>
          </cell>
          <cell r="E664" t="str">
            <v>557F2</v>
          </cell>
          <cell r="F664">
            <v>6.55</v>
          </cell>
          <cell r="G664">
            <v>5.53</v>
          </cell>
          <cell r="H664">
            <v>5.53</v>
          </cell>
          <cell r="I664" t="str">
            <v>FC</v>
          </cell>
          <cell r="J664" t="str">
            <v>ST</v>
          </cell>
          <cell r="K664">
            <v>12</v>
          </cell>
          <cell r="L664">
            <v>45915</v>
          </cell>
          <cell r="M664">
            <v>45915</v>
          </cell>
          <cell r="N664">
            <v>79</v>
          </cell>
          <cell r="O664" t="str">
            <v>NS</v>
          </cell>
          <cell r="P664" t="str">
            <v>NSF18SS3</v>
          </cell>
          <cell r="Q664">
            <v>46281</v>
          </cell>
          <cell r="R664" t="str">
            <v/>
          </cell>
          <cell r="S664" t="str">
            <v/>
          </cell>
          <cell r="T664" t="str">
            <v/>
          </cell>
          <cell r="U664">
            <v>70319</v>
          </cell>
          <cell r="V664">
            <v>11850</v>
          </cell>
          <cell r="W664">
            <v>45779</v>
          </cell>
          <cell r="X664" t="str">
            <v>Lokasi Produksi 557F2 ( pecahan 557F )</v>
          </cell>
          <cell r="Z664">
            <v>12</v>
          </cell>
          <cell r="AA664">
            <v>46281</v>
          </cell>
          <cell r="AB664">
            <v>382.59733611111005</v>
          </cell>
          <cell r="AC664">
            <v>12.753244537037002</v>
          </cell>
          <cell r="AD664">
            <v>4.753244537037002</v>
          </cell>
          <cell r="AE664">
            <v>23.24</v>
          </cell>
          <cell r="AF664">
            <v>0</v>
          </cell>
          <cell r="AG664">
            <v>-1361.9333333333334</v>
          </cell>
          <cell r="AK664">
            <v>40271</v>
          </cell>
          <cell r="AM664" t="str">
            <v>OK</v>
          </cell>
          <cell r="AO664">
            <v>2.6451851080246951</v>
          </cell>
          <cell r="AP664">
            <v>-9.3548148919753054</v>
          </cell>
          <cell r="AQ664">
            <v>0</v>
          </cell>
          <cell r="AR664">
            <v>2.6451851080246951</v>
          </cell>
          <cell r="AS664">
            <v>0</v>
          </cell>
          <cell r="AT664">
            <v>46281</v>
          </cell>
          <cell r="AU664">
            <v>-9.3548148919753054</v>
          </cell>
          <cell r="AV664">
            <v>79.355553240740846</v>
          </cell>
          <cell r="AW664">
            <v>-9.3548148919753054</v>
          </cell>
          <cell r="AY664">
            <v>84.463691782410024</v>
          </cell>
          <cell r="AZ664" t="str">
            <v>F18</v>
          </cell>
          <cell r="BA664">
            <v>5.53</v>
          </cell>
          <cell r="BB664" t="str">
            <v>NSFC</v>
          </cell>
          <cell r="BC664" t="str">
            <v>F18SS</v>
          </cell>
        </row>
        <row r="665">
          <cell r="A665" t="str">
            <v>557F3</v>
          </cell>
          <cell r="B665" t="str">
            <v>3</v>
          </cell>
          <cell r="C665" t="str">
            <v>06</v>
          </cell>
          <cell r="D665">
            <v>21</v>
          </cell>
          <cell r="E665" t="str">
            <v>557F3</v>
          </cell>
          <cell r="F665">
            <v>5.55</v>
          </cell>
          <cell r="G665">
            <v>4.63</v>
          </cell>
          <cell r="H665">
            <v>4.63</v>
          </cell>
          <cell r="I665" t="str">
            <v>FC</v>
          </cell>
          <cell r="J665" t="str">
            <v>ST</v>
          </cell>
          <cell r="K665">
            <v>12</v>
          </cell>
          <cell r="L665">
            <v>45632</v>
          </cell>
          <cell r="M665">
            <v>45632</v>
          </cell>
          <cell r="N665">
            <v>362</v>
          </cell>
          <cell r="O665" t="str">
            <v>NS</v>
          </cell>
          <cell r="P665" t="str">
            <v>NSF18SS3</v>
          </cell>
          <cell r="Q665">
            <v>45998</v>
          </cell>
          <cell r="R665" t="str">
            <v/>
          </cell>
          <cell r="S665" t="str">
            <v/>
          </cell>
          <cell r="T665">
            <v>45966</v>
          </cell>
          <cell r="U665">
            <v>68751</v>
          </cell>
          <cell r="V665">
            <v>68940</v>
          </cell>
          <cell r="W665">
            <v>45351</v>
          </cell>
          <cell r="X665" t="str">
            <v>Lokasi Produksi 557F3 ( pecahan 557F )</v>
          </cell>
          <cell r="Z665">
            <v>12</v>
          </cell>
          <cell r="AA665">
            <v>45998</v>
          </cell>
          <cell r="AB665">
            <v>2379.5973361111101</v>
          </cell>
          <cell r="AC665">
            <v>79.319911203703668</v>
          </cell>
          <cell r="AD665">
            <v>63.319911203703668</v>
          </cell>
          <cell r="AE665">
            <v>4.63</v>
          </cell>
          <cell r="AF665">
            <v>0</v>
          </cell>
          <cell r="AG665">
            <v>-1295.3666666666666</v>
          </cell>
          <cell r="AM665" t="str">
            <v>OK</v>
          </cell>
          <cell r="AO665">
            <v>12.078518441358028</v>
          </cell>
          <cell r="AP665">
            <v>7.8518441358028213E-2</v>
          </cell>
          <cell r="AQ665">
            <v>45966</v>
          </cell>
          <cell r="AR665">
            <v>11.133333333333333</v>
          </cell>
          <cell r="AS665">
            <v>0.94518510802469535</v>
          </cell>
          <cell r="AT665">
            <v>45998</v>
          </cell>
          <cell r="AU665">
            <v>0.94518510802469535</v>
          </cell>
          <cell r="AV665">
            <v>334</v>
          </cell>
          <cell r="AW665">
            <v>0.94518510802469535</v>
          </cell>
          <cell r="AY665">
            <v>367.46369178241002</v>
          </cell>
          <cell r="AZ665" t="str">
            <v>F18</v>
          </cell>
          <cell r="BA665">
            <v>4.63</v>
          </cell>
          <cell r="BB665" t="str">
            <v>NSFC</v>
          </cell>
          <cell r="BC665" t="str">
            <v>F18SS</v>
          </cell>
        </row>
        <row r="666">
          <cell r="A666" t="str">
            <v>558A1</v>
          </cell>
          <cell r="B666" t="str">
            <v>3</v>
          </cell>
          <cell r="C666" t="str">
            <v>06</v>
          </cell>
          <cell r="D666">
            <v>22</v>
          </cell>
          <cell r="E666" t="str">
            <v>558A1</v>
          </cell>
          <cell r="F666">
            <v>8.4700000000000006</v>
          </cell>
          <cell r="G666">
            <v>7.08</v>
          </cell>
          <cell r="H666">
            <v>7.08</v>
          </cell>
          <cell r="I666" t="str">
            <v>ST</v>
          </cell>
          <cell r="J666" t="str">
            <v>BK</v>
          </cell>
          <cell r="K666">
            <v>0</v>
          </cell>
          <cell r="L666">
            <v>45946</v>
          </cell>
          <cell r="M666">
            <v>45946</v>
          </cell>
          <cell r="N666">
            <v>48</v>
          </cell>
          <cell r="O666" t="str">
            <v>NS</v>
          </cell>
          <cell r="P666" t="str">
            <v/>
          </cell>
          <cell r="Q666">
            <v>45946</v>
          </cell>
          <cell r="R666" t="str">
            <v/>
          </cell>
          <cell r="S666" t="str">
            <v/>
          </cell>
          <cell r="T666" t="str">
            <v/>
          </cell>
          <cell r="U666">
            <v>71942</v>
          </cell>
          <cell r="V666">
            <v>52255</v>
          </cell>
          <cell r="W666">
            <v>44555</v>
          </cell>
          <cell r="X666" t="str">
            <v>Lokasi Produksi 558A1 ( pecahan 558A )</v>
          </cell>
          <cell r="Z666">
            <v>0</v>
          </cell>
          <cell r="AA666">
            <v>45946</v>
          </cell>
          <cell r="AB666">
            <v>4501.5973361111101</v>
          </cell>
          <cell r="AC666">
            <v>150.05324453703699</v>
          </cell>
          <cell r="AD666">
            <v>-20</v>
          </cell>
          <cell r="AE666">
            <v>0</v>
          </cell>
          <cell r="AF666">
            <v>0</v>
          </cell>
          <cell r="AG666">
            <v>-1224.6333333333334</v>
          </cell>
          <cell r="AM666" t="str">
            <v>OK</v>
          </cell>
          <cell r="AO666">
            <v>1.6118517746913616</v>
          </cell>
          <cell r="AP666">
            <v>1.6118517746913616</v>
          </cell>
          <cell r="AQ666">
            <v>0</v>
          </cell>
          <cell r="AR666">
            <v>1.6118517746913616</v>
          </cell>
          <cell r="AS666">
            <v>0</v>
          </cell>
          <cell r="AT666">
            <v>45946</v>
          </cell>
          <cell r="AU666">
            <v>1.6118517746913616</v>
          </cell>
          <cell r="AV666">
            <v>48.355553240740846</v>
          </cell>
          <cell r="AW666">
            <v>1.6118517746913616</v>
          </cell>
          <cell r="AY666">
            <v>53.463691782410024</v>
          </cell>
          <cell r="AZ666" t="str">
            <v>F18</v>
          </cell>
          <cell r="BA666">
            <v>0</v>
          </cell>
          <cell r="BB666" t="str">
            <v>NSST</v>
          </cell>
          <cell r="BC666" t="str">
            <v>F18</v>
          </cell>
        </row>
        <row r="667">
          <cell r="A667" t="str">
            <v>558A2</v>
          </cell>
          <cell r="B667" t="str">
            <v>3</v>
          </cell>
          <cell r="C667" t="str">
            <v>06</v>
          </cell>
          <cell r="D667">
            <v>22</v>
          </cell>
          <cell r="E667" t="str">
            <v>558A2</v>
          </cell>
          <cell r="F667">
            <v>7.86</v>
          </cell>
          <cell r="G667">
            <v>6.56</v>
          </cell>
          <cell r="H667">
            <v>6.56</v>
          </cell>
          <cell r="I667" t="str">
            <v>ST</v>
          </cell>
          <cell r="J667" t="str">
            <v>BK</v>
          </cell>
          <cell r="K667">
            <v>0</v>
          </cell>
          <cell r="L667">
            <v>45946</v>
          </cell>
          <cell r="M667">
            <v>45946</v>
          </cell>
          <cell r="N667">
            <v>48</v>
          </cell>
          <cell r="O667" t="str">
            <v>NS</v>
          </cell>
          <cell r="P667" t="str">
            <v/>
          </cell>
          <cell r="Q667">
            <v>45946</v>
          </cell>
          <cell r="R667" t="str">
            <v/>
          </cell>
          <cell r="S667" t="str">
            <v/>
          </cell>
          <cell r="T667" t="str">
            <v/>
          </cell>
          <cell r="U667">
            <v>70043</v>
          </cell>
          <cell r="V667">
            <v>51573</v>
          </cell>
          <cell r="W667">
            <v>44555</v>
          </cell>
          <cell r="X667" t="str">
            <v>Lokasi Produksi 558A2 ( pecahan 558A )</v>
          </cell>
          <cell r="Z667">
            <v>0</v>
          </cell>
          <cell r="AA667">
            <v>45946</v>
          </cell>
          <cell r="AB667">
            <v>665.59733611111005</v>
          </cell>
          <cell r="AC667">
            <v>22.186577870370336</v>
          </cell>
          <cell r="AD667">
            <v>-20</v>
          </cell>
          <cell r="AE667">
            <v>0</v>
          </cell>
          <cell r="AF667">
            <v>0</v>
          </cell>
          <cell r="AG667">
            <v>-1352.5</v>
          </cell>
          <cell r="AM667" t="str">
            <v>OK</v>
          </cell>
          <cell r="AO667">
            <v>1.6118517746913616</v>
          </cell>
          <cell r="AP667">
            <v>1.6118517746913616</v>
          </cell>
          <cell r="AQ667">
            <v>0</v>
          </cell>
          <cell r="AR667">
            <v>1.6118517746913616</v>
          </cell>
          <cell r="AS667">
            <v>0</v>
          </cell>
          <cell r="AT667">
            <v>45946</v>
          </cell>
          <cell r="AU667">
            <v>1.6118517746913616</v>
          </cell>
          <cell r="AV667">
            <v>48.355553240740846</v>
          </cell>
          <cell r="AW667">
            <v>1.6118517746913616</v>
          </cell>
          <cell r="AY667">
            <v>53.463691782410024</v>
          </cell>
          <cell r="AZ667" t="str">
            <v>F18</v>
          </cell>
          <cell r="BA667">
            <v>0</v>
          </cell>
          <cell r="BB667" t="str">
            <v>NSST</v>
          </cell>
          <cell r="BC667" t="str">
            <v>F18</v>
          </cell>
        </row>
        <row r="668">
          <cell r="A668" t="str">
            <v>558AS</v>
          </cell>
          <cell r="B668" t="str">
            <v>3</v>
          </cell>
          <cell r="C668" t="str">
            <v>06</v>
          </cell>
          <cell r="D668">
            <v>22</v>
          </cell>
          <cell r="E668" t="str">
            <v>558AS</v>
          </cell>
          <cell r="F668">
            <v>1.45</v>
          </cell>
          <cell r="G668">
            <v>1.43</v>
          </cell>
          <cell r="H668">
            <v>1.43</v>
          </cell>
          <cell r="I668" t="str">
            <v>FC</v>
          </cell>
          <cell r="J668" t="str">
            <v>ST</v>
          </cell>
          <cell r="K668">
            <v>0</v>
          </cell>
          <cell r="L668">
            <v>45576</v>
          </cell>
          <cell r="M668">
            <v>45576</v>
          </cell>
          <cell r="N668">
            <v>418</v>
          </cell>
          <cell r="O668" t="str">
            <v>SK</v>
          </cell>
          <cell r="P668" t="str">
            <v/>
          </cell>
          <cell r="Q668">
            <v>45576</v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>Lokasi Produksi 558AS ( Singkong )</v>
          </cell>
          <cell r="Z668">
            <v>0</v>
          </cell>
          <cell r="AA668">
            <v>45576</v>
          </cell>
          <cell r="AB668">
            <v>665.59733611111005</v>
          </cell>
          <cell r="AC668">
            <v>22.186577870370336</v>
          </cell>
          <cell r="AD668">
            <v>-20</v>
          </cell>
          <cell r="AE668">
            <v>0</v>
          </cell>
          <cell r="AF668">
            <v>0</v>
          </cell>
          <cell r="AG668">
            <v>-1352.5</v>
          </cell>
          <cell r="AM668" t="str">
            <v>OK</v>
          </cell>
          <cell r="AO668">
            <v>13.945185108024695</v>
          </cell>
          <cell r="AP668">
            <v>13.945185108024695</v>
          </cell>
          <cell r="AQ668">
            <v>0</v>
          </cell>
          <cell r="AR668">
            <v>13.945185108024695</v>
          </cell>
          <cell r="AS668">
            <v>0</v>
          </cell>
          <cell r="AT668">
            <v>45576</v>
          </cell>
          <cell r="AU668">
            <v>13.945185108024695</v>
          </cell>
          <cell r="AV668">
            <v>418.35555324074085</v>
          </cell>
          <cell r="AW668">
            <v>13.945185108024695</v>
          </cell>
          <cell r="AY668">
            <v>423.46369178241002</v>
          </cell>
          <cell r="AZ668" t="str">
            <v>F18</v>
          </cell>
          <cell r="BA668">
            <v>0</v>
          </cell>
          <cell r="BB668" t="str">
            <v>SKFC</v>
          </cell>
          <cell r="BC668" t="str">
            <v>F18</v>
          </cell>
        </row>
        <row r="669">
          <cell r="A669" t="str">
            <v>558C1</v>
          </cell>
          <cell r="B669" t="str">
            <v>3</v>
          </cell>
          <cell r="C669" t="str">
            <v>06</v>
          </cell>
          <cell r="D669">
            <v>22</v>
          </cell>
          <cell r="E669" t="str">
            <v>558C1</v>
          </cell>
          <cell r="F669">
            <v>10.29</v>
          </cell>
          <cell r="G669">
            <v>8.0399999999999991</v>
          </cell>
          <cell r="H669">
            <v>8.0399999999999991</v>
          </cell>
          <cell r="I669" t="str">
            <v>SC</v>
          </cell>
          <cell r="J669" t="str">
            <v>FC</v>
          </cell>
          <cell r="K669">
            <v>8</v>
          </cell>
          <cell r="L669">
            <v>45649</v>
          </cell>
          <cell r="M669">
            <v>45649</v>
          </cell>
          <cell r="N669">
            <v>345</v>
          </cell>
          <cell r="O669" t="str">
            <v>NS</v>
          </cell>
          <cell r="P669" t="str">
            <v/>
          </cell>
          <cell r="Q669">
            <v>45893</v>
          </cell>
          <cell r="R669" t="str">
            <v/>
          </cell>
          <cell r="S669" t="str">
            <v/>
          </cell>
          <cell r="T669">
            <v>45876</v>
          </cell>
          <cell r="U669">
            <v>72512</v>
          </cell>
          <cell r="V669">
            <v>53033</v>
          </cell>
          <cell r="W669">
            <v>44095</v>
          </cell>
          <cell r="X669" t="str">
            <v>Lokasi Produksi 558C1 ( pecahan 558C )</v>
          </cell>
          <cell r="Z669">
            <v>8</v>
          </cell>
          <cell r="AA669">
            <v>45893</v>
          </cell>
          <cell r="AB669">
            <v>2008.5973361111101</v>
          </cell>
          <cell r="AC669">
            <v>66.953244537037008</v>
          </cell>
          <cell r="AD669">
            <v>-20</v>
          </cell>
          <cell r="AE669">
            <v>0</v>
          </cell>
          <cell r="AF669">
            <v>0</v>
          </cell>
          <cell r="AG669">
            <v>-1307.7333333333333</v>
          </cell>
          <cell r="AK669">
            <v>40474</v>
          </cell>
          <cell r="AM669" t="str">
            <v>OK</v>
          </cell>
          <cell r="AO669">
            <v>11.511851774691362</v>
          </cell>
          <cell r="AP669">
            <v>3.5118517746913618</v>
          </cell>
          <cell r="AQ669">
            <v>45876</v>
          </cell>
          <cell r="AR669">
            <v>7.5666666666666664</v>
          </cell>
          <cell r="AS669">
            <v>3.9451851080246954</v>
          </cell>
          <cell r="AT669">
            <v>45893</v>
          </cell>
          <cell r="AU669">
            <v>3.9451851080246954</v>
          </cell>
          <cell r="AV669">
            <v>227</v>
          </cell>
          <cell r="AW669">
            <v>3.9451851080246954</v>
          </cell>
          <cell r="AY669">
            <v>350.46369178241002</v>
          </cell>
          <cell r="AZ669" t="str">
            <v>F18</v>
          </cell>
          <cell r="BA669">
            <v>8.0399999999999991</v>
          </cell>
          <cell r="BB669" t="str">
            <v>NSSC</v>
          </cell>
          <cell r="BC669" t="str">
            <v>F18</v>
          </cell>
        </row>
        <row r="670">
          <cell r="A670" t="str">
            <v>558C2</v>
          </cell>
          <cell r="B670" t="str">
            <v>3</v>
          </cell>
          <cell r="C670" t="str">
            <v>06</v>
          </cell>
          <cell r="D670">
            <v>22</v>
          </cell>
          <cell r="E670" t="str">
            <v>558C2</v>
          </cell>
          <cell r="F670">
            <v>6.46</v>
          </cell>
          <cell r="G670">
            <v>5.12</v>
          </cell>
          <cell r="H670">
            <v>5.12</v>
          </cell>
          <cell r="I670" t="str">
            <v>SC</v>
          </cell>
          <cell r="J670" t="str">
            <v>FC</v>
          </cell>
          <cell r="K670">
            <v>8</v>
          </cell>
          <cell r="L670">
            <v>45649</v>
          </cell>
          <cell r="M670">
            <v>45649</v>
          </cell>
          <cell r="N670">
            <v>345</v>
          </cell>
          <cell r="O670" t="str">
            <v>NS</v>
          </cell>
          <cell r="P670" t="str">
            <v/>
          </cell>
          <cell r="Q670">
            <v>45893</v>
          </cell>
          <cell r="R670" t="str">
            <v/>
          </cell>
          <cell r="S670" t="str">
            <v/>
          </cell>
          <cell r="T670">
            <v>45876</v>
          </cell>
          <cell r="U670">
            <v>70619</v>
          </cell>
          <cell r="V670">
            <v>52055</v>
          </cell>
          <cell r="W670">
            <v>45058</v>
          </cell>
          <cell r="X670" t="str">
            <v>Lokasi Produksi 558C2 ( pecahan 558C )</v>
          </cell>
          <cell r="Z670">
            <v>8</v>
          </cell>
          <cell r="AA670">
            <v>45893</v>
          </cell>
          <cell r="AB670">
            <v>665.59733611111005</v>
          </cell>
          <cell r="AC670">
            <v>22.186577870370336</v>
          </cell>
          <cell r="AD670">
            <v>-20</v>
          </cell>
          <cell r="AE670">
            <v>0</v>
          </cell>
          <cell r="AF670">
            <v>0</v>
          </cell>
          <cell r="AG670">
            <v>-1352.5</v>
          </cell>
          <cell r="AM670" t="str">
            <v>OK</v>
          </cell>
          <cell r="AO670">
            <v>11.511851774691362</v>
          </cell>
          <cell r="AP670">
            <v>3.5118517746913618</v>
          </cell>
          <cell r="AQ670">
            <v>45876</v>
          </cell>
          <cell r="AR670">
            <v>7.5666666666666664</v>
          </cell>
          <cell r="AS670">
            <v>3.9451851080246954</v>
          </cell>
          <cell r="AT670">
            <v>45893</v>
          </cell>
          <cell r="AU670">
            <v>3.9451851080246954</v>
          </cell>
          <cell r="AV670">
            <v>227</v>
          </cell>
          <cell r="AW670">
            <v>3.9451851080246954</v>
          </cell>
          <cell r="AY670">
            <v>350.46369178241002</v>
          </cell>
          <cell r="AZ670" t="str">
            <v>F18</v>
          </cell>
          <cell r="BA670">
            <v>5.12</v>
          </cell>
          <cell r="BB670" t="str">
            <v>NSSC</v>
          </cell>
          <cell r="BC670" t="str">
            <v>F18</v>
          </cell>
        </row>
        <row r="671">
          <cell r="A671" t="str">
            <v>558D1</v>
          </cell>
          <cell r="B671" t="str">
            <v>3</v>
          </cell>
          <cell r="C671" t="str">
            <v>06</v>
          </cell>
          <cell r="D671">
            <v>22</v>
          </cell>
          <cell r="E671" t="str">
            <v>558D1</v>
          </cell>
          <cell r="F671">
            <v>12.25</v>
          </cell>
          <cell r="G671">
            <v>9.51</v>
          </cell>
          <cell r="H671">
            <v>9.51</v>
          </cell>
          <cell r="I671" t="str">
            <v>SC</v>
          </cell>
          <cell r="J671" t="str">
            <v>FC</v>
          </cell>
          <cell r="K671">
            <v>8</v>
          </cell>
          <cell r="L671">
            <v>45777</v>
          </cell>
          <cell r="M671">
            <v>45777</v>
          </cell>
          <cell r="N671">
            <v>217</v>
          </cell>
          <cell r="O671" t="str">
            <v>NS</v>
          </cell>
          <cell r="P671" t="str">
            <v/>
          </cell>
          <cell r="Q671">
            <v>46021</v>
          </cell>
          <cell r="R671" t="str">
            <v/>
          </cell>
          <cell r="S671" t="str">
            <v/>
          </cell>
          <cell r="T671" t="str">
            <v/>
          </cell>
          <cell r="U671">
            <v>68963</v>
          </cell>
          <cell r="V671">
            <v>69579</v>
          </cell>
          <cell r="W671">
            <v>45386</v>
          </cell>
          <cell r="X671" t="str">
            <v>Lokasi Produksi 558D1 ( pecahan 558D )</v>
          </cell>
          <cell r="Z671">
            <v>8</v>
          </cell>
          <cell r="AA671">
            <v>46021</v>
          </cell>
          <cell r="AB671">
            <v>665.59733611111005</v>
          </cell>
          <cell r="AC671">
            <v>22.186577870370336</v>
          </cell>
          <cell r="AD671">
            <v>-20</v>
          </cell>
          <cell r="AE671">
            <v>0</v>
          </cell>
          <cell r="AF671">
            <v>0</v>
          </cell>
          <cell r="AG671">
            <v>-1352.5</v>
          </cell>
          <cell r="AM671" t="str">
            <v>OK</v>
          </cell>
          <cell r="AO671">
            <v>7.2451851080246952</v>
          </cell>
          <cell r="AP671">
            <v>-0.75481489197530482</v>
          </cell>
          <cell r="AQ671">
            <v>0</v>
          </cell>
          <cell r="AR671">
            <v>7.2451851080246952</v>
          </cell>
          <cell r="AS671">
            <v>0</v>
          </cell>
          <cell r="AT671">
            <v>46021</v>
          </cell>
          <cell r="AU671">
            <v>-0.75481489197530482</v>
          </cell>
          <cell r="AV671">
            <v>217.35555324074085</v>
          </cell>
          <cell r="AW671">
            <v>-0.75481489197530482</v>
          </cell>
          <cell r="AY671">
            <v>222.46369178241002</v>
          </cell>
          <cell r="AZ671" t="str">
            <v>F18</v>
          </cell>
          <cell r="BA671">
            <v>9.51</v>
          </cell>
          <cell r="BB671" t="str">
            <v>NSSC</v>
          </cell>
          <cell r="BC671" t="str">
            <v>F18</v>
          </cell>
        </row>
        <row r="672">
          <cell r="A672" t="str">
            <v>558D3</v>
          </cell>
          <cell r="B672" t="str">
            <v>3</v>
          </cell>
          <cell r="C672" t="str">
            <v>06</v>
          </cell>
          <cell r="D672">
            <v>22</v>
          </cell>
          <cell r="E672" t="str">
            <v>558D3</v>
          </cell>
          <cell r="F672">
            <v>8.84</v>
          </cell>
          <cell r="G672">
            <v>6.95</v>
          </cell>
          <cell r="H672">
            <v>6.95</v>
          </cell>
          <cell r="I672" t="str">
            <v>SC</v>
          </cell>
          <cell r="J672" t="str">
            <v>FC</v>
          </cell>
          <cell r="K672">
            <v>8</v>
          </cell>
          <cell r="L672">
            <v>45677</v>
          </cell>
          <cell r="M672">
            <v>45677</v>
          </cell>
          <cell r="N672">
            <v>317</v>
          </cell>
          <cell r="O672" t="str">
            <v>NS</v>
          </cell>
          <cell r="P672" t="str">
            <v/>
          </cell>
          <cell r="Q672">
            <v>45921</v>
          </cell>
          <cell r="R672" t="str">
            <v/>
          </cell>
          <cell r="S672" t="str">
            <v/>
          </cell>
          <cell r="T672">
            <v>45913</v>
          </cell>
          <cell r="U672">
            <v>72828</v>
          </cell>
          <cell r="V672">
            <v>52928</v>
          </cell>
          <cell r="W672">
            <v>43943</v>
          </cell>
          <cell r="X672" t="str">
            <v>Lokasi produksi 558D3 ( pecahan 558D2 )</v>
          </cell>
          <cell r="Z672">
            <v>8</v>
          </cell>
          <cell r="AA672">
            <v>45921</v>
          </cell>
          <cell r="AB672">
            <v>665.59733611111005</v>
          </cell>
          <cell r="AC672">
            <v>22.186577870370336</v>
          </cell>
          <cell r="AD672">
            <v>-20</v>
          </cell>
          <cell r="AE672">
            <v>0</v>
          </cell>
          <cell r="AF672">
            <v>0</v>
          </cell>
          <cell r="AG672">
            <v>-1352.5</v>
          </cell>
          <cell r="AM672" t="str">
            <v>OK</v>
          </cell>
          <cell r="AO672">
            <v>10.578518441358028</v>
          </cell>
          <cell r="AP672">
            <v>2.5785184413580282</v>
          </cell>
          <cell r="AQ672">
            <v>45913</v>
          </cell>
          <cell r="AR672">
            <v>7.8666666666666663</v>
          </cell>
          <cell r="AS672">
            <v>2.711851774691362</v>
          </cell>
          <cell r="AT672">
            <v>45921</v>
          </cell>
          <cell r="AU672">
            <v>2.711851774691362</v>
          </cell>
          <cell r="AV672">
            <v>236</v>
          </cell>
          <cell r="AW672">
            <v>2.711851774691362</v>
          </cell>
          <cell r="AY672">
            <v>322.46369178241002</v>
          </cell>
          <cell r="AZ672" t="str">
            <v>F18</v>
          </cell>
          <cell r="BA672">
            <v>6.95</v>
          </cell>
          <cell r="BB672" t="str">
            <v>NSSC</v>
          </cell>
          <cell r="BC672" t="str">
            <v>F18</v>
          </cell>
        </row>
        <row r="673">
          <cell r="A673" t="str">
            <v>558D4</v>
          </cell>
          <cell r="B673" t="str">
            <v>3</v>
          </cell>
          <cell r="C673" t="str">
            <v>06</v>
          </cell>
          <cell r="D673">
            <v>22</v>
          </cell>
          <cell r="E673" t="str">
            <v>558D4</v>
          </cell>
          <cell r="F673">
            <v>11.29</v>
          </cell>
          <cell r="G673">
            <v>9.06</v>
          </cell>
          <cell r="H673">
            <v>9.06</v>
          </cell>
          <cell r="I673" t="str">
            <v>SC</v>
          </cell>
          <cell r="J673" t="str">
            <v>FC</v>
          </cell>
          <cell r="K673">
            <v>8</v>
          </cell>
          <cell r="L673">
            <v>45625</v>
          </cell>
          <cell r="M673">
            <v>45625</v>
          </cell>
          <cell r="N673">
            <v>369</v>
          </cell>
          <cell r="O673" t="str">
            <v>NS</v>
          </cell>
          <cell r="P673" t="str">
            <v/>
          </cell>
          <cell r="Q673">
            <v>45869</v>
          </cell>
          <cell r="R673" t="str">
            <v/>
          </cell>
          <cell r="S673" t="str">
            <v/>
          </cell>
          <cell r="T673">
            <v>45857</v>
          </cell>
          <cell r="U673">
            <v>71893</v>
          </cell>
          <cell r="V673">
            <v>52383</v>
          </cell>
          <cell r="W673">
            <v>43943</v>
          </cell>
          <cell r="X673" t="str">
            <v>Lokasi Produksi 558D4 ( pecahan 558D2 )</v>
          </cell>
          <cell r="Z673">
            <v>8</v>
          </cell>
          <cell r="AA673">
            <v>45869</v>
          </cell>
          <cell r="AB673">
            <v>665.59733611111005</v>
          </cell>
          <cell r="AC673">
            <v>22.186577870370336</v>
          </cell>
          <cell r="AD673">
            <v>-20</v>
          </cell>
          <cell r="AE673">
            <v>0</v>
          </cell>
          <cell r="AF673">
            <v>0</v>
          </cell>
          <cell r="AG673">
            <v>-1352.5</v>
          </cell>
          <cell r="AM673" t="str">
            <v>OK</v>
          </cell>
          <cell r="AO673">
            <v>12.311851774691361</v>
          </cell>
          <cell r="AP673">
            <v>4.3118517746913607</v>
          </cell>
          <cell r="AQ673">
            <v>45857</v>
          </cell>
          <cell r="AR673">
            <v>7.7333333333333334</v>
          </cell>
          <cell r="AS673">
            <v>4.5785184413580273</v>
          </cell>
          <cell r="AT673">
            <v>45869</v>
          </cell>
          <cell r="AU673">
            <v>4.5785184413580273</v>
          </cell>
          <cell r="AV673">
            <v>232</v>
          </cell>
          <cell r="AW673">
            <v>4.5785184413580273</v>
          </cell>
          <cell r="AY673">
            <v>374.46369178241002</v>
          </cell>
          <cell r="AZ673" t="str">
            <v>F18</v>
          </cell>
          <cell r="BA673">
            <v>9.06</v>
          </cell>
          <cell r="BB673" t="str">
            <v>NSSC</v>
          </cell>
          <cell r="BC673" t="str">
            <v>F18</v>
          </cell>
        </row>
        <row r="674">
          <cell r="A674" t="str">
            <v>558E</v>
          </cell>
          <cell r="B674" t="str">
            <v>3</v>
          </cell>
          <cell r="C674" t="str">
            <v>06</v>
          </cell>
          <cell r="D674">
            <v>22</v>
          </cell>
          <cell r="E674" t="str">
            <v>558E</v>
          </cell>
          <cell r="F674">
            <v>13.04</v>
          </cell>
          <cell r="G674">
            <v>10.84</v>
          </cell>
          <cell r="H674">
            <v>10.84</v>
          </cell>
          <cell r="I674" t="str">
            <v>FC</v>
          </cell>
          <cell r="J674" t="str">
            <v>ST</v>
          </cell>
          <cell r="K674">
            <v>14</v>
          </cell>
          <cell r="L674">
            <v>45539</v>
          </cell>
          <cell r="M674">
            <v>45539</v>
          </cell>
          <cell r="N674">
            <v>455</v>
          </cell>
          <cell r="O674" t="str">
            <v>NS</v>
          </cell>
          <cell r="P674" t="str">
            <v>NSF18CK3</v>
          </cell>
          <cell r="Q674">
            <v>45966</v>
          </cell>
          <cell r="R674" t="str">
            <v/>
          </cell>
          <cell r="S674" t="str">
            <v/>
          </cell>
          <cell r="T674">
            <v>45922</v>
          </cell>
          <cell r="U674">
            <v>61325</v>
          </cell>
          <cell r="V674">
            <v>68536</v>
          </cell>
          <cell r="W674">
            <v>43806</v>
          </cell>
          <cell r="X674" t="str">
            <v>Lokasi Produksi 558E</v>
          </cell>
          <cell r="Z674">
            <v>14</v>
          </cell>
          <cell r="AA674">
            <v>45966</v>
          </cell>
          <cell r="AB674">
            <v>665.59733611111005</v>
          </cell>
          <cell r="AC674">
            <v>22.186577870370336</v>
          </cell>
          <cell r="AD674">
            <v>-20</v>
          </cell>
          <cell r="AE674">
            <v>0</v>
          </cell>
          <cell r="AF674">
            <v>0</v>
          </cell>
          <cell r="AG674">
            <v>-1352.5</v>
          </cell>
          <cell r="AM674" t="str">
            <v>OK</v>
          </cell>
          <cell r="AO674">
            <v>15.178518441358028</v>
          </cell>
          <cell r="AP674">
            <v>1.1785184413580279</v>
          </cell>
          <cell r="AQ674">
            <v>45922</v>
          </cell>
          <cell r="AR674">
            <v>12.766666666666667</v>
          </cell>
          <cell r="AS674">
            <v>2.4118517746913604</v>
          </cell>
          <cell r="AT674">
            <v>45966</v>
          </cell>
          <cell r="AU674">
            <v>2.4118517746913604</v>
          </cell>
          <cell r="AV674">
            <v>383</v>
          </cell>
          <cell r="AW674">
            <v>2.4118517746913604</v>
          </cell>
          <cell r="AY674">
            <v>460.46369178241002</v>
          </cell>
          <cell r="AZ674" t="str">
            <v>F18</v>
          </cell>
          <cell r="BA674">
            <v>10.84</v>
          </cell>
          <cell r="BB674" t="str">
            <v>NSFC</v>
          </cell>
          <cell r="BC674" t="str">
            <v>F18CK</v>
          </cell>
        </row>
        <row r="675">
          <cell r="A675" t="str">
            <v>558G1</v>
          </cell>
          <cell r="B675" t="str">
            <v>3</v>
          </cell>
          <cell r="C675" t="str">
            <v>06</v>
          </cell>
          <cell r="D675">
            <v>22</v>
          </cell>
          <cell r="E675" t="str">
            <v>558G1</v>
          </cell>
          <cell r="F675">
            <v>11.52</v>
          </cell>
          <cell r="G675">
            <v>9.19</v>
          </cell>
          <cell r="H675">
            <v>9.19</v>
          </cell>
          <cell r="I675" t="str">
            <v>SC</v>
          </cell>
          <cell r="J675" t="str">
            <v>FC</v>
          </cell>
          <cell r="K675">
            <v>8</v>
          </cell>
          <cell r="L675">
            <v>45653</v>
          </cell>
          <cell r="M675">
            <v>45653</v>
          </cell>
          <cell r="N675">
            <v>341</v>
          </cell>
          <cell r="O675" t="str">
            <v>NS</v>
          </cell>
          <cell r="P675" t="str">
            <v/>
          </cell>
          <cell r="Q675">
            <v>45897</v>
          </cell>
          <cell r="R675" t="str">
            <v/>
          </cell>
          <cell r="S675" t="str">
            <v/>
          </cell>
          <cell r="T675">
            <v>45891</v>
          </cell>
          <cell r="U675">
            <v>72109</v>
          </cell>
          <cell r="V675">
            <v>52477</v>
          </cell>
          <cell r="W675">
            <v>43775</v>
          </cell>
          <cell r="X675" t="str">
            <v>Lokasi Produksi 558G1 ( pecahan 558G )</v>
          </cell>
          <cell r="Z675">
            <v>8</v>
          </cell>
          <cell r="AA675">
            <v>45897</v>
          </cell>
          <cell r="AB675">
            <v>665.59733611111005</v>
          </cell>
          <cell r="AC675">
            <v>22.186577870370336</v>
          </cell>
          <cell r="AD675">
            <v>-20</v>
          </cell>
          <cell r="AE675">
            <v>0</v>
          </cell>
          <cell r="AF675">
            <v>0</v>
          </cell>
          <cell r="AG675">
            <v>-1352.5</v>
          </cell>
          <cell r="AM675" t="str">
            <v>OK</v>
          </cell>
          <cell r="AO675">
            <v>11.378518441358029</v>
          </cell>
          <cell r="AP675">
            <v>3.3785184413580289</v>
          </cell>
          <cell r="AQ675">
            <v>45891</v>
          </cell>
          <cell r="AR675">
            <v>7.9333333333333336</v>
          </cell>
          <cell r="AS675">
            <v>3.4451851080246954</v>
          </cell>
          <cell r="AT675">
            <v>45897</v>
          </cell>
          <cell r="AU675">
            <v>3.4451851080246954</v>
          </cell>
          <cell r="AV675">
            <v>238</v>
          </cell>
          <cell r="AW675">
            <v>3.4451851080246954</v>
          </cell>
          <cell r="AY675">
            <v>346.46369178241002</v>
          </cell>
          <cell r="AZ675" t="str">
            <v>F18</v>
          </cell>
          <cell r="BA675">
            <v>9.19</v>
          </cell>
          <cell r="BB675" t="str">
            <v>NSSC</v>
          </cell>
          <cell r="BC675" t="str">
            <v>F18</v>
          </cell>
        </row>
        <row r="676">
          <cell r="A676" t="str">
            <v>558G2</v>
          </cell>
          <cell r="B676" t="str">
            <v>3</v>
          </cell>
          <cell r="C676" t="str">
            <v>06</v>
          </cell>
          <cell r="D676">
            <v>22</v>
          </cell>
          <cell r="E676" t="str">
            <v>558G2</v>
          </cell>
          <cell r="F676">
            <v>8.49</v>
          </cell>
          <cell r="G676">
            <v>6.67</v>
          </cell>
          <cell r="H676">
            <v>6.67</v>
          </cell>
          <cell r="I676" t="str">
            <v>SC</v>
          </cell>
          <cell r="J676" t="str">
            <v>FC</v>
          </cell>
          <cell r="K676">
            <v>8</v>
          </cell>
          <cell r="L676">
            <v>45650</v>
          </cell>
          <cell r="M676">
            <v>45650</v>
          </cell>
          <cell r="N676">
            <v>344</v>
          </cell>
          <cell r="O676" t="str">
            <v>NS</v>
          </cell>
          <cell r="P676" t="str">
            <v/>
          </cell>
          <cell r="Q676">
            <v>45894</v>
          </cell>
          <cell r="R676" t="str">
            <v/>
          </cell>
          <cell r="S676" t="str">
            <v/>
          </cell>
          <cell r="T676">
            <v>45891</v>
          </cell>
          <cell r="U676">
            <v>72001</v>
          </cell>
          <cell r="V676">
            <v>52665</v>
          </cell>
          <cell r="W676">
            <v>43466</v>
          </cell>
          <cell r="X676" t="str">
            <v>Lokasi Produksi 558G2 ( pecahan 558G )</v>
          </cell>
          <cell r="Z676">
            <v>8</v>
          </cell>
          <cell r="AA676">
            <v>45894</v>
          </cell>
          <cell r="AB676">
            <v>665.59733611111005</v>
          </cell>
          <cell r="AC676">
            <v>22.186577870370336</v>
          </cell>
          <cell r="AD676">
            <v>-20</v>
          </cell>
          <cell r="AE676">
            <v>0</v>
          </cell>
          <cell r="AF676">
            <v>0</v>
          </cell>
          <cell r="AG676">
            <v>-1352.5</v>
          </cell>
          <cell r="AK676">
            <v>40324</v>
          </cell>
          <cell r="AM676" t="str">
            <v>OK</v>
          </cell>
          <cell r="AO676">
            <v>11.478518441358029</v>
          </cell>
          <cell r="AP676">
            <v>3.4785184413580286</v>
          </cell>
          <cell r="AQ676">
            <v>45891</v>
          </cell>
          <cell r="AR676">
            <v>8.0333333333333332</v>
          </cell>
          <cell r="AS676">
            <v>3.4451851080246954</v>
          </cell>
          <cell r="AT676">
            <v>45894</v>
          </cell>
          <cell r="AU676">
            <v>3.4451851080246954</v>
          </cell>
          <cell r="AV676">
            <v>241</v>
          </cell>
          <cell r="AW676">
            <v>3.4451851080246954</v>
          </cell>
          <cell r="AY676">
            <v>349.46369178241002</v>
          </cell>
          <cell r="AZ676" t="str">
            <v>F18</v>
          </cell>
          <cell r="BA676">
            <v>6.67</v>
          </cell>
          <cell r="BB676" t="str">
            <v>NSSC</v>
          </cell>
          <cell r="BC676" t="str">
            <v>F18</v>
          </cell>
        </row>
        <row r="677">
          <cell r="A677" t="str">
            <v>558I1</v>
          </cell>
          <cell r="B677" t="str">
            <v>3</v>
          </cell>
          <cell r="C677" t="str">
            <v>06</v>
          </cell>
          <cell r="D677">
            <v>22</v>
          </cell>
          <cell r="E677" t="str">
            <v>558I1</v>
          </cell>
          <cell r="F677">
            <v>6.47</v>
          </cell>
          <cell r="G677">
            <v>5.12</v>
          </cell>
          <cell r="H677">
            <v>5.12</v>
          </cell>
          <cell r="I677" t="str">
            <v>BB</v>
          </cell>
          <cell r="J677" t="str">
            <v>FC</v>
          </cell>
          <cell r="K677">
            <v>0</v>
          </cell>
          <cell r="L677">
            <v>45737</v>
          </cell>
          <cell r="M677">
            <v>45737</v>
          </cell>
          <cell r="N677">
            <v>257</v>
          </cell>
          <cell r="O677" t="str">
            <v>NS</v>
          </cell>
          <cell r="P677" t="str">
            <v/>
          </cell>
          <cell r="Q677">
            <v>45737</v>
          </cell>
          <cell r="R677" t="str">
            <v/>
          </cell>
          <cell r="S677" t="str">
            <v/>
          </cell>
          <cell r="T677" t="str">
            <v/>
          </cell>
          <cell r="U677">
            <v>67728</v>
          </cell>
          <cell r="V677">
            <v>71963</v>
          </cell>
          <cell r="W677" t="str">
            <v/>
          </cell>
          <cell r="X677" t="str">
            <v>Lokasi Produksi 558I1 ( pecahan 558 I )</v>
          </cell>
          <cell r="Z677">
            <v>0</v>
          </cell>
          <cell r="AA677">
            <v>45737</v>
          </cell>
          <cell r="AB677">
            <v>851.59733611111005</v>
          </cell>
          <cell r="AC677">
            <v>28.386577870370335</v>
          </cell>
          <cell r="AD677">
            <v>-20</v>
          </cell>
          <cell r="AE677">
            <v>0</v>
          </cell>
          <cell r="AF677">
            <v>0</v>
          </cell>
          <cell r="AG677">
            <v>-1346.3</v>
          </cell>
          <cell r="AM677" t="str">
            <v>OK</v>
          </cell>
          <cell r="AO677">
            <v>8.5785184413580282</v>
          </cell>
          <cell r="AP677">
            <v>8.5785184413580282</v>
          </cell>
          <cell r="AQ677">
            <v>0</v>
          </cell>
          <cell r="AR677">
            <v>8.5785184413580282</v>
          </cell>
          <cell r="AS677">
            <v>0</v>
          </cell>
          <cell r="AT677">
            <v>45737</v>
          </cell>
          <cell r="AU677">
            <v>8.5785184413580282</v>
          </cell>
          <cell r="AV677">
            <v>257.35555324074085</v>
          </cell>
          <cell r="AW677">
            <v>8.5785184413580282</v>
          </cell>
          <cell r="AY677">
            <v>262.46369178241002</v>
          </cell>
          <cell r="AZ677" t="str">
            <v>F18</v>
          </cell>
          <cell r="BA677">
            <v>0</v>
          </cell>
          <cell r="BB677" t="str">
            <v>NSBB</v>
          </cell>
          <cell r="BC677" t="str">
            <v>F18</v>
          </cell>
        </row>
        <row r="678">
          <cell r="A678" t="str">
            <v>558I2</v>
          </cell>
          <cell r="B678" t="str">
            <v>3</v>
          </cell>
          <cell r="C678" t="str">
            <v>06</v>
          </cell>
          <cell r="D678">
            <v>22</v>
          </cell>
          <cell r="E678" t="str">
            <v>558I2</v>
          </cell>
          <cell r="F678">
            <v>10.52</v>
          </cell>
          <cell r="G678">
            <v>8.39</v>
          </cell>
          <cell r="H678">
            <v>8.39</v>
          </cell>
          <cell r="I678" t="str">
            <v>SC</v>
          </cell>
          <cell r="J678" t="str">
            <v>FC</v>
          </cell>
          <cell r="K678">
            <v>8</v>
          </cell>
          <cell r="L678">
            <v>45777</v>
          </cell>
          <cell r="M678">
            <v>45777</v>
          </cell>
          <cell r="N678">
            <v>217</v>
          </cell>
          <cell r="O678" t="str">
            <v>NS</v>
          </cell>
          <cell r="P678" t="str">
            <v/>
          </cell>
          <cell r="Q678">
            <v>46021</v>
          </cell>
          <cell r="R678" t="str">
            <v/>
          </cell>
          <cell r="S678" t="str">
            <v/>
          </cell>
          <cell r="T678" t="str">
            <v/>
          </cell>
          <cell r="U678">
            <v>67201</v>
          </cell>
          <cell r="V678">
            <v>71761</v>
          </cell>
          <cell r="W678">
            <v>44305</v>
          </cell>
          <cell r="X678" t="str">
            <v>Lokasi Produksi 558I2 ( pecahan 558I )</v>
          </cell>
          <cell r="Z678">
            <v>8</v>
          </cell>
          <cell r="AA678">
            <v>46021</v>
          </cell>
          <cell r="AB678">
            <v>830.59733611111005</v>
          </cell>
          <cell r="AC678">
            <v>27.686577870370336</v>
          </cell>
          <cell r="AD678">
            <v>-20</v>
          </cell>
          <cell r="AE678">
            <v>0</v>
          </cell>
          <cell r="AF678">
            <v>0</v>
          </cell>
          <cell r="AG678">
            <v>-1347</v>
          </cell>
          <cell r="AM678" t="str">
            <v>OK</v>
          </cell>
          <cell r="AO678">
            <v>7.2451851080246952</v>
          </cell>
          <cell r="AP678">
            <v>-0.75481489197530482</v>
          </cell>
          <cell r="AQ678">
            <v>0</v>
          </cell>
          <cell r="AR678">
            <v>7.2451851080246952</v>
          </cell>
          <cell r="AS678">
            <v>0</v>
          </cell>
          <cell r="AT678">
            <v>46021</v>
          </cell>
          <cell r="AU678">
            <v>-0.75481489197530482</v>
          </cell>
          <cell r="AV678">
            <v>217.35555324074085</v>
          </cell>
          <cell r="AW678">
            <v>-0.75481489197530482</v>
          </cell>
          <cell r="AY678">
            <v>222.46369178241002</v>
          </cell>
          <cell r="AZ678" t="str">
            <v>F18</v>
          </cell>
          <cell r="BA678">
            <v>8.39</v>
          </cell>
          <cell r="BB678" t="str">
            <v>NSSC</v>
          </cell>
          <cell r="BC678" t="str">
            <v>F18</v>
          </cell>
        </row>
        <row r="679">
          <cell r="A679" t="str">
            <v>559A1</v>
          </cell>
          <cell r="B679" t="str">
            <v>3</v>
          </cell>
          <cell r="C679" t="str">
            <v>06</v>
          </cell>
          <cell r="D679">
            <v>22</v>
          </cell>
          <cell r="E679" t="str">
            <v>559A1</v>
          </cell>
          <cell r="F679">
            <v>6.97</v>
          </cell>
          <cell r="G679">
            <v>6.01</v>
          </cell>
          <cell r="H679">
            <v>6.01</v>
          </cell>
          <cell r="I679" t="str">
            <v>FC</v>
          </cell>
          <cell r="J679" t="str">
            <v>ST</v>
          </cell>
          <cell r="K679">
            <v>14</v>
          </cell>
          <cell r="L679">
            <v>45987</v>
          </cell>
          <cell r="M679">
            <v>45987</v>
          </cell>
          <cell r="N679">
            <v>7</v>
          </cell>
          <cell r="O679" t="str">
            <v>NS</v>
          </cell>
          <cell r="P679" t="str">
            <v>NSF18CK3</v>
          </cell>
          <cell r="Q679">
            <v>46414</v>
          </cell>
          <cell r="R679" t="str">
            <v/>
          </cell>
          <cell r="S679" t="str">
            <v/>
          </cell>
          <cell r="T679" t="str">
            <v/>
          </cell>
          <cell r="U679">
            <v>70501</v>
          </cell>
          <cell r="V679">
            <v>51044</v>
          </cell>
          <cell r="W679">
            <v>44733</v>
          </cell>
          <cell r="X679" t="str">
            <v>Lokasi Produksi 559A1 ( pecahan 559A )</v>
          </cell>
          <cell r="Z679">
            <v>14</v>
          </cell>
          <cell r="AA679">
            <v>46414</v>
          </cell>
          <cell r="AB679">
            <v>758.59733611111005</v>
          </cell>
          <cell r="AC679">
            <v>25.286577870370333</v>
          </cell>
          <cell r="AD679">
            <v>-20</v>
          </cell>
          <cell r="AE679">
            <v>0</v>
          </cell>
          <cell r="AF679">
            <v>0</v>
          </cell>
          <cell r="AG679">
            <v>-1349.4</v>
          </cell>
          <cell r="AM679" t="str">
            <v>OK</v>
          </cell>
          <cell r="AO679">
            <v>0.24518510802469487</v>
          </cell>
          <cell r="AP679">
            <v>-13.754814891975306</v>
          </cell>
          <cell r="AQ679">
            <v>0</v>
          </cell>
          <cell r="AR679">
            <v>0.24518510802469487</v>
          </cell>
          <cell r="AS679">
            <v>0</v>
          </cell>
          <cell r="AT679">
            <v>46414</v>
          </cell>
          <cell r="AU679">
            <v>-13.754814891975306</v>
          </cell>
          <cell r="AV679">
            <v>7.3555532407408464</v>
          </cell>
          <cell r="AW679">
            <v>-13.754814891975306</v>
          </cell>
          <cell r="AY679">
            <v>12.463691782410024</v>
          </cell>
          <cell r="AZ679" t="str">
            <v>F18</v>
          </cell>
          <cell r="BA679">
            <v>6.01</v>
          </cell>
          <cell r="BB679" t="str">
            <v>NSFC</v>
          </cell>
          <cell r="BC679" t="str">
            <v>F18CK</v>
          </cell>
        </row>
        <row r="680">
          <cell r="A680" t="str">
            <v>559A2</v>
          </cell>
          <cell r="B680" t="str">
            <v>3</v>
          </cell>
          <cell r="C680" t="str">
            <v>06</v>
          </cell>
          <cell r="D680">
            <v>22</v>
          </cell>
          <cell r="E680" t="str">
            <v>559A2</v>
          </cell>
          <cell r="F680">
            <v>11.11</v>
          </cell>
          <cell r="G680">
            <v>9.42</v>
          </cell>
          <cell r="H680">
            <v>9.42</v>
          </cell>
          <cell r="I680" t="str">
            <v>FC</v>
          </cell>
          <cell r="J680" t="str">
            <v>ST</v>
          </cell>
          <cell r="K680">
            <v>14</v>
          </cell>
          <cell r="L680">
            <v>45987</v>
          </cell>
          <cell r="M680">
            <v>45987</v>
          </cell>
          <cell r="N680">
            <v>7</v>
          </cell>
          <cell r="O680" t="str">
            <v>NS</v>
          </cell>
          <cell r="P680" t="str">
            <v>NSF18CK3</v>
          </cell>
          <cell r="Q680">
            <v>46414</v>
          </cell>
          <cell r="R680" t="str">
            <v/>
          </cell>
          <cell r="S680" t="str">
            <v/>
          </cell>
          <cell r="T680" t="str">
            <v/>
          </cell>
          <cell r="U680">
            <v>69907</v>
          </cell>
          <cell r="V680">
            <v>51504</v>
          </cell>
          <cell r="W680">
            <v>44733</v>
          </cell>
          <cell r="X680" t="str">
            <v>Lokasi Produksi 559A2 ( pecahan 559A )</v>
          </cell>
          <cell r="Z680">
            <v>14</v>
          </cell>
          <cell r="AA680">
            <v>46414</v>
          </cell>
          <cell r="AB680">
            <v>729.59733611111005</v>
          </cell>
          <cell r="AC680">
            <v>24.319911203703668</v>
          </cell>
          <cell r="AD680">
            <v>-20</v>
          </cell>
          <cell r="AE680">
            <v>0</v>
          </cell>
          <cell r="AF680">
            <v>0</v>
          </cell>
          <cell r="AG680">
            <v>-1350.3666666666666</v>
          </cell>
          <cell r="AM680" t="str">
            <v>OK</v>
          </cell>
          <cell r="AO680">
            <v>0.24518510802469487</v>
          </cell>
          <cell r="AP680">
            <v>-13.754814891975306</v>
          </cell>
          <cell r="AQ680">
            <v>0</v>
          </cell>
          <cell r="AR680">
            <v>0.24518510802469487</v>
          </cell>
          <cell r="AS680">
            <v>0</v>
          </cell>
          <cell r="AT680">
            <v>46414</v>
          </cell>
          <cell r="AU680">
            <v>-13.754814891975306</v>
          </cell>
          <cell r="AV680">
            <v>7.3555532407408464</v>
          </cell>
          <cell r="AW680">
            <v>-13.754814891975306</v>
          </cell>
          <cell r="AY680">
            <v>12.463691782410024</v>
          </cell>
          <cell r="AZ680" t="str">
            <v>F18</v>
          </cell>
          <cell r="BA680">
            <v>9.42</v>
          </cell>
          <cell r="BB680" t="str">
            <v>NSFC</v>
          </cell>
          <cell r="BC680" t="str">
            <v>F18CK</v>
          </cell>
        </row>
        <row r="681">
          <cell r="A681" t="str">
            <v>559B</v>
          </cell>
          <cell r="B681" t="str">
            <v>3</v>
          </cell>
          <cell r="C681" t="str">
            <v>06</v>
          </cell>
          <cell r="D681">
            <v>22</v>
          </cell>
          <cell r="E681" t="str">
            <v>559B</v>
          </cell>
          <cell r="F681">
            <v>15.7</v>
          </cell>
          <cell r="G681">
            <v>12.26</v>
          </cell>
          <cell r="H681">
            <v>12.26</v>
          </cell>
          <cell r="I681" t="str">
            <v>SC</v>
          </cell>
          <cell r="J681" t="str">
            <v>FC</v>
          </cell>
          <cell r="K681">
            <v>8</v>
          </cell>
          <cell r="L681">
            <v>45698</v>
          </cell>
          <cell r="M681">
            <v>45698</v>
          </cell>
          <cell r="N681">
            <v>296</v>
          </cell>
          <cell r="O681" t="str">
            <v>NS</v>
          </cell>
          <cell r="P681" t="str">
            <v/>
          </cell>
          <cell r="Q681">
            <v>45942</v>
          </cell>
          <cell r="R681" t="str">
            <v/>
          </cell>
          <cell r="S681" t="str">
            <v/>
          </cell>
          <cell r="T681">
            <v>45936</v>
          </cell>
          <cell r="U681">
            <v>71415</v>
          </cell>
          <cell r="V681">
            <v>52682</v>
          </cell>
          <cell r="W681">
            <v>43457</v>
          </cell>
          <cell r="X681" t="str">
            <v>Lokasi Produksi 559B</v>
          </cell>
          <cell r="Z681">
            <v>8</v>
          </cell>
          <cell r="AA681">
            <v>45942</v>
          </cell>
          <cell r="AB681">
            <v>816.59733611111005</v>
          </cell>
          <cell r="AC681">
            <v>27.219911203703667</v>
          </cell>
          <cell r="AD681">
            <v>-20</v>
          </cell>
          <cell r="AE681">
            <v>0</v>
          </cell>
          <cell r="AF681">
            <v>0</v>
          </cell>
          <cell r="AG681">
            <v>-1347.4666666666667</v>
          </cell>
          <cell r="AM681" t="str">
            <v>OK</v>
          </cell>
          <cell r="AO681">
            <v>9.8785184413580289</v>
          </cell>
          <cell r="AP681">
            <v>1.8785184413580289</v>
          </cell>
          <cell r="AQ681">
            <v>45936</v>
          </cell>
          <cell r="AR681">
            <v>7.9333333333333336</v>
          </cell>
          <cell r="AS681">
            <v>1.9451851080246954</v>
          </cell>
          <cell r="AT681">
            <v>45942</v>
          </cell>
          <cell r="AU681">
            <v>1.9451851080246954</v>
          </cell>
          <cell r="AV681">
            <v>238</v>
          </cell>
          <cell r="AW681">
            <v>1.9451851080246954</v>
          </cell>
          <cell r="AY681">
            <v>301.46369178241002</v>
          </cell>
          <cell r="AZ681" t="str">
            <v>F18</v>
          </cell>
          <cell r="BA681">
            <v>12.26</v>
          </cell>
          <cell r="BB681" t="str">
            <v>NSSC</v>
          </cell>
          <cell r="BC681" t="str">
            <v>F18</v>
          </cell>
        </row>
        <row r="682">
          <cell r="A682" t="str">
            <v>559BS</v>
          </cell>
          <cell r="B682" t="str">
            <v>3</v>
          </cell>
          <cell r="C682" t="str">
            <v>06</v>
          </cell>
          <cell r="D682">
            <v>22</v>
          </cell>
          <cell r="E682" t="str">
            <v>559BS</v>
          </cell>
          <cell r="F682">
            <v>1.07</v>
          </cell>
          <cell r="G682">
            <v>1.07</v>
          </cell>
          <cell r="H682">
            <v>1.07</v>
          </cell>
          <cell r="I682" t="str">
            <v>FC</v>
          </cell>
          <cell r="J682" t="str">
            <v>ST</v>
          </cell>
          <cell r="K682">
            <v>0</v>
          </cell>
          <cell r="L682">
            <v>45898</v>
          </cell>
          <cell r="M682">
            <v>45898</v>
          </cell>
          <cell r="N682">
            <v>96</v>
          </cell>
          <cell r="O682" t="str">
            <v>SK</v>
          </cell>
          <cell r="P682" t="str">
            <v/>
          </cell>
          <cell r="Q682">
            <v>45898</v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>
            <v>45353</v>
          </cell>
          <cell r="X682" t="str">
            <v>Lokasi Produksi 559BS ( singkong )</v>
          </cell>
          <cell r="Z682">
            <v>0</v>
          </cell>
          <cell r="AA682">
            <v>45898</v>
          </cell>
          <cell r="AB682">
            <v>48.597336111110053</v>
          </cell>
          <cell r="AC682">
            <v>1.6199112037036685</v>
          </cell>
          <cell r="AD682">
            <v>-20</v>
          </cell>
          <cell r="AE682">
            <v>14.39</v>
          </cell>
          <cell r="AF682">
            <v>0</v>
          </cell>
          <cell r="AG682">
            <v>-1373.0666666666666</v>
          </cell>
          <cell r="AM682" t="str">
            <v>OK</v>
          </cell>
          <cell r="AO682">
            <v>3.2118517746913615</v>
          </cell>
          <cell r="AP682">
            <v>3.2118517746913615</v>
          </cell>
          <cell r="AQ682">
            <v>0</v>
          </cell>
          <cell r="AR682">
            <v>3.2118517746913615</v>
          </cell>
          <cell r="AS682">
            <v>0</v>
          </cell>
          <cell r="AT682">
            <v>45898</v>
          </cell>
          <cell r="AU682">
            <v>3.2118517746913615</v>
          </cell>
          <cell r="AV682">
            <v>96.355553240740846</v>
          </cell>
          <cell r="AW682">
            <v>3.2118517746913615</v>
          </cell>
          <cell r="AY682">
            <v>101.46369178241002</v>
          </cell>
          <cell r="AZ682" t="str">
            <v>F18</v>
          </cell>
          <cell r="BA682">
            <v>0</v>
          </cell>
          <cell r="BB682" t="str">
            <v>SKFC</v>
          </cell>
          <cell r="BC682" t="str">
            <v>F18</v>
          </cell>
        </row>
        <row r="683">
          <cell r="A683" t="str">
            <v>559C1</v>
          </cell>
          <cell r="B683" t="str">
            <v>3</v>
          </cell>
          <cell r="C683" t="str">
            <v>06</v>
          </cell>
          <cell r="D683">
            <v>22</v>
          </cell>
          <cell r="E683" t="str">
            <v>559C1</v>
          </cell>
          <cell r="F683">
            <v>10.92</v>
          </cell>
          <cell r="G683">
            <v>8.6</v>
          </cell>
          <cell r="H683">
            <v>8.6</v>
          </cell>
          <cell r="I683" t="str">
            <v>SC</v>
          </cell>
          <cell r="J683" t="str">
            <v>FC</v>
          </cell>
          <cell r="K683">
            <v>8</v>
          </cell>
          <cell r="L683">
            <v>45691</v>
          </cell>
          <cell r="M683">
            <v>45691</v>
          </cell>
          <cell r="N683">
            <v>303</v>
          </cell>
          <cell r="O683" t="str">
            <v>NS</v>
          </cell>
          <cell r="P683" t="str">
            <v/>
          </cell>
          <cell r="Q683">
            <v>45935</v>
          </cell>
          <cell r="R683" t="str">
            <v/>
          </cell>
          <cell r="S683" t="str">
            <v/>
          </cell>
          <cell r="T683">
            <v>45955</v>
          </cell>
          <cell r="U683">
            <v>73116</v>
          </cell>
          <cell r="V683">
            <v>75406</v>
          </cell>
          <cell r="W683">
            <v>43828</v>
          </cell>
          <cell r="X683" t="str">
            <v>Lokasi Produksi 559C1 ( pecahan 559C )</v>
          </cell>
          <cell r="Z683">
            <v>8</v>
          </cell>
          <cell r="AA683">
            <v>45935</v>
          </cell>
          <cell r="AB683">
            <v>69.597336111110053</v>
          </cell>
          <cell r="AC683">
            <v>2.3199112037036684</v>
          </cell>
          <cell r="AD683">
            <v>-11.680088796296332</v>
          </cell>
          <cell r="AE683">
            <v>21.83</v>
          </cell>
          <cell r="AF683">
            <v>0</v>
          </cell>
          <cell r="AG683">
            <v>-1372.3666666666666</v>
          </cell>
          <cell r="AM683" t="str">
            <v>OK</v>
          </cell>
          <cell r="AO683">
            <v>10.111851774691361</v>
          </cell>
          <cell r="AP683">
            <v>2.1118517746913614</v>
          </cell>
          <cell r="AQ683">
            <v>45955</v>
          </cell>
          <cell r="AR683">
            <v>8.8000000000000007</v>
          </cell>
          <cell r="AS683">
            <v>1.3118517746913607</v>
          </cell>
          <cell r="AT683">
            <v>45935</v>
          </cell>
          <cell r="AU683">
            <v>1.3118517746913607</v>
          </cell>
          <cell r="AV683">
            <v>264</v>
          </cell>
          <cell r="AW683">
            <v>1.3118517746913607</v>
          </cell>
          <cell r="AY683">
            <v>308.46369178241002</v>
          </cell>
          <cell r="AZ683" t="str">
            <v>F18</v>
          </cell>
          <cell r="BA683">
            <v>8.6</v>
          </cell>
          <cell r="BB683" t="str">
            <v>NSSC</v>
          </cell>
          <cell r="BC683" t="str">
            <v>F18</v>
          </cell>
        </row>
        <row r="684">
          <cell r="A684" t="str">
            <v>559C2</v>
          </cell>
          <cell r="B684" t="str">
            <v>3</v>
          </cell>
          <cell r="C684" t="str">
            <v>06</v>
          </cell>
          <cell r="D684">
            <v>22</v>
          </cell>
          <cell r="E684" t="str">
            <v>559C2</v>
          </cell>
          <cell r="F684">
            <v>6.52</v>
          </cell>
          <cell r="G684">
            <v>5.1100000000000003</v>
          </cell>
          <cell r="H684">
            <v>5.1100000000000003</v>
          </cell>
          <cell r="I684" t="str">
            <v>SC</v>
          </cell>
          <cell r="J684" t="str">
            <v>FC</v>
          </cell>
          <cell r="K684">
            <v>8</v>
          </cell>
          <cell r="L684">
            <v>45691</v>
          </cell>
          <cell r="M684">
            <v>45691</v>
          </cell>
          <cell r="N684">
            <v>303</v>
          </cell>
          <cell r="O684" t="str">
            <v>NS</v>
          </cell>
          <cell r="P684" t="str">
            <v/>
          </cell>
          <cell r="Q684">
            <v>45935</v>
          </cell>
          <cell r="R684" t="str">
            <v/>
          </cell>
          <cell r="S684" t="str">
            <v/>
          </cell>
          <cell r="T684">
            <v>45955</v>
          </cell>
          <cell r="U684">
            <v>70910</v>
          </cell>
          <cell r="V684">
            <v>72621</v>
          </cell>
          <cell r="W684">
            <v>45655</v>
          </cell>
          <cell r="X684" t="str">
            <v>Lokasi Produksi 559C2 ( pecahan 559C )</v>
          </cell>
          <cell r="Z684">
            <v>8</v>
          </cell>
          <cell r="AA684">
            <v>45935</v>
          </cell>
          <cell r="AB684">
            <v>46.597336111110053</v>
          </cell>
          <cell r="AC684">
            <v>1.5532445370370018</v>
          </cell>
          <cell r="AD684">
            <v>-20</v>
          </cell>
          <cell r="AE684">
            <v>7.89</v>
          </cell>
          <cell r="AF684">
            <v>0</v>
          </cell>
          <cell r="AG684">
            <v>-1373.1333333333334</v>
          </cell>
          <cell r="AM684" t="str">
            <v>OK</v>
          </cell>
          <cell r="AO684">
            <v>10.111851774691361</v>
          </cell>
          <cell r="AP684">
            <v>2.1118517746913614</v>
          </cell>
          <cell r="AQ684">
            <v>45955</v>
          </cell>
          <cell r="AR684">
            <v>8.8000000000000007</v>
          </cell>
          <cell r="AS684">
            <v>1.3118517746913607</v>
          </cell>
          <cell r="AT684">
            <v>45935</v>
          </cell>
          <cell r="AU684">
            <v>1.3118517746913607</v>
          </cell>
          <cell r="AV684">
            <v>264</v>
          </cell>
          <cell r="AW684">
            <v>1.3118517746913607</v>
          </cell>
          <cell r="AY684">
            <v>308.46369178241002</v>
          </cell>
          <cell r="AZ684" t="str">
            <v>F18</v>
          </cell>
          <cell r="BA684">
            <v>5.1100000000000003</v>
          </cell>
          <cell r="BB684" t="str">
            <v>NSSC</v>
          </cell>
          <cell r="BC684" t="str">
            <v>F18</v>
          </cell>
        </row>
        <row r="685">
          <cell r="A685" t="str">
            <v>559CS</v>
          </cell>
          <cell r="B685" t="str">
            <v>3</v>
          </cell>
          <cell r="C685" t="str">
            <v>06</v>
          </cell>
          <cell r="D685">
            <v>22</v>
          </cell>
          <cell r="E685" t="str">
            <v>559CS</v>
          </cell>
          <cell r="F685">
            <v>0.21</v>
          </cell>
          <cell r="G685">
            <v>0.21</v>
          </cell>
          <cell r="H685">
            <v>0.21</v>
          </cell>
          <cell r="I685" t="str">
            <v>FC</v>
          </cell>
          <cell r="J685" t="str">
            <v>ST</v>
          </cell>
          <cell r="K685">
            <v>0</v>
          </cell>
          <cell r="L685">
            <v>45430</v>
          </cell>
          <cell r="M685">
            <v>45430</v>
          </cell>
          <cell r="N685">
            <v>564</v>
          </cell>
          <cell r="O685" t="str">
            <v>SK</v>
          </cell>
          <cell r="P685" t="str">
            <v/>
          </cell>
          <cell r="Q685">
            <v>45430</v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>
            <v>43161</v>
          </cell>
          <cell r="X685" t="str">
            <v>Lokasi Produksi 559CS ( singkong )</v>
          </cell>
          <cell r="Z685">
            <v>0</v>
          </cell>
          <cell r="AA685">
            <v>45430</v>
          </cell>
          <cell r="AB685">
            <v>8.597336111110053</v>
          </cell>
          <cell r="AC685">
            <v>0.28657787037033511</v>
          </cell>
          <cell r="AD685">
            <v>-20</v>
          </cell>
          <cell r="AE685">
            <v>25.08</v>
          </cell>
          <cell r="AF685">
            <v>0</v>
          </cell>
          <cell r="AG685">
            <v>-1374.4</v>
          </cell>
          <cell r="AM685" t="str">
            <v>OK</v>
          </cell>
          <cell r="AO685">
            <v>18.811851774691362</v>
          </cell>
          <cell r="AP685">
            <v>18.811851774691362</v>
          </cell>
          <cell r="AQ685">
            <v>0</v>
          </cell>
          <cell r="AR685">
            <v>18.811851774691362</v>
          </cell>
          <cell r="AS685">
            <v>0</v>
          </cell>
          <cell r="AT685">
            <v>45430</v>
          </cell>
          <cell r="AU685">
            <v>18.811851774691362</v>
          </cell>
          <cell r="AV685">
            <v>564.35555324074085</v>
          </cell>
          <cell r="AW685">
            <v>18.811851774691362</v>
          </cell>
          <cell r="AY685">
            <v>569.46369178241002</v>
          </cell>
          <cell r="AZ685" t="str">
            <v>F18</v>
          </cell>
          <cell r="BA685">
            <v>0</v>
          </cell>
          <cell r="BB685" t="str">
            <v>SKFC</v>
          </cell>
          <cell r="BC685" t="str">
            <v>F18</v>
          </cell>
        </row>
        <row r="686">
          <cell r="A686" t="str">
            <v>559D1</v>
          </cell>
          <cell r="B686" t="str">
            <v>3</v>
          </cell>
          <cell r="C686" t="str">
            <v>06</v>
          </cell>
          <cell r="D686">
            <v>22</v>
          </cell>
          <cell r="E686" t="str">
            <v>559D1</v>
          </cell>
          <cell r="F686">
            <v>13</v>
          </cell>
          <cell r="G686">
            <v>10.11</v>
          </cell>
          <cell r="H686">
            <v>10.11</v>
          </cell>
          <cell r="I686" t="str">
            <v>BK</v>
          </cell>
          <cell r="J686" t="str">
            <v>SC</v>
          </cell>
          <cell r="K686">
            <v>0</v>
          </cell>
          <cell r="L686">
            <v>45916</v>
          </cell>
          <cell r="M686">
            <v>45916</v>
          </cell>
          <cell r="N686">
            <v>78</v>
          </cell>
          <cell r="O686" t="str">
            <v>NS</v>
          </cell>
          <cell r="P686" t="str">
            <v/>
          </cell>
          <cell r="Q686">
            <v>45916</v>
          </cell>
          <cell r="R686" t="str">
            <v/>
          </cell>
          <cell r="S686" t="str">
            <v/>
          </cell>
          <cell r="T686" t="str">
            <v/>
          </cell>
          <cell r="U686">
            <v>71218</v>
          </cell>
          <cell r="V686">
            <v>52612</v>
          </cell>
          <cell r="W686">
            <v>43466</v>
          </cell>
          <cell r="X686" t="str">
            <v>Lokasi Produksi 559D1 ( pecahan 559D )</v>
          </cell>
          <cell r="Z686">
            <v>0</v>
          </cell>
          <cell r="AA686">
            <v>45916</v>
          </cell>
          <cell r="AB686">
            <v>8.597336111110053</v>
          </cell>
          <cell r="AC686">
            <v>0.28657787037033511</v>
          </cell>
          <cell r="AD686">
            <v>-20</v>
          </cell>
          <cell r="AE686">
            <v>14.01</v>
          </cell>
          <cell r="AF686">
            <v>0</v>
          </cell>
          <cell r="AG686">
            <v>-1374.4</v>
          </cell>
          <cell r="AM686" t="str">
            <v>OK</v>
          </cell>
          <cell r="AO686">
            <v>2.6118517746913614</v>
          </cell>
          <cell r="AP686">
            <v>2.6118517746913614</v>
          </cell>
          <cell r="AQ686">
            <v>0</v>
          </cell>
          <cell r="AR686">
            <v>2.6118517746913614</v>
          </cell>
          <cell r="AS686">
            <v>0</v>
          </cell>
          <cell r="AT686">
            <v>45916</v>
          </cell>
          <cell r="AU686">
            <v>2.6118517746913614</v>
          </cell>
          <cell r="AV686">
            <v>78.355553240740846</v>
          </cell>
          <cell r="AW686">
            <v>2.6118517746913614</v>
          </cell>
          <cell r="AY686">
            <v>83.463691782410024</v>
          </cell>
          <cell r="AZ686" t="str">
            <v>F18</v>
          </cell>
          <cell r="BA686">
            <v>0</v>
          </cell>
          <cell r="BB686" t="str">
            <v>NSBK</v>
          </cell>
          <cell r="BC686" t="str">
            <v>F18</v>
          </cell>
        </row>
        <row r="687">
          <cell r="A687" t="str">
            <v>559D2</v>
          </cell>
          <cell r="B687" t="str">
            <v>3</v>
          </cell>
          <cell r="C687" t="str">
            <v>06</v>
          </cell>
          <cell r="D687">
            <v>22</v>
          </cell>
          <cell r="E687" t="str">
            <v>559D2</v>
          </cell>
          <cell r="F687">
            <v>10.34</v>
          </cell>
          <cell r="G687">
            <v>8.15</v>
          </cell>
          <cell r="H687">
            <v>8.15</v>
          </cell>
          <cell r="I687" t="str">
            <v>BK</v>
          </cell>
          <cell r="J687" t="str">
            <v>SC</v>
          </cell>
          <cell r="K687">
            <v>0</v>
          </cell>
          <cell r="L687">
            <v>45900</v>
          </cell>
          <cell r="M687">
            <v>45900</v>
          </cell>
          <cell r="N687">
            <v>94</v>
          </cell>
          <cell r="O687" t="str">
            <v>NS</v>
          </cell>
          <cell r="P687" t="str">
            <v/>
          </cell>
          <cell r="Q687">
            <v>45900</v>
          </cell>
          <cell r="R687" t="str">
            <v/>
          </cell>
          <cell r="S687" t="str">
            <v/>
          </cell>
          <cell r="T687" t="str">
            <v/>
          </cell>
          <cell r="U687">
            <v>73501</v>
          </cell>
          <cell r="V687">
            <v>52109</v>
          </cell>
          <cell r="W687">
            <v>43466</v>
          </cell>
          <cell r="X687" t="str">
            <v>Lokasi Produksi 559D2 ( pecahan 559D )</v>
          </cell>
          <cell r="Z687">
            <v>0</v>
          </cell>
          <cell r="AA687">
            <v>45900</v>
          </cell>
          <cell r="AB687">
            <v>41240.59733611111</v>
          </cell>
          <cell r="AC687">
            <v>1374.6865778703702</v>
          </cell>
          <cell r="AD687">
            <v>-20</v>
          </cell>
          <cell r="AE687">
            <v>0</v>
          </cell>
          <cell r="AF687">
            <v>0</v>
          </cell>
          <cell r="AG687">
            <v>0</v>
          </cell>
          <cell r="AM687" t="str">
            <v>OK</v>
          </cell>
          <cell r="AO687">
            <v>3.1451851080246951</v>
          </cell>
          <cell r="AP687">
            <v>3.1451851080246951</v>
          </cell>
          <cell r="AQ687">
            <v>0</v>
          </cell>
          <cell r="AR687">
            <v>3.1451851080246951</v>
          </cell>
          <cell r="AS687">
            <v>0</v>
          </cell>
          <cell r="AT687">
            <v>45900</v>
          </cell>
          <cell r="AU687">
            <v>3.1451851080246951</v>
          </cell>
          <cell r="AV687">
            <v>94.355553240740846</v>
          </cell>
          <cell r="AW687">
            <v>3.1451851080246951</v>
          </cell>
          <cell r="AY687">
            <v>99.463691782410024</v>
          </cell>
          <cell r="AZ687" t="str">
            <v>F18</v>
          </cell>
          <cell r="BA687">
            <v>0</v>
          </cell>
          <cell r="BB687" t="str">
            <v>NSBK</v>
          </cell>
          <cell r="BC687" t="str">
            <v>F18</v>
          </cell>
        </row>
        <row r="688">
          <cell r="A688" t="str">
            <v>559E1</v>
          </cell>
          <cell r="B688" t="str">
            <v>3</v>
          </cell>
          <cell r="C688" t="str">
            <v>06</v>
          </cell>
          <cell r="D688">
            <v>22</v>
          </cell>
          <cell r="E688" t="str">
            <v>559E1</v>
          </cell>
          <cell r="F688">
            <v>12.2</v>
          </cell>
          <cell r="G688">
            <v>9.5299999999999994</v>
          </cell>
          <cell r="H688">
            <v>9.5299999999999994</v>
          </cell>
          <cell r="I688" t="str">
            <v>BK</v>
          </cell>
          <cell r="J688" t="str">
            <v>SC</v>
          </cell>
          <cell r="K688">
            <v>0</v>
          </cell>
          <cell r="L688">
            <v>45917</v>
          </cell>
          <cell r="M688">
            <v>45917</v>
          </cell>
          <cell r="N688">
            <v>77</v>
          </cell>
          <cell r="O688" t="str">
            <v>NS</v>
          </cell>
          <cell r="P688" t="str">
            <v/>
          </cell>
          <cell r="Q688">
            <v>45917</v>
          </cell>
          <cell r="R688" t="str">
            <v/>
          </cell>
          <cell r="S688" t="str">
            <v/>
          </cell>
          <cell r="T688" t="str">
            <v/>
          </cell>
          <cell r="U688">
            <v>71950</v>
          </cell>
          <cell r="V688">
            <v>52587</v>
          </cell>
          <cell r="W688">
            <v>44165</v>
          </cell>
          <cell r="X688" t="str">
            <v>Lokasi Produksi 559E1 ( pecahan 559E )</v>
          </cell>
          <cell r="Z688">
            <v>0</v>
          </cell>
          <cell r="AA688">
            <v>45917</v>
          </cell>
          <cell r="AB688">
            <v>41240.59733611111</v>
          </cell>
          <cell r="AC688">
            <v>1374.6865778703702</v>
          </cell>
          <cell r="AD688">
            <v>-20</v>
          </cell>
          <cell r="AE688">
            <v>0</v>
          </cell>
          <cell r="AF688">
            <v>0</v>
          </cell>
          <cell r="AG688">
            <v>0</v>
          </cell>
          <cell r="AM688" t="str">
            <v>OK</v>
          </cell>
          <cell r="AO688">
            <v>2.5785184413580282</v>
          </cell>
          <cell r="AP688">
            <v>2.5785184413580282</v>
          </cell>
          <cell r="AQ688">
            <v>0</v>
          </cell>
          <cell r="AR688">
            <v>2.5785184413580282</v>
          </cell>
          <cell r="AS688">
            <v>0</v>
          </cell>
          <cell r="AT688">
            <v>45917</v>
          </cell>
          <cell r="AU688">
            <v>2.5785184413580282</v>
          </cell>
          <cell r="AV688">
            <v>77.355553240740846</v>
          </cell>
          <cell r="AW688">
            <v>2.5785184413580282</v>
          </cell>
          <cell r="AY688">
            <v>82.463691782410024</v>
          </cell>
          <cell r="AZ688" t="str">
            <v>F18</v>
          </cell>
          <cell r="BA688">
            <v>0</v>
          </cell>
          <cell r="BB688" t="str">
            <v>NSBK</v>
          </cell>
          <cell r="BC688" t="str">
            <v>F18</v>
          </cell>
        </row>
        <row r="689">
          <cell r="A689" t="str">
            <v>559E2</v>
          </cell>
          <cell r="B689" t="str">
            <v>3</v>
          </cell>
          <cell r="C689" t="str">
            <v>06</v>
          </cell>
          <cell r="D689">
            <v>22</v>
          </cell>
          <cell r="E689" t="str">
            <v>559E2</v>
          </cell>
          <cell r="F689">
            <v>5.44</v>
          </cell>
          <cell r="G689">
            <v>4.1900000000000004</v>
          </cell>
          <cell r="H689">
            <v>4.1900000000000004</v>
          </cell>
          <cell r="I689" t="str">
            <v>BK</v>
          </cell>
          <cell r="J689" t="str">
            <v>SC</v>
          </cell>
          <cell r="K689">
            <v>0</v>
          </cell>
          <cell r="L689">
            <v>45938</v>
          </cell>
          <cell r="M689">
            <v>45938</v>
          </cell>
          <cell r="N689">
            <v>56</v>
          </cell>
          <cell r="O689" t="str">
            <v>NS</v>
          </cell>
          <cell r="P689" t="str">
            <v/>
          </cell>
          <cell r="Q689">
            <v>45938</v>
          </cell>
          <cell r="R689" t="str">
            <v/>
          </cell>
          <cell r="S689" t="str">
            <v/>
          </cell>
          <cell r="T689" t="str">
            <v/>
          </cell>
          <cell r="U689">
            <v>70341</v>
          </cell>
          <cell r="V689">
            <v>51930</v>
          </cell>
          <cell r="W689">
            <v>44895</v>
          </cell>
          <cell r="X689" t="str">
            <v>Lokasi Produksi 559E2 ( pecahan 559E )</v>
          </cell>
          <cell r="Z689">
            <v>0</v>
          </cell>
          <cell r="AA689">
            <v>45938</v>
          </cell>
          <cell r="AB689">
            <v>41240.59733611111</v>
          </cell>
          <cell r="AC689">
            <v>1374.6865778703702</v>
          </cell>
          <cell r="AD689">
            <v>-20</v>
          </cell>
          <cell r="AE689">
            <v>0</v>
          </cell>
          <cell r="AF689">
            <v>0</v>
          </cell>
          <cell r="AG689">
            <v>0</v>
          </cell>
          <cell r="AM689" t="str">
            <v>OK</v>
          </cell>
          <cell r="AO689">
            <v>1.8785184413580283</v>
          </cell>
          <cell r="AP689">
            <v>1.8785184413580283</v>
          </cell>
          <cell r="AQ689">
            <v>0</v>
          </cell>
          <cell r="AR689">
            <v>1.8785184413580283</v>
          </cell>
          <cell r="AS689">
            <v>0</v>
          </cell>
          <cell r="AT689">
            <v>45938</v>
          </cell>
          <cell r="AU689">
            <v>1.8785184413580283</v>
          </cell>
          <cell r="AV689">
            <v>56.355553240740846</v>
          </cell>
          <cell r="AW689">
            <v>1.8785184413580283</v>
          </cell>
          <cell r="AY689">
            <v>61.463691782410024</v>
          </cell>
          <cell r="AZ689" t="str">
            <v>F18</v>
          </cell>
          <cell r="BA689">
            <v>0</v>
          </cell>
          <cell r="BB689" t="str">
            <v>NSBK</v>
          </cell>
          <cell r="BC689" t="str">
            <v>F18</v>
          </cell>
        </row>
        <row r="690">
          <cell r="A690" t="str">
            <v>559F</v>
          </cell>
          <cell r="B690" t="str">
            <v>3</v>
          </cell>
          <cell r="C690" t="str">
            <v>06</v>
          </cell>
          <cell r="D690">
            <v>22</v>
          </cell>
          <cell r="E690" t="str">
            <v>559F</v>
          </cell>
          <cell r="F690">
            <v>11.83</v>
          </cell>
          <cell r="G690">
            <v>9.3800000000000008</v>
          </cell>
          <cell r="H690">
            <v>9.3800000000000008</v>
          </cell>
          <cell r="I690" t="str">
            <v>BB</v>
          </cell>
          <cell r="J690" t="str">
            <v>FC</v>
          </cell>
          <cell r="K690">
            <v>0</v>
          </cell>
          <cell r="L690">
            <v>45800</v>
          </cell>
          <cell r="M690">
            <v>45800</v>
          </cell>
          <cell r="N690">
            <v>194</v>
          </cell>
          <cell r="O690" t="str">
            <v>NS</v>
          </cell>
          <cell r="P690" t="str">
            <v/>
          </cell>
          <cell r="Q690">
            <v>45800</v>
          </cell>
          <cell r="R690" t="str">
            <v/>
          </cell>
          <cell r="S690" t="str">
            <v/>
          </cell>
          <cell r="T690" t="str">
            <v/>
          </cell>
          <cell r="U690">
            <v>66031</v>
          </cell>
          <cell r="V690">
            <v>71340</v>
          </cell>
          <cell r="W690">
            <v>43517</v>
          </cell>
          <cell r="X690" t="str">
            <v>Lokasi Produksi 559F</v>
          </cell>
          <cell r="Z690">
            <v>0</v>
          </cell>
          <cell r="AA690">
            <v>45800</v>
          </cell>
          <cell r="AB690">
            <v>41240.59733611111</v>
          </cell>
          <cell r="AC690">
            <v>1374.6865778703702</v>
          </cell>
          <cell r="AD690">
            <v>-20</v>
          </cell>
          <cell r="AE690">
            <v>0</v>
          </cell>
          <cell r="AF690">
            <v>0</v>
          </cell>
          <cell r="AG690">
            <v>0</v>
          </cell>
          <cell r="AM690" t="str">
            <v>OK</v>
          </cell>
          <cell r="AO690">
            <v>6.4785184413580286</v>
          </cell>
          <cell r="AP690">
            <v>6.4785184413580286</v>
          </cell>
          <cell r="AQ690">
            <v>0</v>
          </cell>
          <cell r="AR690">
            <v>6.4785184413580286</v>
          </cell>
          <cell r="AS690">
            <v>0</v>
          </cell>
          <cell r="AT690">
            <v>45800</v>
          </cell>
          <cell r="AU690">
            <v>6.4785184413580286</v>
          </cell>
          <cell r="AV690">
            <v>194.35555324074085</v>
          </cell>
          <cell r="AW690">
            <v>6.4785184413580286</v>
          </cell>
          <cell r="AY690">
            <v>199.46369178241002</v>
          </cell>
          <cell r="AZ690" t="str">
            <v>F18</v>
          </cell>
          <cell r="BA690">
            <v>0</v>
          </cell>
          <cell r="BB690" t="str">
            <v>NSBB</v>
          </cell>
          <cell r="BC690" t="str">
            <v>F18</v>
          </cell>
        </row>
        <row r="691">
          <cell r="A691" t="str">
            <v>560A</v>
          </cell>
          <cell r="B691" t="str">
            <v>3</v>
          </cell>
          <cell r="C691" t="str">
            <v>06</v>
          </cell>
          <cell r="D691">
            <v>22</v>
          </cell>
          <cell r="E691" t="str">
            <v>560A</v>
          </cell>
          <cell r="F691">
            <v>9.27</v>
          </cell>
          <cell r="G691">
            <v>7.49</v>
          </cell>
          <cell r="H691">
            <v>7.49</v>
          </cell>
          <cell r="I691" t="str">
            <v>SC</v>
          </cell>
          <cell r="J691" t="str">
            <v>FC</v>
          </cell>
          <cell r="K691">
            <v>8</v>
          </cell>
          <cell r="L691">
            <v>45856</v>
          </cell>
          <cell r="M691">
            <v>45856</v>
          </cell>
          <cell r="N691">
            <v>138</v>
          </cell>
          <cell r="O691" t="str">
            <v>NS</v>
          </cell>
          <cell r="P691" t="str">
            <v/>
          </cell>
          <cell r="Q691">
            <v>46100</v>
          </cell>
          <cell r="R691" t="str">
            <v/>
          </cell>
          <cell r="S691" t="str">
            <v/>
          </cell>
          <cell r="T691" t="str">
            <v/>
          </cell>
          <cell r="U691">
            <v>61626</v>
          </cell>
          <cell r="V691">
            <v>69014</v>
          </cell>
          <cell r="W691">
            <v>44888</v>
          </cell>
          <cell r="X691" t="str">
            <v>Lokasi Produksi 560A</v>
          </cell>
          <cell r="Z691">
            <v>8</v>
          </cell>
          <cell r="AA691">
            <v>46100</v>
          </cell>
          <cell r="AB691">
            <v>41240.59733611111</v>
          </cell>
          <cell r="AC691">
            <v>1374.6865778703702</v>
          </cell>
          <cell r="AD691">
            <v>-20</v>
          </cell>
          <cell r="AE691">
            <v>0</v>
          </cell>
          <cell r="AF691">
            <v>0</v>
          </cell>
          <cell r="AG691">
            <v>0</v>
          </cell>
          <cell r="AM691" t="str">
            <v>OK</v>
          </cell>
          <cell r="AO691">
            <v>4.6118517746913614</v>
          </cell>
          <cell r="AP691">
            <v>-3.3881482253086386</v>
          </cell>
          <cell r="AQ691">
            <v>0</v>
          </cell>
          <cell r="AR691">
            <v>4.6118517746913614</v>
          </cell>
          <cell r="AS691">
            <v>0</v>
          </cell>
          <cell r="AT691">
            <v>46100</v>
          </cell>
          <cell r="AU691">
            <v>-3.3881482253086386</v>
          </cell>
          <cell r="AV691">
            <v>138.35555324074085</v>
          </cell>
          <cell r="AW691">
            <v>-3.3881482253086386</v>
          </cell>
          <cell r="AY691">
            <v>143.46369178241002</v>
          </cell>
          <cell r="AZ691" t="str">
            <v>F18</v>
          </cell>
          <cell r="BA691">
            <v>7.49</v>
          </cell>
          <cell r="BB691" t="str">
            <v>NSSC</v>
          </cell>
          <cell r="BC691" t="str">
            <v>F18</v>
          </cell>
        </row>
        <row r="692">
          <cell r="A692" t="str">
            <v>560B</v>
          </cell>
          <cell r="B692" t="str">
            <v>3</v>
          </cell>
          <cell r="C692" t="str">
            <v>06</v>
          </cell>
          <cell r="D692">
            <v>22</v>
          </cell>
          <cell r="E692" t="str">
            <v>560B</v>
          </cell>
          <cell r="F692">
            <v>12.07</v>
          </cell>
          <cell r="G692">
            <v>9.73</v>
          </cell>
          <cell r="H692">
            <v>9.73</v>
          </cell>
          <cell r="I692" t="str">
            <v>SC</v>
          </cell>
          <cell r="J692" t="str">
            <v>FC</v>
          </cell>
          <cell r="K692">
            <v>8</v>
          </cell>
          <cell r="L692">
            <v>45810</v>
          </cell>
          <cell r="M692">
            <v>45810</v>
          </cell>
          <cell r="N692">
            <v>184</v>
          </cell>
          <cell r="O692" t="str">
            <v>NS</v>
          </cell>
          <cell r="P692" t="str">
            <v/>
          </cell>
          <cell r="Q692">
            <v>46054</v>
          </cell>
          <cell r="R692" t="str">
            <v/>
          </cell>
          <cell r="S692" t="str">
            <v/>
          </cell>
          <cell r="T692" t="str">
            <v/>
          </cell>
          <cell r="U692">
            <v>69784</v>
          </cell>
          <cell r="V692">
            <v>70798</v>
          </cell>
          <cell r="W692" t="str">
            <v/>
          </cell>
          <cell r="X692" t="str">
            <v>Lokasi Produksi 560B</v>
          </cell>
          <cell r="Z692">
            <v>8</v>
          </cell>
          <cell r="AA692">
            <v>46054</v>
          </cell>
          <cell r="AB692">
            <v>41240.59733611111</v>
          </cell>
          <cell r="AC692">
            <v>1374.6865778703702</v>
          </cell>
          <cell r="AD692">
            <v>-20</v>
          </cell>
          <cell r="AE692">
            <v>0</v>
          </cell>
          <cell r="AF692">
            <v>0</v>
          </cell>
          <cell r="AG692">
            <v>0</v>
          </cell>
          <cell r="AM692" t="str">
            <v>OK</v>
          </cell>
          <cell r="AO692">
            <v>6.1451851080246946</v>
          </cell>
          <cell r="AP692">
            <v>-1.8548148919753054</v>
          </cell>
          <cell r="AQ692">
            <v>0</v>
          </cell>
          <cell r="AR692">
            <v>6.1451851080246946</v>
          </cell>
          <cell r="AS692">
            <v>0</v>
          </cell>
          <cell r="AT692">
            <v>46054</v>
          </cell>
          <cell r="AU692">
            <v>-1.8548148919753054</v>
          </cell>
          <cell r="AV692">
            <v>184.35555324074085</v>
          </cell>
          <cell r="AW692">
            <v>-1.8548148919753054</v>
          </cell>
          <cell r="AY692">
            <v>189.46369178241002</v>
          </cell>
          <cell r="AZ692" t="str">
            <v>F18</v>
          </cell>
          <cell r="BA692">
            <v>9.73</v>
          </cell>
          <cell r="BB692" t="str">
            <v>NSSC</v>
          </cell>
          <cell r="BC692" t="str">
            <v>F18</v>
          </cell>
        </row>
        <row r="693">
          <cell r="A693" t="str">
            <v>560C1</v>
          </cell>
          <cell r="B693" t="str">
            <v>3</v>
          </cell>
          <cell r="C693" t="str">
            <v>06</v>
          </cell>
          <cell r="D693">
            <v>22</v>
          </cell>
          <cell r="E693" t="str">
            <v>560C1</v>
          </cell>
          <cell r="F693">
            <v>9.11</v>
          </cell>
          <cell r="G693">
            <v>7.23</v>
          </cell>
          <cell r="H693">
            <v>7.23</v>
          </cell>
          <cell r="I693" t="str">
            <v>SC</v>
          </cell>
          <cell r="J693" t="str">
            <v>FC</v>
          </cell>
          <cell r="K693">
            <v>8</v>
          </cell>
          <cell r="L693">
            <v>45821</v>
          </cell>
          <cell r="M693">
            <v>45821</v>
          </cell>
          <cell r="N693">
            <v>173</v>
          </cell>
          <cell r="O693" t="str">
            <v>NS</v>
          </cell>
          <cell r="P693" t="str">
            <v/>
          </cell>
          <cell r="Q693">
            <v>46065</v>
          </cell>
          <cell r="R693" t="str">
            <v/>
          </cell>
          <cell r="S693" t="str">
            <v/>
          </cell>
          <cell r="T693" t="str">
            <v/>
          </cell>
          <cell r="U693">
            <v>69674</v>
          </cell>
          <cell r="V693">
            <v>70501</v>
          </cell>
          <cell r="W693">
            <v>45386</v>
          </cell>
          <cell r="X693" t="str">
            <v>Lokasi Produksi 560C1</v>
          </cell>
          <cell r="Z693">
            <v>8</v>
          </cell>
          <cell r="AA693">
            <v>46065</v>
          </cell>
          <cell r="AB693">
            <v>41240.59733611111</v>
          </cell>
          <cell r="AC693">
            <v>1374.6865778703702</v>
          </cell>
          <cell r="AD693">
            <v>-20</v>
          </cell>
          <cell r="AE693">
            <v>0</v>
          </cell>
          <cell r="AF693">
            <v>0</v>
          </cell>
          <cell r="AG693">
            <v>0</v>
          </cell>
          <cell r="AM693" t="str">
            <v>OK</v>
          </cell>
          <cell r="AO693">
            <v>5.7785184413580284</v>
          </cell>
          <cell r="AP693">
            <v>-2.2214815586419716</v>
          </cell>
          <cell r="AQ693">
            <v>0</v>
          </cell>
          <cell r="AR693">
            <v>5.7785184413580284</v>
          </cell>
          <cell r="AS693">
            <v>0</v>
          </cell>
          <cell r="AT693">
            <v>46065</v>
          </cell>
          <cell r="AU693">
            <v>-2.2214815586419716</v>
          </cell>
          <cell r="AV693">
            <v>173.35555324074085</v>
          </cell>
          <cell r="AW693">
            <v>-2.2214815586419716</v>
          </cell>
          <cell r="AY693">
            <v>178.46369178241002</v>
          </cell>
          <cell r="AZ693" t="str">
            <v>F18</v>
          </cell>
          <cell r="BA693">
            <v>7.23</v>
          </cell>
          <cell r="BB693" t="str">
            <v>NSSC</v>
          </cell>
          <cell r="BC693" t="str">
            <v>F18</v>
          </cell>
        </row>
        <row r="694">
          <cell r="A694" t="str">
            <v>560C2</v>
          </cell>
          <cell r="B694" t="str">
            <v>3</v>
          </cell>
          <cell r="C694" t="str">
            <v>06</v>
          </cell>
          <cell r="D694">
            <v>22</v>
          </cell>
          <cell r="E694" t="str">
            <v>560C2</v>
          </cell>
          <cell r="F694">
            <v>9.67</v>
          </cell>
          <cell r="G694">
            <v>7.72</v>
          </cell>
          <cell r="H694">
            <v>7.72</v>
          </cell>
          <cell r="I694" t="str">
            <v>SC</v>
          </cell>
          <cell r="J694" t="str">
            <v>FC</v>
          </cell>
          <cell r="K694">
            <v>8</v>
          </cell>
          <cell r="L694">
            <v>45849</v>
          </cell>
          <cell r="M694">
            <v>45849</v>
          </cell>
          <cell r="N694">
            <v>145</v>
          </cell>
          <cell r="O694" t="str">
            <v>NS</v>
          </cell>
          <cell r="P694" t="str">
            <v/>
          </cell>
          <cell r="Q694">
            <v>46093</v>
          </cell>
          <cell r="R694" t="str">
            <v/>
          </cell>
          <cell r="S694" t="str">
            <v/>
          </cell>
          <cell r="T694" t="str">
            <v/>
          </cell>
          <cell r="U694">
            <v>69303</v>
          </cell>
          <cell r="V694">
            <v>70529</v>
          </cell>
          <cell r="W694">
            <v>45580</v>
          </cell>
          <cell r="X694" t="str">
            <v>Lokasi Produksi 560C2</v>
          </cell>
          <cell r="Z694">
            <v>8</v>
          </cell>
          <cell r="AA694">
            <v>46093</v>
          </cell>
          <cell r="AB694">
            <v>41240.59733611111</v>
          </cell>
          <cell r="AC694">
            <v>1374.6865778703702</v>
          </cell>
          <cell r="AD694">
            <v>-20</v>
          </cell>
          <cell r="AE694">
            <v>0</v>
          </cell>
          <cell r="AF694">
            <v>0</v>
          </cell>
          <cell r="AG694">
            <v>0</v>
          </cell>
          <cell r="AM694" t="str">
            <v>OK</v>
          </cell>
          <cell r="AO694">
            <v>4.8451851080246948</v>
          </cell>
          <cell r="AP694">
            <v>-3.1548148919753052</v>
          </cell>
          <cell r="AQ694">
            <v>0</v>
          </cell>
          <cell r="AR694">
            <v>4.8451851080246948</v>
          </cell>
          <cell r="AS694">
            <v>0</v>
          </cell>
          <cell r="AT694">
            <v>46093</v>
          </cell>
          <cell r="AU694">
            <v>-3.1548148919753052</v>
          </cell>
          <cell r="AV694">
            <v>145.35555324074085</v>
          </cell>
          <cell r="AW694">
            <v>-3.1548148919753052</v>
          </cell>
          <cell r="AY694">
            <v>150.46369178241002</v>
          </cell>
          <cell r="AZ694" t="str">
            <v>F18</v>
          </cell>
          <cell r="BA694">
            <v>7.72</v>
          </cell>
          <cell r="BB694" t="str">
            <v>NSSC</v>
          </cell>
          <cell r="BC694" t="str">
            <v>F18</v>
          </cell>
        </row>
        <row r="695">
          <cell r="A695" t="str">
            <v>560D1</v>
          </cell>
          <cell r="B695" t="str">
            <v>3</v>
          </cell>
          <cell r="C695" t="str">
            <v>06</v>
          </cell>
          <cell r="D695">
            <v>22</v>
          </cell>
          <cell r="E695" t="str">
            <v>560D1</v>
          </cell>
          <cell r="F695">
            <v>8.9700000000000006</v>
          </cell>
          <cell r="G695">
            <v>7.47</v>
          </cell>
          <cell r="H695">
            <v>7.47</v>
          </cell>
          <cell r="I695" t="str">
            <v>SC</v>
          </cell>
          <cell r="J695" t="str">
            <v>FC</v>
          </cell>
          <cell r="K695">
            <v>8</v>
          </cell>
          <cell r="L695">
            <v>45909</v>
          </cell>
          <cell r="M695">
            <v>45909</v>
          </cell>
          <cell r="N695">
            <v>85</v>
          </cell>
          <cell r="O695" t="str">
            <v>NS</v>
          </cell>
          <cell r="P695" t="str">
            <v/>
          </cell>
          <cell r="Q695">
            <v>46153</v>
          </cell>
          <cell r="R695" t="str">
            <v/>
          </cell>
          <cell r="S695" t="str">
            <v/>
          </cell>
          <cell r="T695" t="str">
            <v/>
          </cell>
          <cell r="U695">
            <v>63590</v>
          </cell>
          <cell r="V695">
            <v>67325</v>
          </cell>
          <cell r="W695">
            <v>45270</v>
          </cell>
          <cell r="X695" t="str">
            <v>Lokasi Produksi 560D1 ( pecahan 560D )</v>
          </cell>
          <cell r="Z695">
            <v>8</v>
          </cell>
          <cell r="AA695">
            <v>46153</v>
          </cell>
          <cell r="AB695">
            <v>41240.59733611111</v>
          </cell>
          <cell r="AC695">
            <v>1374.6865778703702</v>
          </cell>
          <cell r="AD695">
            <v>-20</v>
          </cell>
          <cell r="AE695">
            <v>0</v>
          </cell>
          <cell r="AF695">
            <v>0</v>
          </cell>
          <cell r="AG695">
            <v>0</v>
          </cell>
          <cell r="AK695">
            <v>40355</v>
          </cell>
          <cell r="AM695" t="str">
            <v>OK</v>
          </cell>
          <cell r="AO695">
            <v>2.8451851080246948</v>
          </cell>
          <cell r="AP695">
            <v>-5.1548148919753052</v>
          </cell>
          <cell r="AQ695">
            <v>0</v>
          </cell>
          <cell r="AR695">
            <v>2.8451851080246948</v>
          </cell>
          <cell r="AS695">
            <v>0</v>
          </cell>
          <cell r="AT695">
            <v>46153</v>
          </cell>
          <cell r="AU695">
            <v>-5.1548148919753052</v>
          </cell>
          <cell r="AV695">
            <v>85.355553240740846</v>
          </cell>
          <cell r="AW695">
            <v>-5.1548148919753052</v>
          </cell>
          <cell r="AY695">
            <v>90.463691782410024</v>
          </cell>
          <cell r="AZ695" t="str">
            <v>F18</v>
          </cell>
          <cell r="BA695">
            <v>7.47</v>
          </cell>
          <cell r="BB695" t="str">
            <v>NSSC</v>
          </cell>
          <cell r="BC695" t="str">
            <v>F18</v>
          </cell>
        </row>
        <row r="696">
          <cell r="A696" t="str">
            <v>560D2</v>
          </cell>
          <cell r="B696" t="str">
            <v>3</v>
          </cell>
          <cell r="C696" t="str">
            <v>06</v>
          </cell>
          <cell r="D696">
            <v>22</v>
          </cell>
          <cell r="E696" t="str">
            <v>560D2</v>
          </cell>
          <cell r="F696">
            <v>7.52</v>
          </cell>
          <cell r="G696">
            <v>6.2</v>
          </cell>
          <cell r="H696">
            <v>6.2</v>
          </cell>
          <cell r="I696" t="str">
            <v>FC</v>
          </cell>
          <cell r="J696" t="str">
            <v>ST</v>
          </cell>
          <cell r="K696">
            <v>14</v>
          </cell>
          <cell r="L696">
            <v>45569</v>
          </cell>
          <cell r="M696">
            <v>45569</v>
          </cell>
          <cell r="N696">
            <v>425</v>
          </cell>
          <cell r="O696" t="str">
            <v>NS</v>
          </cell>
          <cell r="P696" t="str">
            <v>NSGP3CK3</v>
          </cell>
          <cell r="Q696">
            <v>45996</v>
          </cell>
          <cell r="R696" t="str">
            <v/>
          </cell>
          <cell r="S696" t="str">
            <v/>
          </cell>
          <cell r="T696">
            <v>45983</v>
          </cell>
          <cell r="U696">
            <v>62768</v>
          </cell>
          <cell r="V696">
            <v>65130</v>
          </cell>
          <cell r="W696" t="str">
            <v/>
          </cell>
          <cell r="X696" t="str">
            <v>Lokasi Produksi 560D2 ( pecahan 560D )</v>
          </cell>
          <cell r="Z696">
            <v>14</v>
          </cell>
          <cell r="AA696">
            <v>45996</v>
          </cell>
          <cell r="AB696">
            <v>41240.59733611111</v>
          </cell>
          <cell r="AC696">
            <v>1374.6865778703702</v>
          </cell>
          <cell r="AD696">
            <v>-20</v>
          </cell>
          <cell r="AE696">
            <v>0</v>
          </cell>
          <cell r="AF696">
            <v>0</v>
          </cell>
          <cell r="AG696">
            <v>0</v>
          </cell>
          <cell r="AK696">
            <v>40390</v>
          </cell>
          <cell r="AM696" t="str">
            <v>OK</v>
          </cell>
          <cell r="AO696">
            <v>14.178518441358028</v>
          </cell>
          <cell r="AP696">
            <v>0.17851844135802786</v>
          </cell>
          <cell r="AQ696">
            <v>45983</v>
          </cell>
          <cell r="AR696">
            <v>13.8</v>
          </cell>
          <cell r="AS696">
            <v>0.37851844135802715</v>
          </cell>
          <cell r="AT696">
            <v>45996</v>
          </cell>
          <cell r="AU696">
            <v>0.37851844135802715</v>
          </cell>
          <cell r="AV696">
            <v>414</v>
          </cell>
          <cell r="AW696">
            <v>0.37851844135802715</v>
          </cell>
          <cell r="AY696">
            <v>430.46369178241002</v>
          </cell>
          <cell r="AZ696" t="str">
            <v>GP3</v>
          </cell>
          <cell r="BA696">
            <v>6.2</v>
          </cell>
          <cell r="BB696" t="str">
            <v>NSFC</v>
          </cell>
          <cell r="BC696" t="str">
            <v>GP3CK</v>
          </cell>
        </row>
        <row r="697">
          <cell r="A697" t="str">
            <v>560D3</v>
          </cell>
          <cell r="B697" t="str">
            <v>3</v>
          </cell>
          <cell r="C697" t="str">
            <v>06</v>
          </cell>
          <cell r="D697">
            <v>22</v>
          </cell>
          <cell r="E697" t="str">
            <v>560D3</v>
          </cell>
          <cell r="F697">
            <v>6.92</v>
          </cell>
          <cell r="G697">
            <v>5.76</v>
          </cell>
          <cell r="H697">
            <v>5.76</v>
          </cell>
          <cell r="I697" t="str">
            <v>FC</v>
          </cell>
          <cell r="J697" t="str">
            <v>ST</v>
          </cell>
          <cell r="K697">
            <v>14</v>
          </cell>
          <cell r="L697">
            <v>45585</v>
          </cell>
          <cell r="M697">
            <v>45585</v>
          </cell>
          <cell r="N697">
            <v>409</v>
          </cell>
          <cell r="O697" t="str">
            <v>NS</v>
          </cell>
          <cell r="P697" t="str">
            <v>NSGP3CK3</v>
          </cell>
          <cell r="Q697">
            <v>46012</v>
          </cell>
          <cell r="R697" t="str">
            <v/>
          </cell>
          <cell r="S697" t="str">
            <v/>
          </cell>
          <cell r="T697">
            <v>45992</v>
          </cell>
          <cell r="U697">
            <v>64589</v>
          </cell>
          <cell r="V697">
            <v>64863</v>
          </cell>
          <cell r="W697" t="str">
            <v/>
          </cell>
          <cell r="X697" t="str">
            <v>Lokasi Produksi 560D3 ( pecahan 560D )</v>
          </cell>
          <cell r="Z697">
            <v>14</v>
          </cell>
          <cell r="AA697">
            <v>46012</v>
          </cell>
          <cell r="AB697">
            <v>41240.59733611111</v>
          </cell>
          <cell r="AC697">
            <v>1374.6865778703702</v>
          </cell>
          <cell r="AD697">
            <v>-20</v>
          </cell>
          <cell r="AE697">
            <v>0</v>
          </cell>
          <cell r="AF697">
            <v>0</v>
          </cell>
          <cell r="AG697">
            <v>0</v>
          </cell>
          <cell r="AM697" t="str">
            <v>OK</v>
          </cell>
          <cell r="AO697">
            <v>13.645185108024695</v>
          </cell>
          <cell r="AP697">
            <v>-0.35481489197530536</v>
          </cell>
          <cell r="AQ697">
            <v>45992</v>
          </cell>
          <cell r="AR697">
            <v>13.566666666666666</v>
          </cell>
          <cell r="AS697">
            <v>7.8518441358028213E-2</v>
          </cell>
          <cell r="AT697">
            <v>46012</v>
          </cell>
          <cell r="AU697">
            <v>7.8518441358028213E-2</v>
          </cell>
          <cell r="AV697">
            <v>407</v>
          </cell>
          <cell r="AW697">
            <v>7.8518441358028213E-2</v>
          </cell>
          <cell r="AY697">
            <v>414.46369178241002</v>
          </cell>
          <cell r="AZ697" t="str">
            <v>GP3</v>
          </cell>
          <cell r="BA697">
            <v>5.76</v>
          </cell>
          <cell r="BB697" t="str">
            <v>NSFC</v>
          </cell>
          <cell r="BC697" t="str">
            <v>GP3CK</v>
          </cell>
        </row>
        <row r="698">
          <cell r="A698" t="str">
            <v>560E</v>
          </cell>
          <cell r="B698" t="str">
            <v>3</v>
          </cell>
          <cell r="C698" t="str">
            <v>06</v>
          </cell>
          <cell r="D698">
            <v>22</v>
          </cell>
          <cell r="E698" t="str">
            <v>560E</v>
          </cell>
          <cell r="F698">
            <v>10.54</v>
          </cell>
          <cell r="G698">
            <v>7.95</v>
          </cell>
          <cell r="H698">
            <v>7.95</v>
          </cell>
          <cell r="I698" t="str">
            <v>BK</v>
          </cell>
          <cell r="J698" t="str">
            <v>SC</v>
          </cell>
          <cell r="K698">
            <v>0</v>
          </cell>
          <cell r="L698">
            <v>45905</v>
          </cell>
          <cell r="M698">
            <v>45905</v>
          </cell>
          <cell r="N698">
            <v>89</v>
          </cell>
          <cell r="O698" t="str">
            <v>NS</v>
          </cell>
          <cell r="P698" t="str">
            <v/>
          </cell>
          <cell r="Q698">
            <v>45905</v>
          </cell>
          <cell r="R698" t="str">
            <v/>
          </cell>
          <cell r="S698" t="str">
            <v/>
          </cell>
          <cell r="T698" t="str">
            <v/>
          </cell>
          <cell r="U698">
            <v>68482</v>
          </cell>
          <cell r="V698">
            <v>52504</v>
          </cell>
          <cell r="W698">
            <v>43614</v>
          </cell>
          <cell r="X698" t="str">
            <v>Lokasi Produksi 560E</v>
          </cell>
          <cell r="Z698">
            <v>0</v>
          </cell>
          <cell r="AA698">
            <v>45905</v>
          </cell>
          <cell r="AB698">
            <v>41240.59733611111</v>
          </cell>
          <cell r="AC698">
            <v>1374.6865778703702</v>
          </cell>
          <cell r="AD698">
            <v>-20</v>
          </cell>
          <cell r="AE698">
            <v>0</v>
          </cell>
          <cell r="AF698">
            <v>0</v>
          </cell>
          <cell r="AG698">
            <v>0</v>
          </cell>
          <cell r="AM698" t="str">
            <v>OK</v>
          </cell>
          <cell r="AO698">
            <v>2.9785184413580281</v>
          </cell>
          <cell r="AP698">
            <v>2.9785184413580281</v>
          </cell>
          <cell r="AQ698">
            <v>0</v>
          </cell>
          <cell r="AR698">
            <v>2.9785184413580281</v>
          </cell>
          <cell r="AS698">
            <v>0</v>
          </cell>
          <cell r="AT698">
            <v>45905</v>
          </cell>
          <cell r="AU698">
            <v>2.9785184413580281</v>
          </cell>
          <cell r="AV698">
            <v>89.355553240740846</v>
          </cell>
          <cell r="AW698">
            <v>2.9785184413580281</v>
          </cell>
          <cell r="AY698">
            <v>94.463691782410024</v>
          </cell>
          <cell r="AZ698" t="str">
            <v>F18</v>
          </cell>
          <cell r="BA698">
            <v>0</v>
          </cell>
          <cell r="BB698" t="str">
            <v>NSBK</v>
          </cell>
          <cell r="BC698" t="str">
            <v>F18</v>
          </cell>
        </row>
        <row r="699">
          <cell r="A699" t="str">
            <v>560F1</v>
          </cell>
          <cell r="B699" t="str">
            <v>3</v>
          </cell>
          <cell r="C699" t="str">
            <v>06</v>
          </cell>
          <cell r="D699">
            <v>22</v>
          </cell>
          <cell r="E699" t="str">
            <v>560F1</v>
          </cell>
          <cell r="F699">
            <v>9.56</v>
          </cell>
          <cell r="G699">
            <v>8.09</v>
          </cell>
          <cell r="H699">
            <v>8.09</v>
          </cell>
          <cell r="I699" t="str">
            <v>FC</v>
          </cell>
          <cell r="J699" t="str">
            <v>ST</v>
          </cell>
          <cell r="K699">
            <v>14</v>
          </cell>
          <cell r="L699">
            <v>45906</v>
          </cell>
          <cell r="M699">
            <v>45906</v>
          </cell>
          <cell r="N699">
            <v>88</v>
          </cell>
          <cell r="O699" t="str">
            <v>NS</v>
          </cell>
          <cell r="P699" t="str">
            <v>NSGP3CK3</v>
          </cell>
          <cell r="Q699">
            <v>46333</v>
          </cell>
          <cell r="R699" t="str">
            <v/>
          </cell>
          <cell r="S699" t="str">
            <v/>
          </cell>
          <cell r="T699" t="str">
            <v/>
          </cell>
          <cell r="U699">
            <v>68305</v>
          </cell>
          <cell r="V699">
            <v>52180</v>
          </cell>
          <cell r="W699" t="str">
            <v/>
          </cell>
          <cell r="X699" t="str">
            <v>Lokasi Produksi 560F1 ( pecahan 560F )</v>
          </cell>
          <cell r="Z699">
            <v>14</v>
          </cell>
          <cell r="AA699">
            <v>46333</v>
          </cell>
          <cell r="AB699">
            <v>41240.59733611111</v>
          </cell>
          <cell r="AC699">
            <v>1374.6865778703702</v>
          </cell>
          <cell r="AD699">
            <v>-20</v>
          </cell>
          <cell r="AE699">
            <v>0</v>
          </cell>
          <cell r="AF699">
            <v>0</v>
          </cell>
          <cell r="AG699">
            <v>0</v>
          </cell>
          <cell r="AK699">
            <v>40272</v>
          </cell>
          <cell r="AM699" t="str">
            <v>OK</v>
          </cell>
          <cell r="AO699">
            <v>2.9451851080246949</v>
          </cell>
          <cell r="AP699">
            <v>-11.054814891975305</v>
          </cell>
          <cell r="AQ699">
            <v>0</v>
          </cell>
          <cell r="AR699">
            <v>2.9451851080246949</v>
          </cell>
          <cell r="AS699">
            <v>0</v>
          </cell>
          <cell r="AT699">
            <v>46333</v>
          </cell>
          <cell r="AU699">
            <v>-11.054814891975305</v>
          </cell>
          <cell r="AV699">
            <v>88.355553240740846</v>
          </cell>
          <cell r="AW699">
            <v>-11.054814891975305</v>
          </cell>
          <cell r="AY699">
            <v>93.463691782410024</v>
          </cell>
          <cell r="AZ699" t="str">
            <v>GP3</v>
          </cell>
          <cell r="BA699">
            <v>8.09</v>
          </cell>
          <cell r="BB699" t="str">
            <v>NSFC</v>
          </cell>
          <cell r="BC699" t="str">
            <v>GP3CK</v>
          </cell>
        </row>
        <row r="700">
          <cell r="A700" t="str">
            <v>560F2</v>
          </cell>
          <cell r="B700" t="str">
            <v>3</v>
          </cell>
          <cell r="C700" t="str">
            <v>06</v>
          </cell>
          <cell r="D700">
            <v>22</v>
          </cell>
          <cell r="E700" t="str">
            <v>560F2</v>
          </cell>
          <cell r="F700">
            <v>12.67</v>
          </cell>
          <cell r="G700">
            <v>10</v>
          </cell>
          <cell r="H700">
            <v>10</v>
          </cell>
          <cell r="I700" t="str">
            <v>SC</v>
          </cell>
          <cell r="J700" t="str">
            <v>FC</v>
          </cell>
          <cell r="K700">
            <v>8</v>
          </cell>
          <cell r="L700">
            <v>45654</v>
          </cell>
          <cell r="M700">
            <v>45654</v>
          </cell>
          <cell r="N700">
            <v>340</v>
          </cell>
          <cell r="O700" t="str">
            <v>NS</v>
          </cell>
          <cell r="P700" t="str">
            <v/>
          </cell>
          <cell r="Q700">
            <v>45898</v>
          </cell>
          <cell r="R700" t="str">
            <v/>
          </cell>
          <cell r="S700" t="str">
            <v/>
          </cell>
          <cell r="T700">
            <v>45895</v>
          </cell>
          <cell r="U700">
            <v>71599</v>
          </cell>
          <cell r="V700">
            <v>52612</v>
          </cell>
          <cell r="W700">
            <v>44769</v>
          </cell>
          <cell r="X700" t="str">
            <v>Lokasi Produksi 560F2 ( pecahan 560F )</v>
          </cell>
          <cell r="Z700">
            <v>8</v>
          </cell>
          <cell r="AA700">
            <v>45898</v>
          </cell>
          <cell r="AB700">
            <v>41240.59733611111</v>
          </cell>
          <cell r="AC700">
            <v>1374.6865778703702</v>
          </cell>
          <cell r="AD700">
            <v>-20</v>
          </cell>
          <cell r="AE700">
            <v>0</v>
          </cell>
          <cell r="AF700">
            <v>0</v>
          </cell>
          <cell r="AG700">
            <v>0</v>
          </cell>
          <cell r="AK700">
            <v>40348</v>
          </cell>
          <cell r="AM700" t="str">
            <v>OK</v>
          </cell>
          <cell r="AO700">
            <v>11.345185108024696</v>
          </cell>
          <cell r="AP700">
            <v>3.3451851080246957</v>
          </cell>
          <cell r="AQ700">
            <v>45895</v>
          </cell>
          <cell r="AR700">
            <v>8.0333333333333332</v>
          </cell>
          <cell r="AS700">
            <v>3.3118517746913625</v>
          </cell>
          <cell r="AT700">
            <v>45898</v>
          </cell>
          <cell r="AU700">
            <v>3.3118517746913625</v>
          </cell>
          <cell r="AV700">
            <v>241</v>
          </cell>
          <cell r="AW700">
            <v>3.3118517746913625</v>
          </cell>
          <cell r="AY700">
            <v>345.46369178241002</v>
          </cell>
          <cell r="AZ700" t="str">
            <v>F18</v>
          </cell>
          <cell r="BA700">
            <v>10</v>
          </cell>
          <cell r="BB700" t="str">
            <v>NSSC</v>
          </cell>
          <cell r="BC700" t="str">
            <v>F18</v>
          </cell>
        </row>
        <row r="701">
          <cell r="A701" t="str">
            <v>561A1</v>
          </cell>
          <cell r="B701" t="str">
            <v>3</v>
          </cell>
          <cell r="C701" t="str">
            <v>06</v>
          </cell>
          <cell r="D701">
            <v>23</v>
          </cell>
          <cell r="E701" t="str">
            <v>561A1</v>
          </cell>
          <cell r="F701">
            <v>12.71</v>
          </cell>
          <cell r="G701">
            <v>10.15</v>
          </cell>
          <cell r="H701">
            <v>10.15</v>
          </cell>
          <cell r="I701" t="str">
            <v>SC</v>
          </cell>
          <cell r="J701" t="str">
            <v>FC</v>
          </cell>
          <cell r="K701">
            <v>8</v>
          </cell>
          <cell r="L701">
            <v>45843</v>
          </cell>
          <cell r="M701">
            <v>45843</v>
          </cell>
          <cell r="N701">
            <v>151</v>
          </cell>
          <cell r="O701" t="str">
            <v>NS</v>
          </cell>
          <cell r="P701" t="str">
            <v/>
          </cell>
          <cell r="Q701">
            <v>46087</v>
          </cell>
          <cell r="R701" t="str">
            <v/>
          </cell>
          <cell r="S701" t="str">
            <v/>
          </cell>
          <cell r="T701" t="str">
            <v/>
          </cell>
          <cell r="U701">
            <v>63120</v>
          </cell>
          <cell r="V701">
            <v>68947</v>
          </cell>
          <cell r="W701">
            <v>43559</v>
          </cell>
          <cell r="X701" t="str">
            <v>Lokasi Produksi 561A1 - (Pecahan 561A)</v>
          </cell>
          <cell r="Z701">
            <v>8</v>
          </cell>
          <cell r="AA701">
            <v>46087</v>
          </cell>
          <cell r="AB701">
            <v>41240.59733611111</v>
          </cell>
          <cell r="AC701">
            <v>1374.6865778703702</v>
          </cell>
          <cell r="AD701">
            <v>-20</v>
          </cell>
          <cell r="AE701">
            <v>0</v>
          </cell>
          <cell r="AF701">
            <v>0</v>
          </cell>
          <cell r="AG701">
            <v>0</v>
          </cell>
          <cell r="AM701" t="str">
            <v>OK</v>
          </cell>
          <cell r="AO701">
            <v>5.045185108024695</v>
          </cell>
          <cell r="AP701">
            <v>-2.954814891975305</v>
          </cell>
          <cell r="AQ701">
            <v>0</v>
          </cell>
          <cell r="AR701">
            <v>5.045185108024695</v>
          </cell>
          <cell r="AS701">
            <v>0</v>
          </cell>
          <cell r="AT701">
            <v>46087</v>
          </cell>
          <cell r="AU701">
            <v>-2.954814891975305</v>
          </cell>
          <cell r="AV701">
            <v>151.35555324074085</v>
          </cell>
          <cell r="AW701">
            <v>-2.954814891975305</v>
          </cell>
          <cell r="AY701">
            <v>156.46369178241002</v>
          </cell>
          <cell r="AZ701" t="str">
            <v>F18</v>
          </cell>
          <cell r="BA701">
            <v>10.15</v>
          </cell>
          <cell r="BB701" t="str">
            <v>NSSC</v>
          </cell>
          <cell r="BC701" t="str">
            <v>F18</v>
          </cell>
        </row>
        <row r="702">
          <cell r="A702" t="str">
            <v>561A2</v>
          </cell>
          <cell r="B702" t="str">
            <v>3</v>
          </cell>
          <cell r="C702" t="str">
            <v>06</v>
          </cell>
          <cell r="D702">
            <v>23</v>
          </cell>
          <cell r="E702" t="str">
            <v>561A2</v>
          </cell>
          <cell r="F702">
            <v>13.01</v>
          </cell>
          <cell r="G702">
            <v>10.43</v>
          </cell>
          <cell r="H702">
            <v>10.43</v>
          </cell>
          <cell r="I702" t="str">
            <v>SC</v>
          </cell>
          <cell r="J702" t="str">
            <v>FC</v>
          </cell>
          <cell r="K702">
            <v>8</v>
          </cell>
          <cell r="L702">
            <v>45852</v>
          </cell>
          <cell r="M702">
            <v>45852</v>
          </cell>
          <cell r="N702">
            <v>142</v>
          </cell>
          <cell r="O702" t="str">
            <v>NS</v>
          </cell>
          <cell r="P702" t="str">
            <v/>
          </cell>
          <cell r="Q702">
            <v>46096</v>
          </cell>
          <cell r="R702" t="str">
            <v/>
          </cell>
          <cell r="S702" t="str">
            <v/>
          </cell>
          <cell r="T702" t="str">
            <v/>
          </cell>
          <cell r="U702">
            <v>64432</v>
          </cell>
          <cell r="V702">
            <v>68711</v>
          </cell>
          <cell r="W702">
            <v>43559</v>
          </cell>
          <cell r="X702" t="str">
            <v>Lokasi Produksi 561A2</v>
          </cell>
          <cell r="Z702">
            <v>8</v>
          </cell>
          <cell r="AA702">
            <v>46096</v>
          </cell>
          <cell r="AB702">
            <v>41240.59733611111</v>
          </cell>
          <cell r="AC702">
            <v>1374.6865778703702</v>
          </cell>
          <cell r="AD702">
            <v>-20</v>
          </cell>
          <cell r="AE702">
            <v>0</v>
          </cell>
          <cell r="AF702">
            <v>0</v>
          </cell>
          <cell r="AG702">
            <v>0</v>
          </cell>
          <cell r="AM702" t="str">
            <v>OK</v>
          </cell>
          <cell r="AO702">
            <v>4.7451851080246952</v>
          </cell>
          <cell r="AP702">
            <v>-3.2548148919753048</v>
          </cell>
          <cell r="AQ702">
            <v>0</v>
          </cell>
          <cell r="AR702">
            <v>4.7451851080246952</v>
          </cell>
          <cell r="AS702">
            <v>0</v>
          </cell>
          <cell r="AT702">
            <v>46096</v>
          </cell>
          <cell r="AU702">
            <v>-3.2548148919753048</v>
          </cell>
          <cell r="AV702">
            <v>142.35555324074085</v>
          </cell>
          <cell r="AW702">
            <v>-3.2548148919753048</v>
          </cell>
          <cell r="AY702">
            <v>147.46369178241002</v>
          </cell>
          <cell r="AZ702" t="str">
            <v>F18</v>
          </cell>
          <cell r="BA702">
            <v>10.43</v>
          </cell>
          <cell r="BB702" t="str">
            <v>NSSC</v>
          </cell>
          <cell r="BC702" t="str">
            <v>F18</v>
          </cell>
        </row>
        <row r="703">
          <cell r="A703" t="str">
            <v>561C</v>
          </cell>
          <cell r="B703" t="str">
            <v>3</v>
          </cell>
          <cell r="C703" t="str">
            <v>06</v>
          </cell>
          <cell r="D703">
            <v>23</v>
          </cell>
          <cell r="E703" t="str">
            <v>561C</v>
          </cell>
          <cell r="F703">
            <v>16.36</v>
          </cell>
          <cell r="G703">
            <v>13.48</v>
          </cell>
          <cell r="H703">
            <v>13.48</v>
          </cell>
          <cell r="I703" t="str">
            <v>SC</v>
          </cell>
          <cell r="J703" t="str">
            <v>FC</v>
          </cell>
          <cell r="K703">
            <v>8</v>
          </cell>
          <cell r="L703">
            <v>45946</v>
          </cell>
          <cell r="M703">
            <v>45946</v>
          </cell>
          <cell r="N703">
            <v>48</v>
          </cell>
          <cell r="O703" t="str">
            <v>NS</v>
          </cell>
          <cell r="P703" t="str">
            <v/>
          </cell>
          <cell r="Q703">
            <v>46190</v>
          </cell>
          <cell r="R703" t="str">
            <v/>
          </cell>
          <cell r="S703" t="str">
            <v/>
          </cell>
          <cell r="T703" t="str">
            <v/>
          </cell>
          <cell r="U703">
            <v>63414</v>
          </cell>
          <cell r="V703">
            <v>67587</v>
          </cell>
          <cell r="W703">
            <v>43559</v>
          </cell>
          <cell r="X703" t="str">
            <v>Lokasi Produksi 561C</v>
          </cell>
          <cell r="Z703">
            <v>8</v>
          </cell>
          <cell r="AA703">
            <v>46190</v>
          </cell>
          <cell r="AB703">
            <v>41240.59733611111</v>
          </cell>
          <cell r="AC703">
            <v>1374.6865778703702</v>
          </cell>
          <cell r="AD703">
            <v>-20</v>
          </cell>
          <cell r="AE703">
            <v>0</v>
          </cell>
          <cell r="AF703">
            <v>0</v>
          </cell>
          <cell r="AG703">
            <v>0</v>
          </cell>
          <cell r="AM703" t="str">
            <v>OK</v>
          </cell>
          <cell r="AO703">
            <v>1.6118517746913616</v>
          </cell>
          <cell r="AP703">
            <v>-6.3881482253086386</v>
          </cell>
          <cell r="AQ703">
            <v>0</v>
          </cell>
          <cell r="AR703">
            <v>1.6118517746913616</v>
          </cell>
          <cell r="AS703">
            <v>0</v>
          </cell>
          <cell r="AT703">
            <v>46190</v>
          </cell>
          <cell r="AU703">
            <v>-6.3881482253086386</v>
          </cell>
          <cell r="AV703">
            <v>48.355553240740846</v>
          </cell>
          <cell r="AW703">
            <v>-6.3881482253086386</v>
          </cell>
          <cell r="AY703">
            <v>53.463691782410024</v>
          </cell>
          <cell r="AZ703" t="str">
            <v>F18</v>
          </cell>
          <cell r="BA703">
            <v>13.48</v>
          </cell>
          <cell r="BB703" t="str">
            <v>NSSC</v>
          </cell>
          <cell r="BC703" t="str">
            <v>F18</v>
          </cell>
        </row>
        <row r="704">
          <cell r="A704" t="str">
            <v>561D</v>
          </cell>
          <cell r="B704" t="str">
            <v>3</v>
          </cell>
          <cell r="C704" t="str">
            <v>06</v>
          </cell>
          <cell r="D704">
            <v>23</v>
          </cell>
          <cell r="E704" t="str">
            <v>561D</v>
          </cell>
          <cell r="F704">
            <v>7.71</v>
          </cell>
          <cell r="G704">
            <v>6.3</v>
          </cell>
          <cell r="H704">
            <v>6.3</v>
          </cell>
          <cell r="I704" t="str">
            <v>FC</v>
          </cell>
          <cell r="J704" t="str">
            <v>ST</v>
          </cell>
          <cell r="K704">
            <v>14</v>
          </cell>
          <cell r="L704">
            <v>45476</v>
          </cell>
          <cell r="M704">
            <v>45476</v>
          </cell>
          <cell r="N704">
            <v>518</v>
          </cell>
          <cell r="O704" t="str">
            <v>NS</v>
          </cell>
          <cell r="P704" t="str">
            <v>NSF18CK3</v>
          </cell>
          <cell r="Q704">
            <v>45903</v>
          </cell>
          <cell r="R704" t="str">
            <v/>
          </cell>
          <cell r="S704" t="str">
            <v/>
          </cell>
          <cell r="T704">
            <v>45849</v>
          </cell>
          <cell r="U704">
            <v>65126</v>
          </cell>
          <cell r="V704">
            <v>68267</v>
          </cell>
          <cell r="W704">
            <v>44314</v>
          </cell>
          <cell r="X704" t="str">
            <v>Lokasi Produksi 561D</v>
          </cell>
          <cell r="Z704">
            <v>14</v>
          </cell>
          <cell r="AA704">
            <v>45903</v>
          </cell>
          <cell r="AB704">
            <v>41240.59733611111</v>
          </cell>
          <cell r="AC704">
            <v>1374.6865778703702</v>
          </cell>
          <cell r="AD704">
            <v>-20</v>
          </cell>
          <cell r="AE704">
            <v>0</v>
          </cell>
          <cell r="AF704">
            <v>0</v>
          </cell>
          <cell r="AG704">
            <v>0</v>
          </cell>
          <cell r="AM704" t="str">
            <v>OK</v>
          </cell>
          <cell r="AO704">
            <v>17.278518441358028</v>
          </cell>
          <cell r="AP704">
            <v>3.2785184413580275</v>
          </cell>
          <cell r="AQ704">
            <v>45849</v>
          </cell>
          <cell r="AR704">
            <v>12.433333333333334</v>
          </cell>
          <cell r="AS704">
            <v>4.8451851080246939</v>
          </cell>
          <cell r="AT704">
            <v>45903</v>
          </cell>
          <cell r="AU704">
            <v>4.8451851080246939</v>
          </cell>
          <cell r="AV704">
            <v>373</v>
          </cell>
          <cell r="AW704">
            <v>4.8451851080246939</v>
          </cell>
          <cell r="AY704">
            <v>523.46369178241002</v>
          </cell>
          <cell r="AZ704" t="str">
            <v>F18</v>
          </cell>
          <cell r="BA704">
            <v>6.3</v>
          </cell>
          <cell r="BB704" t="str">
            <v>NSFC</v>
          </cell>
          <cell r="BC704" t="str">
            <v>F18CK</v>
          </cell>
        </row>
        <row r="705">
          <cell r="A705" t="str">
            <v>561DS</v>
          </cell>
          <cell r="B705" t="str">
            <v>3</v>
          </cell>
          <cell r="C705" t="str">
            <v>06</v>
          </cell>
          <cell r="D705">
            <v>23</v>
          </cell>
          <cell r="E705" t="str">
            <v>561DS</v>
          </cell>
          <cell r="F705">
            <v>0.38</v>
          </cell>
          <cell r="G705">
            <v>0.38</v>
          </cell>
          <cell r="H705">
            <v>0.38</v>
          </cell>
          <cell r="I705" t="str">
            <v>FC</v>
          </cell>
          <cell r="J705" t="str">
            <v>ST</v>
          </cell>
          <cell r="K705">
            <v>0</v>
          </cell>
          <cell r="L705">
            <v>45815</v>
          </cell>
          <cell r="M705">
            <v>45815</v>
          </cell>
          <cell r="N705">
            <v>179</v>
          </cell>
          <cell r="O705" t="str">
            <v>SK</v>
          </cell>
          <cell r="P705" t="str">
            <v/>
          </cell>
          <cell r="Q705">
            <v>45815</v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>Lokasi Produksi 561DS ( singkong )</v>
          </cell>
          <cell r="Z705">
            <v>0</v>
          </cell>
          <cell r="AA705">
            <v>45815</v>
          </cell>
          <cell r="AB705">
            <v>41240.59733611111</v>
          </cell>
          <cell r="AC705">
            <v>1374.6865778703702</v>
          </cell>
          <cell r="AD705">
            <v>-20</v>
          </cell>
          <cell r="AE705">
            <v>0</v>
          </cell>
          <cell r="AF705">
            <v>0</v>
          </cell>
          <cell r="AG705">
            <v>0</v>
          </cell>
          <cell r="AM705" t="str">
            <v>OK</v>
          </cell>
          <cell r="AO705">
            <v>5.9785184413580286</v>
          </cell>
          <cell r="AP705">
            <v>5.9785184413580286</v>
          </cell>
          <cell r="AQ705">
            <v>0</v>
          </cell>
          <cell r="AR705">
            <v>5.9785184413580286</v>
          </cell>
          <cell r="AS705">
            <v>0</v>
          </cell>
          <cell r="AT705">
            <v>45815</v>
          </cell>
          <cell r="AU705">
            <v>5.9785184413580286</v>
          </cell>
          <cell r="AV705">
            <v>179.35555324074085</v>
          </cell>
          <cell r="AW705">
            <v>5.9785184413580286</v>
          </cell>
          <cell r="AY705">
            <v>184.46369178241002</v>
          </cell>
          <cell r="AZ705" t="str">
            <v>F18</v>
          </cell>
          <cell r="BA705">
            <v>0</v>
          </cell>
          <cell r="BB705" t="str">
            <v>SKFC</v>
          </cell>
          <cell r="BC705" t="str">
            <v>F18</v>
          </cell>
        </row>
        <row r="706">
          <cell r="A706" t="str">
            <v>561E</v>
          </cell>
          <cell r="B706" t="str">
            <v>3</v>
          </cell>
          <cell r="C706" t="str">
            <v>06</v>
          </cell>
          <cell r="D706">
            <v>23</v>
          </cell>
          <cell r="E706" t="str">
            <v>561E</v>
          </cell>
          <cell r="F706">
            <v>12.23</v>
          </cell>
          <cell r="G706">
            <v>10.11</v>
          </cell>
          <cell r="H706">
            <v>10.11</v>
          </cell>
          <cell r="I706" t="str">
            <v>SC</v>
          </cell>
          <cell r="J706" t="str">
            <v>FC</v>
          </cell>
          <cell r="K706">
            <v>8</v>
          </cell>
          <cell r="L706">
            <v>45968</v>
          </cell>
          <cell r="M706">
            <v>45968</v>
          </cell>
          <cell r="N706">
            <v>26</v>
          </cell>
          <cell r="O706" t="str">
            <v>NS</v>
          </cell>
          <cell r="P706" t="str">
            <v/>
          </cell>
          <cell r="Q706">
            <v>46212</v>
          </cell>
          <cell r="R706" t="str">
            <v/>
          </cell>
          <cell r="S706" t="str">
            <v/>
          </cell>
          <cell r="T706" t="str">
            <v/>
          </cell>
          <cell r="U706">
            <v>62453</v>
          </cell>
          <cell r="V706">
            <v>68149</v>
          </cell>
          <cell r="W706" t="str">
            <v/>
          </cell>
          <cell r="X706" t="str">
            <v>Lokasi Produksi 561E</v>
          </cell>
          <cell r="Z706">
            <v>8</v>
          </cell>
          <cell r="AA706">
            <v>46212</v>
          </cell>
          <cell r="AB706">
            <v>41240.59733611111</v>
          </cell>
          <cell r="AC706">
            <v>1374.6865778703702</v>
          </cell>
          <cell r="AD706">
            <v>-20</v>
          </cell>
          <cell r="AE706">
            <v>0</v>
          </cell>
          <cell r="AF706">
            <v>0</v>
          </cell>
          <cell r="AG706">
            <v>0</v>
          </cell>
          <cell r="AM706" t="str">
            <v>OK</v>
          </cell>
          <cell r="AO706">
            <v>0.87851844135802826</v>
          </cell>
          <cell r="AP706">
            <v>-7.121481558641972</v>
          </cell>
          <cell r="AQ706">
            <v>0</v>
          </cell>
          <cell r="AR706">
            <v>0.87851844135802826</v>
          </cell>
          <cell r="AS706">
            <v>0</v>
          </cell>
          <cell r="AT706">
            <v>46212</v>
          </cell>
          <cell r="AU706">
            <v>-7.121481558641972</v>
          </cell>
          <cell r="AV706">
            <v>26.355553240740846</v>
          </cell>
          <cell r="AW706">
            <v>-7.121481558641972</v>
          </cell>
          <cell r="AY706">
            <v>31.463691782410024</v>
          </cell>
          <cell r="AZ706" t="str">
            <v>F18</v>
          </cell>
          <cell r="BA706">
            <v>10.11</v>
          </cell>
          <cell r="BB706" t="str">
            <v>NSSC</v>
          </cell>
          <cell r="BC706" t="str">
            <v>F18</v>
          </cell>
        </row>
        <row r="707">
          <cell r="A707" t="str">
            <v>561F1</v>
          </cell>
          <cell r="B707" t="str">
            <v>3</v>
          </cell>
          <cell r="C707" t="str">
            <v>06</v>
          </cell>
          <cell r="D707">
            <v>23</v>
          </cell>
          <cell r="E707" t="str">
            <v>561F1</v>
          </cell>
          <cell r="F707">
            <v>9.56</v>
          </cell>
          <cell r="G707">
            <v>7.39</v>
          </cell>
          <cell r="H707">
            <v>7.39</v>
          </cell>
          <cell r="I707" t="str">
            <v>SC</v>
          </cell>
          <cell r="J707" t="str">
            <v>FC</v>
          </cell>
          <cell r="K707">
            <v>8</v>
          </cell>
          <cell r="L707">
            <v>45710</v>
          </cell>
          <cell r="M707">
            <v>45710</v>
          </cell>
          <cell r="N707">
            <v>284</v>
          </cell>
          <cell r="O707" t="str">
            <v>NS</v>
          </cell>
          <cell r="P707" t="str">
            <v/>
          </cell>
          <cell r="Q707">
            <v>45954</v>
          </cell>
          <cell r="R707" t="str">
            <v/>
          </cell>
          <cell r="S707" t="str">
            <v/>
          </cell>
          <cell r="T707">
            <v>45930</v>
          </cell>
          <cell r="U707">
            <v>68102</v>
          </cell>
          <cell r="V707">
            <v>52655</v>
          </cell>
          <cell r="W707" t="str">
            <v/>
          </cell>
          <cell r="X707" t="str">
            <v>Lokasi Produksi 561F1 ( pecahan 561F )</v>
          </cell>
          <cell r="Z707">
            <v>8</v>
          </cell>
          <cell r="AA707">
            <v>45954</v>
          </cell>
          <cell r="AB707">
            <v>41240.59733611111</v>
          </cell>
          <cell r="AC707">
            <v>1374.6865778703702</v>
          </cell>
          <cell r="AD707">
            <v>-20</v>
          </cell>
          <cell r="AE707">
            <v>0</v>
          </cell>
          <cell r="AF707">
            <v>0</v>
          </cell>
          <cell r="AG707">
            <v>0</v>
          </cell>
          <cell r="AK707">
            <v>40358</v>
          </cell>
          <cell r="AM707" t="str">
            <v>OK</v>
          </cell>
          <cell r="AO707">
            <v>9.4785184413580286</v>
          </cell>
          <cell r="AP707">
            <v>1.4785184413580286</v>
          </cell>
          <cell r="AQ707">
            <v>45930</v>
          </cell>
          <cell r="AR707">
            <v>7.333333333333333</v>
          </cell>
          <cell r="AS707">
            <v>2.1451851080246955</v>
          </cell>
          <cell r="AT707">
            <v>45954</v>
          </cell>
          <cell r="AU707">
            <v>2.1451851080246955</v>
          </cell>
          <cell r="AV707">
            <v>220</v>
          </cell>
          <cell r="AW707">
            <v>2.1451851080246955</v>
          </cell>
          <cell r="AY707">
            <v>289.46369178241002</v>
          </cell>
          <cell r="AZ707" t="str">
            <v>F18</v>
          </cell>
          <cell r="BA707">
            <v>7.39</v>
          </cell>
          <cell r="BB707" t="str">
            <v>NSSC</v>
          </cell>
          <cell r="BC707" t="str">
            <v>F18</v>
          </cell>
        </row>
        <row r="708">
          <cell r="A708" t="str">
            <v>561F2</v>
          </cell>
          <cell r="B708" t="str">
            <v>3</v>
          </cell>
          <cell r="C708" t="str">
            <v>06</v>
          </cell>
          <cell r="D708">
            <v>23</v>
          </cell>
          <cell r="E708" t="str">
            <v>561F2</v>
          </cell>
          <cell r="F708">
            <v>7.79</v>
          </cell>
          <cell r="G708">
            <v>6.04</v>
          </cell>
          <cell r="H708">
            <v>6.04</v>
          </cell>
          <cell r="I708" t="str">
            <v>SC</v>
          </cell>
          <cell r="J708" t="str">
            <v>FC</v>
          </cell>
          <cell r="K708">
            <v>8</v>
          </cell>
          <cell r="L708">
            <v>45783</v>
          </cell>
          <cell r="M708">
            <v>45783</v>
          </cell>
          <cell r="N708">
            <v>211</v>
          </cell>
          <cell r="O708" t="str">
            <v>NS</v>
          </cell>
          <cell r="P708" t="str">
            <v/>
          </cell>
          <cell r="Q708">
            <v>46027</v>
          </cell>
          <cell r="R708" t="str">
            <v/>
          </cell>
          <cell r="S708" t="str">
            <v/>
          </cell>
          <cell r="T708" t="str">
            <v/>
          </cell>
          <cell r="U708">
            <v>64849</v>
          </cell>
          <cell r="V708">
            <v>70593</v>
          </cell>
          <cell r="W708" t="str">
            <v/>
          </cell>
          <cell r="X708" t="str">
            <v>Lokasi Produksi 561F2 ( 561F )</v>
          </cell>
          <cell r="Z708">
            <v>8</v>
          </cell>
          <cell r="AA708">
            <v>46027</v>
          </cell>
          <cell r="AB708">
            <v>41240.59733611111</v>
          </cell>
          <cell r="AC708">
            <v>1374.6865778703702</v>
          </cell>
          <cell r="AD708">
            <v>-20</v>
          </cell>
          <cell r="AE708">
            <v>0</v>
          </cell>
          <cell r="AF708">
            <v>0</v>
          </cell>
          <cell r="AG708">
            <v>0</v>
          </cell>
          <cell r="AK708">
            <v>40306</v>
          </cell>
          <cell r="AM708" t="str">
            <v>OK</v>
          </cell>
          <cell r="AO708">
            <v>7.045185108024695</v>
          </cell>
          <cell r="AP708">
            <v>-0.954814891975305</v>
          </cell>
          <cell r="AQ708">
            <v>0</v>
          </cell>
          <cell r="AR708">
            <v>7.045185108024695</v>
          </cell>
          <cell r="AS708">
            <v>0</v>
          </cell>
          <cell r="AT708">
            <v>46027</v>
          </cell>
          <cell r="AU708">
            <v>-0.954814891975305</v>
          </cell>
          <cell r="AV708">
            <v>211.35555324074085</v>
          </cell>
          <cell r="AW708">
            <v>-0.954814891975305</v>
          </cell>
          <cell r="AY708">
            <v>216.46369178241002</v>
          </cell>
          <cell r="AZ708" t="str">
            <v>F18</v>
          </cell>
          <cell r="BA708">
            <v>6.04</v>
          </cell>
          <cell r="BB708" t="str">
            <v>NSSC</v>
          </cell>
          <cell r="BC708" t="str">
            <v>F18</v>
          </cell>
        </row>
        <row r="709">
          <cell r="A709" t="str">
            <v>562A1</v>
          </cell>
          <cell r="B709" t="str">
            <v>3</v>
          </cell>
          <cell r="C709" t="str">
            <v>06</v>
          </cell>
          <cell r="D709">
            <v>21</v>
          </cell>
          <cell r="E709" t="str">
            <v>562A1</v>
          </cell>
          <cell r="F709">
            <v>9.14</v>
          </cell>
          <cell r="G709">
            <v>7.64</v>
          </cell>
          <cell r="H709">
            <v>7.64</v>
          </cell>
          <cell r="I709" t="str">
            <v>FC</v>
          </cell>
          <cell r="J709" t="str">
            <v>ST</v>
          </cell>
          <cell r="K709">
            <v>14</v>
          </cell>
          <cell r="L709">
            <v>45896</v>
          </cell>
          <cell r="M709">
            <v>45896</v>
          </cell>
          <cell r="N709">
            <v>98</v>
          </cell>
          <cell r="O709" t="str">
            <v>NS</v>
          </cell>
          <cell r="P709" t="str">
            <v>NSF18CK3</v>
          </cell>
          <cell r="Q709">
            <v>46323</v>
          </cell>
          <cell r="R709" t="str">
            <v/>
          </cell>
          <cell r="S709" t="str">
            <v/>
          </cell>
          <cell r="T709" t="str">
            <v/>
          </cell>
          <cell r="U709">
            <v>69413</v>
          </cell>
          <cell r="V709">
            <v>54103</v>
          </cell>
          <cell r="W709" t="str">
            <v/>
          </cell>
          <cell r="X709" t="str">
            <v>Lokasi Produksi 562A1 ( pecahan 562A )</v>
          </cell>
          <cell r="Z709">
            <v>14</v>
          </cell>
          <cell r="AA709">
            <v>46323</v>
          </cell>
          <cell r="AB709">
            <v>41240.59733611111</v>
          </cell>
          <cell r="AC709">
            <v>1374.6865778703702</v>
          </cell>
          <cell r="AD709">
            <v>-20</v>
          </cell>
          <cell r="AE709">
            <v>0</v>
          </cell>
          <cell r="AF709">
            <v>0</v>
          </cell>
          <cell r="AG709">
            <v>0</v>
          </cell>
          <cell r="AM709" t="str">
            <v>OK</v>
          </cell>
          <cell r="AO709">
            <v>3.2785184413580284</v>
          </cell>
          <cell r="AP709">
            <v>-10.721481558641972</v>
          </cell>
          <cell r="AQ709">
            <v>0</v>
          </cell>
          <cell r="AR709">
            <v>3.2785184413580284</v>
          </cell>
          <cell r="AS709">
            <v>0</v>
          </cell>
          <cell r="AT709">
            <v>46323</v>
          </cell>
          <cell r="AU709">
            <v>-10.721481558641972</v>
          </cell>
          <cell r="AV709">
            <v>98.355553240740846</v>
          </cell>
          <cell r="AW709">
            <v>-10.721481558641972</v>
          </cell>
          <cell r="AY709">
            <v>103.46369178241002</v>
          </cell>
          <cell r="AZ709" t="str">
            <v>F18</v>
          </cell>
          <cell r="BA709">
            <v>7.64</v>
          </cell>
          <cell r="BB709" t="str">
            <v>NSFC</v>
          </cell>
          <cell r="BC709" t="str">
            <v>F18CK</v>
          </cell>
        </row>
        <row r="710">
          <cell r="A710" t="str">
            <v>562A2</v>
          </cell>
          <cell r="B710" t="str">
            <v>3</v>
          </cell>
          <cell r="C710" t="str">
            <v>06</v>
          </cell>
          <cell r="D710">
            <v>21</v>
          </cell>
          <cell r="E710" t="str">
            <v>562A2</v>
          </cell>
          <cell r="F710">
            <v>18.91</v>
          </cell>
          <cell r="G710">
            <v>15.78</v>
          </cell>
          <cell r="H710">
            <v>15.78</v>
          </cell>
          <cell r="I710" t="str">
            <v>FC</v>
          </cell>
          <cell r="J710" t="str">
            <v>ST</v>
          </cell>
          <cell r="K710">
            <v>14</v>
          </cell>
          <cell r="L710">
            <v>45890</v>
          </cell>
          <cell r="M710">
            <v>45890</v>
          </cell>
          <cell r="N710">
            <v>104</v>
          </cell>
          <cell r="O710" t="str">
            <v>NS</v>
          </cell>
          <cell r="P710" t="str">
            <v>NSF18CK3</v>
          </cell>
          <cell r="Q710">
            <v>46317</v>
          </cell>
          <cell r="R710" t="str">
            <v/>
          </cell>
          <cell r="S710" t="str">
            <v/>
          </cell>
          <cell r="T710" t="str">
            <v/>
          </cell>
          <cell r="U710">
            <v>68761</v>
          </cell>
          <cell r="V710">
            <v>54848</v>
          </cell>
          <cell r="W710">
            <v>44278</v>
          </cell>
          <cell r="X710" t="str">
            <v>Lokasi Produksi 562A2 ( pecahan 562A )</v>
          </cell>
          <cell r="Z710">
            <v>14</v>
          </cell>
          <cell r="AA710">
            <v>46317</v>
          </cell>
          <cell r="AB710">
            <v>41240.59733611111</v>
          </cell>
          <cell r="AC710">
            <v>1374.6865778703702</v>
          </cell>
          <cell r="AD710">
            <v>-20</v>
          </cell>
          <cell r="AE710">
            <v>0</v>
          </cell>
          <cell r="AF710">
            <v>0</v>
          </cell>
          <cell r="AG710">
            <v>0</v>
          </cell>
          <cell r="AM710" t="str">
            <v>OK</v>
          </cell>
          <cell r="AO710">
            <v>3.4785184413580281</v>
          </cell>
          <cell r="AP710">
            <v>-10.521481558641971</v>
          </cell>
          <cell r="AQ710">
            <v>0</v>
          </cell>
          <cell r="AR710">
            <v>3.4785184413580281</v>
          </cell>
          <cell r="AS710">
            <v>0</v>
          </cell>
          <cell r="AT710">
            <v>46317</v>
          </cell>
          <cell r="AU710">
            <v>-10.521481558641971</v>
          </cell>
          <cell r="AV710">
            <v>104.35555324074085</v>
          </cell>
          <cell r="AW710">
            <v>-10.521481558641971</v>
          </cell>
          <cell r="AY710">
            <v>109.46369178241002</v>
          </cell>
          <cell r="AZ710" t="str">
            <v>F18</v>
          </cell>
          <cell r="BA710">
            <v>15.78</v>
          </cell>
          <cell r="BB710" t="str">
            <v>NSFC</v>
          </cell>
          <cell r="BC710" t="str">
            <v>F18CK</v>
          </cell>
        </row>
        <row r="711">
          <cell r="A711" t="str">
            <v>562B1</v>
          </cell>
          <cell r="B711" t="str">
            <v>3</v>
          </cell>
          <cell r="C711" t="str">
            <v>06</v>
          </cell>
          <cell r="D711">
            <v>21</v>
          </cell>
          <cell r="E711" t="str">
            <v>562B1</v>
          </cell>
          <cell r="F711">
            <v>10.8</v>
          </cell>
          <cell r="G711">
            <v>9.0399999999999991</v>
          </cell>
          <cell r="H711">
            <v>9.0399999999999991</v>
          </cell>
          <cell r="I711" t="str">
            <v>FC</v>
          </cell>
          <cell r="J711" t="str">
            <v>ST</v>
          </cell>
          <cell r="K711">
            <v>14</v>
          </cell>
          <cell r="L711">
            <v>45961</v>
          </cell>
          <cell r="M711">
            <v>45961</v>
          </cell>
          <cell r="N711">
            <v>33</v>
          </cell>
          <cell r="O711" t="str">
            <v>NS</v>
          </cell>
          <cell r="P711" t="str">
            <v>NSF18CK3</v>
          </cell>
          <cell r="Q711">
            <v>46388</v>
          </cell>
          <cell r="R711" t="str">
            <v/>
          </cell>
          <cell r="S711" t="str">
            <v/>
          </cell>
          <cell r="T711" t="str">
            <v/>
          </cell>
          <cell r="U711">
            <v>68972</v>
          </cell>
          <cell r="V711">
            <v>52647</v>
          </cell>
          <cell r="W711">
            <v>43613</v>
          </cell>
          <cell r="X711" t="str">
            <v>Lokasi Produksi 562B1 ( pecahan 562B )</v>
          </cell>
          <cell r="Z711">
            <v>14</v>
          </cell>
          <cell r="AA711">
            <v>46388</v>
          </cell>
          <cell r="AB711">
            <v>41240.59733611111</v>
          </cell>
          <cell r="AC711">
            <v>1374.6865778703702</v>
          </cell>
          <cell r="AD711">
            <v>-20</v>
          </cell>
          <cell r="AE711">
            <v>0</v>
          </cell>
          <cell r="AF711">
            <v>0</v>
          </cell>
          <cell r="AG711">
            <v>0</v>
          </cell>
          <cell r="AM711" t="str">
            <v>OK</v>
          </cell>
          <cell r="AO711">
            <v>1.1118517746913616</v>
          </cell>
          <cell r="AP711">
            <v>-12.888148225308639</v>
          </cell>
          <cell r="AQ711">
            <v>0</v>
          </cell>
          <cell r="AR711">
            <v>1.1118517746913616</v>
          </cell>
          <cell r="AS711">
            <v>0</v>
          </cell>
          <cell r="AT711">
            <v>46388</v>
          </cell>
          <cell r="AU711">
            <v>-12.888148225308639</v>
          </cell>
          <cell r="AV711">
            <v>33.355553240740846</v>
          </cell>
          <cell r="AW711">
            <v>-12.888148225308639</v>
          </cell>
          <cell r="AY711">
            <v>38.463691782410024</v>
          </cell>
          <cell r="AZ711" t="str">
            <v>F18</v>
          </cell>
          <cell r="BA711">
            <v>9.0399999999999991</v>
          </cell>
          <cell r="BB711" t="str">
            <v>NSFC</v>
          </cell>
          <cell r="BC711" t="str">
            <v>F18CK</v>
          </cell>
        </row>
        <row r="712">
          <cell r="A712" t="str">
            <v>562B2A</v>
          </cell>
          <cell r="B712" t="str">
            <v>3</v>
          </cell>
          <cell r="C712" t="str">
            <v>06</v>
          </cell>
          <cell r="D712">
            <v>21</v>
          </cell>
          <cell r="E712" t="str">
            <v>562B2A</v>
          </cell>
          <cell r="F712">
            <v>3.83</v>
          </cell>
          <cell r="G712">
            <v>3.17</v>
          </cell>
          <cell r="H712">
            <v>3.17</v>
          </cell>
          <cell r="I712" t="str">
            <v>BK</v>
          </cell>
          <cell r="J712" t="str">
            <v>SR</v>
          </cell>
          <cell r="K712">
            <v>0</v>
          </cell>
          <cell r="L712">
            <v>45917</v>
          </cell>
          <cell r="M712">
            <v>45917</v>
          </cell>
          <cell r="N712">
            <v>77</v>
          </cell>
          <cell r="O712" t="str">
            <v>PS</v>
          </cell>
          <cell r="P712" t="str">
            <v/>
          </cell>
          <cell r="Q712">
            <v>45917</v>
          </cell>
          <cell r="R712" t="str">
            <v/>
          </cell>
          <cell r="S712" t="str">
            <v/>
          </cell>
          <cell r="T712" t="str">
            <v/>
          </cell>
          <cell r="U712">
            <v>7745</v>
          </cell>
          <cell r="V712" t="str">
            <v/>
          </cell>
          <cell r="W712">
            <v>46180</v>
          </cell>
          <cell r="X712" t="str">
            <v>Lokasi Produksi 562B2A ( pecahan 562B2 )</v>
          </cell>
          <cell r="Z712">
            <v>0</v>
          </cell>
          <cell r="AA712">
            <v>45917</v>
          </cell>
          <cell r="AB712">
            <v>41240.59733611111</v>
          </cell>
          <cell r="AC712">
            <v>1374.6865778703702</v>
          </cell>
          <cell r="AD712">
            <v>-20</v>
          </cell>
          <cell r="AE712">
            <v>0</v>
          </cell>
          <cell r="AF712">
            <v>0</v>
          </cell>
          <cell r="AG712">
            <v>0</v>
          </cell>
          <cell r="AM712" t="str">
            <v>OK</v>
          </cell>
          <cell r="AO712">
            <v>2.5785184413580282</v>
          </cell>
          <cell r="AP712">
            <v>2.5785184413580282</v>
          </cell>
          <cell r="AQ712">
            <v>0</v>
          </cell>
          <cell r="AR712">
            <v>2.5785184413580282</v>
          </cell>
          <cell r="AS712">
            <v>0</v>
          </cell>
          <cell r="AT712">
            <v>45917</v>
          </cell>
          <cell r="AU712">
            <v>2.5785184413580282</v>
          </cell>
          <cell r="AV712">
            <v>77.355553240740846</v>
          </cell>
          <cell r="AW712">
            <v>2.5785184413580282</v>
          </cell>
          <cell r="AY712">
            <v>82.463691782410024</v>
          </cell>
          <cell r="AZ712" t="str">
            <v>F18</v>
          </cell>
          <cell r="BA712">
            <v>0</v>
          </cell>
          <cell r="BB712" t="str">
            <v>PSBK</v>
          </cell>
          <cell r="BC712" t="str">
            <v>F18</v>
          </cell>
        </row>
        <row r="713">
          <cell r="A713" t="str">
            <v>562B2B</v>
          </cell>
          <cell r="B713" t="str">
            <v>3</v>
          </cell>
          <cell r="C713" t="str">
            <v>06</v>
          </cell>
          <cell r="D713">
            <v>21</v>
          </cell>
          <cell r="E713" t="str">
            <v>562B2B</v>
          </cell>
          <cell r="F713">
            <v>3.66</v>
          </cell>
          <cell r="G713">
            <v>3.1</v>
          </cell>
          <cell r="H713">
            <v>3.1</v>
          </cell>
          <cell r="I713" t="str">
            <v>BK</v>
          </cell>
          <cell r="J713" t="str">
            <v>SR</v>
          </cell>
          <cell r="K713">
            <v>0</v>
          </cell>
          <cell r="L713">
            <v>45917</v>
          </cell>
          <cell r="M713">
            <v>45917</v>
          </cell>
          <cell r="N713">
            <v>77</v>
          </cell>
          <cell r="O713" t="str">
            <v>PS</v>
          </cell>
          <cell r="P713" t="str">
            <v/>
          </cell>
          <cell r="Q713">
            <v>45917</v>
          </cell>
          <cell r="R713" t="str">
            <v/>
          </cell>
          <cell r="S713" t="str">
            <v/>
          </cell>
          <cell r="T713" t="str">
            <v/>
          </cell>
          <cell r="U713">
            <v>7330</v>
          </cell>
          <cell r="V713" t="str">
            <v/>
          </cell>
          <cell r="W713">
            <v>46180</v>
          </cell>
          <cell r="X713" t="str">
            <v>Lokasi Produksi 562B2B ( pecahan 562B2 )</v>
          </cell>
          <cell r="Z713">
            <v>0</v>
          </cell>
          <cell r="AA713">
            <v>45917</v>
          </cell>
          <cell r="AB713">
            <v>41240.59733611111</v>
          </cell>
          <cell r="AC713">
            <v>1374.6865778703702</v>
          </cell>
          <cell r="AD713">
            <v>-20</v>
          </cell>
          <cell r="AE713">
            <v>0</v>
          </cell>
          <cell r="AF713">
            <v>0</v>
          </cell>
          <cell r="AG713">
            <v>0</v>
          </cell>
          <cell r="AM713" t="str">
            <v>OK</v>
          </cell>
          <cell r="AO713">
            <v>2.5785184413580282</v>
          </cell>
          <cell r="AP713">
            <v>2.5785184413580282</v>
          </cell>
          <cell r="AQ713">
            <v>0</v>
          </cell>
          <cell r="AR713">
            <v>2.5785184413580282</v>
          </cell>
          <cell r="AS713">
            <v>0</v>
          </cell>
          <cell r="AT713">
            <v>45917</v>
          </cell>
          <cell r="AU713">
            <v>2.5785184413580282</v>
          </cell>
          <cell r="AV713">
            <v>77.355553240740846</v>
          </cell>
          <cell r="AW713">
            <v>2.5785184413580282</v>
          </cell>
          <cell r="AY713">
            <v>82.463691782410024</v>
          </cell>
          <cell r="AZ713" t="str">
            <v>F18</v>
          </cell>
          <cell r="BA713">
            <v>0</v>
          </cell>
          <cell r="BB713" t="str">
            <v>PSBK</v>
          </cell>
          <cell r="BC713" t="str">
            <v>F18</v>
          </cell>
        </row>
        <row r="714">
          <cell r="A714" t="str">
            <v>562B2C</v>
          </cell>
          <cell r="B714" t="str">
            <v>3</v>
          </cell>
          <cell r="C714" t="str">
            <v>06</v>
          </cell>
          <cell r="D714">
            <v>21</v>
          </cell>
          <cell r="E714" t="str">
            <v>562B2C</v>
          </cell>
          <cell r="F714">
            <v>3.21</v>
          </cell>
          <cell r="G714">
            <v>2.71</v>
          </cell>
          <cell r="H714">
            <v>2.71</v>
          </cell>
          <cell r="I714" t="str">
            <v>BK</v>
          </cell>
          <cell r="J714" t="str">
            <v>SR</v>
          </cell>
          <cell r="K714">
            <v>0</v>
          </cell>
          <cell r="L714">
            <v>45917</v>
          </cell>
          <cell r="M714">
            <v>45917</v>
          </cell>
          <cell r="N714">
            <v>77</v>
          </cell>
          <cell r="O714" t="str">
            <v>PS</v>
          </cell>
          <cell r="P714" t="str">
            <v/>
          </cell>
          <cell r="Q714">
            <v>45917</v>
          </cell>
          <cell r="R714" t="str">
            <v/>
          </cell>
          <cell r="S714" t="str">
            <v/>
          </cell>
          <cell r="T714" t="str">
            <v/>
          </cell>
          <cell r="U714">
            <v>6405</v>
          </cell>
          <cell r="V714" t="str">
            <v/>
          </cell>
          <cell r="W714">
            <v>46180</v>
          </cell>
          <cell r="X714" t="str">
            <v>Lokasi Produksi 562B2C ( pecahan 562B2 )</v>
          </cell>
          <cell r="Z714">
            <v>0</v>
          </cell>
          <cell r="AA714">
            <v>45917</v>
          </cell>
          <cell r="AB714">
            <v>41240.59733611111</v>
          </cell>
          <cell r="AC714">
            <v>1374.6865778703702</v>
          </cell>
          <cell r="AD714">
            <v>-20</v>
          </cell>
          <cell r="AE714">
            <v>0</v>
          </cell>
          <cell r="AF714">
            <v>0</v>
          </cell>
          <cell r="AG714">
            <v>0</v>
          </cell>
          <cell r="AM714" t="str">
            <v>OK</v>
          </cell>
          <cell r="AO714">
            <v>2.5785184413580282</v>
          </cell>
          <cell r="AP714">
            <v>2.5785184413580282</v>
          </cell>
          <cell r="AQ714">
            <v>0</v>
          </cell>
          <cell r="AR714">
            <v>2.5785184413580282</v>
          </cell>
          <cell r="AS714">
            <v>0</v>
          </cell>
          <cell r="AT714">
            <v>45917</v>
          </cell>
          <cell r="AU714">
            <v>2.5785184413580282</v>
          </cell>
          <cell r="AV714">
            <v>77.355553240740846</v>
          </cell>
          <cell r="AW714">
            <v>2.5785184413580282</v>
          </cell>
          <cell r="AY714">
            <v>82.463691782410024</v>
          </cell>
          <cell r="AZ714" t="str">
            <v>F18</v>
          </cell>
          <cell r="BA714">
            <v>0</v>
          </cell>
          <cell r="BB714" t="str">
            <v>PSBK</v>
          </cell>
          <cell r="BC714" t="str">
            <v>F18</v>
          </cell>
        </row>
        <row r="715">
          <cell r="A715" t="str">
            <v>562C1</v>
          </cell>
          <cell r="B715" t="str">
            <v>3</v>
          </cell>
          <cell r="C715" t="str">
            <v>06</v>
          </cell>
          <cell r="D715">
            <v>21</v>
          </cell>
          <cell r="E715" t="str">
            <v>562C1</v>
          </cell>
          <cell r="F715">
            <v>7.91</v>
          </cell>
          <cell r="G715">
            <v>6.73</v>
          </cell>
          <cell r="H715">
            <v>6.73</v>
          </cell>
          <cell r="I715" t="str">
            <v>BK</v>
          </cell>
          <cell r="J715" t="str">
            <v>SR</v>
          </cell>
          <cell r="K715">
            <v>0</v>
          </cell>
          <cell r="L715">
            <v>45956</v>
          </cell>
          <cell r="M715">
            <v>45956</v>
          </cell>
          <cell r="N715">
            <v>38</v>
          </cell>
          <cell r="O715" t="str">
            <v>PS</v>
          </cell>
          <cell r="P715" t="str">
            <v/>
          </cell>
          <cell r="Q715">
            <v>45956</v>
          </cell>
          <cell r="R715" t="str">
            <v/>
          </cell>
          <cell r="S715" t="str">
            <v/>
          </cell>
          <cell r="T715" t="str">
            <v/>
          </cell>
          <cell r="U715">
            <v>17017</v>
          </cell>
          <cell r="V715" t="str">
            <v/>
          </cell>
          <cell r="W715">
            <v>46180</v>
          </cell>
          <cell r="X715" t="str">
            <v>Lokasi Produksi 562C1 ( pecahan 562C )</v>
          </cell>
          <cell r="Z715">
            <v>0</v>
          </cell>
          <cell r="AA715">
            <v>45956</v>
          </cell>
          <cell r="AB715">
            <v>41240.59733611111</v>
          </cell>
          <cell r="AC715">
            <v>1374.6865778703702</v>
          </cell>
          <cell r="AD715">
            <v>-20</v>
          </cell>
          <cell r="AE715">
            <v>0</v>
          </cell>
          <cell r="AF715">
            <v>0</v>
          </cell>
          <cell r="AG715">
            <v>0</v>
          </cell>
          <cell r="AM715" t="str">
            <v>OK</v>
          </cell>
          <cell r="AO715">
            <v>1.2785184413580282</v>
          </cell>
          <cell r="AP715">
            <v>1.2785184413580282</v>
          </cell>
          <cell r="AQ715">
            <v>0</v>
          </cell>
          <cell r="AR715">
            <v>1.2785184413580282</v>
          </cell>
          <cell r="AS715">
            <v>0</v>
          </cell>
          <cell r="AT715">
            <v>45956</v>
          </cell>
          <cell r="AU715">
            <v>1.2785184413580282</v>
          </cell>
          <cell r="AV715">
            <v>38.355553240740846</v>
          </cell>
          <cell r="AW715">
            <v>1.2785184413580282</v>
          </cell>
          <cell r="AY715">
            <v>43.463691782410024</v>
          </cell>
          <cell r="AZ715" t="str">
            <v>F18</v>
          </cell>
          <cell r="BA715">
            <v>0</v>
          </cell>
          <cell r="BB715" t="str">
            <v>PSBK</v>
          </cell>
          <cell r="BC715" t="str">
            <v>F18</v>
          </cell>
        </row>
        <row r="716">
          <cell r="A716" t="str">
            <v>562C2</v>
          </cell>
          <cell r="B716" t="str">
            <v>3</v>
          </cell>
          <cell r="C716" t="str">
            <v>06</v>
          </cell>
          <cell r="D716">
            <v>21</v>
          </cell>
          <cell r="E716" t="str">
            <v>562C2</v>
          </cell>
          <cell r="F716">
            <v>3.25</v>
          </cell>
          <cell r="G716">
            <v>2.74</v>
          </cell>
          <cell r="H716">
            <v>2.74</v>
          </cell>
          <cell r="I716" t="str">
            <v>BK</v>
          </cell>
          <cell r="J716" t="str">
            <v>SR</v>
          </cell>
          <cell r="K716">
            <v>0</v>
          </cell>
          <cell r="L716">
            <v>45989</v>
          </cell>
          <cell r="M716">
            <v>45989</v>
          </cell>
          <cell r="N716">
            <v>5</v>
          </cell>
          <cell r="O716" t="str">
            <v>PS</v>
          </cell>
          <cell r="P716" t="str">
            <v/>
          </cell>
          <cell r="Q716">
            <v>45989</v>
          </cell>
          <cell r="R716" t="str">
            <v/>
          </cell>
          <cell r="S716" t="str">
            <v/>
          </cell>
          <cell r="T716" t="str">
            <v/>
          </cell>
          <cell r="U716">
            <v>7358</v>
          </cell>
          <cell r="V716" t="str">
            <v/>
          </cell>
          <cell r="W716">
            <v>46180</v>
          </cell>
          <cell r="X716" t="str">
            <v>Lokasi Produksi 562C2 ( pecahan 562C )</v>
          </cell>
          <cell r="Z716">
            <v>0</v>
          </cell>
          <cell r="AA716">
            <v>45989</v>
          </cell>
          <cell r="AB716">
            <v>41240.59733611111</v>
          </cell>
          <cell r="AC716">
            <v>1374.6865778703702</v>
          </cell>
          <cell r="AD716">
            <v>-20</v>
          </cell>
          <cell r="AE716">
            <v>0</v>
          </cell>
          <cell r="AF716">
            <v>0</v>
          </cell>
          <cell r="AG716">
            <v>0</v>
          </cell>
          <cell r="AM716" t="str">
            <v>OK</v>
          </cell>
          <cell r="AO716">
            <v>0.17851844135802822</v>
          </cell>
          <cell r="AP716">
            <v>0.17851844135802822</v>
          </cell>
          <cell r="AQ716">
            <v>0</v>
          </cell>
          <cell r="AR716">
            <v>0.17851844135802822</v>
          </cell>
          <cell r="AS716">
            <v>0</v>
          </cell>
          <cell r="AT716">
            <v>45989</v>
          </cell>
          <cell r="AU716">
            <v>0.17851844135802822</v>
          </cell>
          <cell r="AV716">
            <v>5.3555532407408464</v>
          </cell>
          <cell r="AW716">
            <v>0.17851844135802822</v>
          </cell>
          <cell r="AY716">
            <v>10.463691782410024</v>
          </cell>
          <cell r="AZ716" t="str">
            <v>F18</v>
          </cell>
          <cell r="BA716">
            <v>0</v>
          </cell>
          <cell r="BB716" t="str">
            <v>PSBK</v>
          </cell>
          <cell r="BC716" t="str">
            <v>F18</v>
          </cell>
        </row>
        <row r="717">
          <cell r="A717" t="str">
            <v>562D1</v>
          </cell>
          <cell r="B717" t="str">
            <v>3</v>
          </cell>
          <cell r="C717" t="str">
            <v>06</v>
          </cell>
          <cell r="D717">
            <v>21</v>
          </cell>
          <cell r="E717" t="str">
            <v>562D1</v>
          </cell>
          <cell r="F717">
            <v>6.76</v>
          </cell>
          <cell r="G717">
            <v>5.64</v>
          </cell>
          <cell r="H717">
            <v>5.64</v>
          </cell>
          <cell r="I717" t="str">
            <v>BK</v>
          </cell>
          <cell r="J717" t="str">
            <v>SR</v>
          </cell>
          <cell r="K717">
            <v>0</v>
          </cell>
          <cell r="L717">
            <v>45956</v>
          </cell>
          <cell r="M717">
            <v>45956</v>
          </cell>
          <cell r="N717">
            <v>38</v>
          </cell>
          <cell r="O717" t="str">
            <v>PS</v>
          </cell>
          <cell r="P717" t="str">
            <v/>
          </cell>
          <cell r="Q717">
            <v>45956</v>
          </cell>
          <cell r="R717" t="str">
            <v/>
          </cell>
          <cell r="S717" t="str">
            <v/>
          </cell>
          <cell r="T717" t="str">
            <v/>
          </cell>
          <cell r="U717">
            <v>15498</v>
          </cell>
          <cell r="V717" t="str">
            <v/>
          </cell>
          <cell r="W717">
            <v>45815</v>
          </cell>
          <cell r="X717" t="str">
            <v>Lokasi Produksi 562D1 ( pecahan 562D )</v>
          </cell>
          <cell r="Z717">
            <v>0</v>
          </cell>
          <cell r="AA717">
            <v>45956</v>
          </cell>
          <cell r="AM717" t="str">
            <v>OK</v>
          </cell>
          <cell r="AO717">
            <v>1.2785184413580282</v>
          </cell>
          <cell r="AP717">
            <v>1.2785184413580282</v>
          </cell>
          <cell r="AQ717">
            <v>0</v>
          </cell>
          <cell r="AR717">
            <v>1.2785184413580282</v>
          </cell>
          <cell r="AS717">
            <v>0</v>
          </cell>
          <cell r="AT717">
            <v>45956</v>
          </cell>
          <cell r="AU717">
            <v>1.2785184413580282</v>
          </cell>
          <cell r="AV717">
            <v>38.355553240740846</v>
          </cell>
          <cell r="AW717">
            <v>1.2785184413580282</v>
          </cell>
          <cell r="AY717">
            <v>43.463691782410024</v>
          </cell>
          <cell r="AZ717" t="str">
            <v>F18</v>
          </cell>
          <cell r="BA717">
            <v>0</v>
          </cell>
          <cell r="BB717" t="str">
            <v>PSBK</v>
          </cell>
          <cell r="BC717" t="str">
            <v>F18</v>
          </cell>
        </row>
        <row r="718">
          <cell r="A718" t="str">
            <v>562D2</v>
          </cell>
          <cell r="B718" t="str">
            <v>3</v>
          </cell>
          <cell r="C718" t="str">
            <v>06</v>
          </cell>
          <cell r="D718">
            <v>21</v>
          </cell>
          <cell r="E718" t="str">
            <v>562D2</v>
          </cell>
          <cell r="F718">
            <v>9.26</v>
          </cell>
          <cell r="G718">
            <v>7.96</v>
          </cell>
          <cell r="H718">
            <v>7.96</v>
          </cell>
          <cell r="I718" t="str">
            <v>BK</v>
          </cell>
          <cell r="J718" t="str">
            <v>SR</v>
          </cell>
          <cell r="K718">
            <v>0</v>
          </cell>
          <cell r="L718">
            <v>45989</v>
          </cell>
          <cell r="M718">
            <v>45989</v>
          </cell>
          <cell r="N718">
            <v>5</v>
          </cell>
          <cell r="O718" t="str">
            <v>PS</v>
          </cell>
          <cell r="P718" t="str">
            <v/>
          </cell>
          <cell r="Q718">
            <v>45989</v>
          </cell>
          <cell r="R718" t="str">
            <v/>
          </cell>
          <cell r="S718" t="str">
            <v/>
          </cell>
          <cell r="T718" t="str">
            <v/>
          </cell>
          <cell r="U718">
            <v>21340</v>
          </cell>
          <cell r="V718" t="str">
            <v/>
          </cell>
          <cell r="W718">
            <v>45815</v>
          </cell>
          <cell r="X718" t="str">
            <v>Lokasi Produksi 562D2 ( pecahan 562D )</v>
          </cell>
          <cell r="Z718">
            <v>0</v>
          </cell>
          <cell r="AA718">
            <v>45989</v>
          </cell>
          <cell r="AM718" t="str">
            <v>OK</v>
          </cell>
          <cell r="AO718">
            <v>0.17851844135802822</v>
          </cell>
          <cell r="AP718">
            <v>0.17851844135802822</v>
          </cell>
          <cell r="AQ718">
            <v>0</v>
          </cell>
          <cell r="AR718">
            <v>0.17851844135802822</v>
          </cell>
          <cell r="AS718">
            <v>0</v>
          </cell>
          <cell r="AT718">
            <v>45989</v>
          </cell>
          <cell r="AU718">
            <v>0.17851844135802822</v>
          </cell>
          <cell r="AV718">
            <v>5.3555532407408464</v>
          </cell>
          <cell r="AW718">
            <v>0.17851844135802822</v>
          </cell>
          <cell r="AY718">
            <v>10.463691782410024</v>
          </cell>
          <cell r="AZ718" t="str">
            <v>F18</v>
          </cell>
          <cell r="BA718">
            <v>0</v>
          </cell>
          <cell r="BB718" t="str">
            <v>PSBK</v>
          </cell>
          <cell r="BC718" t="str">
            <v>F18</v>
          </cell>
        </row>
        <row r="719">
          <cell r="A719" t="str">
            <v>562E</v>
          </cell>
          <cell r="B719" t="str">
            <v>3</v>
          </cell>
          <cell r="C719" t="str">
            <v>06</v>
          </cell>
          <cell r="D719">
            <v>21</v>
          </cell>
          <cell r="E719" t="str">
            <v>562E</v>
          </cell>
          <cell r="F719">
            <v>12.1</v>
          </cell>
          <cell r="G719">
            <v>10.26</v>
          </cell>
          <cell r="H719">
            <v>10.26</v>
          </cell>
          <cell r="I719" t="str">
            <v>FC</v>
          </cell>
          <cell r="J719" t="str">
            <v>ST</v>
          </cell>
          <cell r="K719">
            <v>14</v>
          </cell>
          <cell r="L719">
            <v>45929</v>
          </cell>
          <cell r="M719">
            <v>45929</v>
          </cell>
          <cell r="N719">
            <v>65</v>
          </cell>
          <cell r="O719" t="str">
            <v>NS</v>
          </cell>
          <cell r="P719" t="str">
            <v>NSF18CK3</v>
          </cell>
          <cell r="Q719">
            <v>46356</v>
          </cell>
          <cell r="R719" t="str">
            <v/>
          </cell>
          <cell r="S719" t="str">
            <v/>
          </cell>
          <cell r="T719" t="str">
            <v/>
          </cell>
          <cell r="U719">
            <v>70394</v>
          </cell>
          <cell r="V719">
            <v>52582</v>
          </cell>
          <cell r="W719" t="str">
            <v/>
          </cell>
          <cell r="X719" t="str">
            <v>Lokasi Produksi 562E</v>
          </cell>
          <cell r="Z719">
            <v>14</v>
          </cell>
          <cell r="AA719">
            <v>46356</v>
          </cell>
          <cell r="AM719" t="str">
            <v>OK</v>
          </cell>
          <cell r="AO719">
            <v>2.1785184413580283</v>
          </cell>
          <cell r="AP719">
            <v>-11.821481558641972</v>
          </cell>
          <cell r="AQ719">
            <v>0</v>
          </cell>
          <cell r="AR719">
            <v>2.1785184413580283</v>
          </cell>
          <cell r="AS719">
            <v>0</v>
          </cell>
          <cell r="AT719">
            <v>46356</v>
          </cell>
          <cell r="AU719">
            <v>-11.821481558641972</v>
          </cell>
          <cell r="AV719">
            <v>65.355553240740846</v>
          </cell>
          <cell r="AW719">
            <v>-11.821481558641972</v>
          </cell>
          <cell r="AY719">
            <v>70.463691782410024</v>
          </cell>
          <cell r="AZ719" t="str">
            <v>F18</v>
          </cell>
          <cell r="BA719">
            <v>10.26</v>
          </cell>
          <cell r="BB719" t="str">
            <v>NSFC</v>
          </cell>
          <cell r="BC719" t="str">
            <v>F18CK</v>
          </cell>
        </row>
        <row r="720">
          <cell r="A720" t="str">
            <v>562F1</v>
          </cell>
          <cell r="B720" t="str">
            <v>3</v>
          </cell>
          <cell r="C720" t="str">
            <v>06</v>
          </cell>
          <cell r="D720">
            <v>21</v>
          </cell>
          <cell r="E720" t="str">
            <v>562F1</v>
          </cell>
          <cell r="F720">
            <v>6.65</v>
          </cell>
          <cell r="G720">
            <v>5.56</v>
          </cell>
          <cell r="H720">
            <v>5.56</v>
          </cell>
          <cell r="I720" t="str">
            <v>FC</v>
          </cell>
          <cell r="J720" t="str">
            <v>ST</v>
          </cell>
          <cell r="K720">
            <v>14</v>
          </cell>
          <cell r="L720">
            <v>45897</v>
          </cell>
          <cell r="M720">
            <v>45897</v>
          </cell>
          <cell r="N720">
            <v>97</v>
          </cell>
          <cell r="O720" t="str">
            <v>NS</v>
          </cell>
          <cell r="P720" t="str">
            <v>NSF18CK3</v>
          </cell>
          <cell r="Q720">
            <v>46324</v>
          </cell>
          <cell r="R720" t="str">
            <v/>
          </cell>
          <cell r="S720" t="str">
            <v/>
          </cell>
          <cell r="T720" t="str">
            <v/>
          </cell>
          <cell r="U720">
            <v>69291</v>
          </cell>
          <cell r="V720">
            <v>51438</v>
          </cell>
          <cell r="W720">
            <v>43675</v>
          </cell>
          <cell r="X720" t="str">
            <v>Lokasi Produksi 562F1 ( pecahan 562F )</v>
          </cell>
          <cell r="Z720">
            <v>14</v>
          </cell>
          <cell r="AA720">
            <v>46324</v>
          </cell>
          <cell r="AM720" t="str">
            <v>OK</v>
          </cell>
          <cell r="AO720">
            <v>3.2451851080246947</v>
          </cell>
          <cell r="AP720">
            <v>-10.754814891975306</v>
          </cell>
          <cell r="AQ720">
            <v>0</v>
          </cell>
          <cell r="AR720">
            <v>3.2451851080246947</v>
          </cell>
          <cell r="AS720">
            <v>0</v>
          </cell>
          <cell r="AT720">
            <v>46324</v>
          </cell>
          <cell r="AU720">
            <v>-10.754814891975306</v>
          </cell>
          <cell r="AV720">
            <v>97.355553240740846</v>
          </cell>
          <cell r="AW720">
            <v>-10.754814891975306</v>
          </cell>
          <cell r="AY720">
            <v>102.46369178241002</v>
          </cell>
          <cell r="AZ720" t="str">
            <v>F18</v>
          </cell>
          <cell r="BA720">
            <v>5.56</v>
          </cell>
          <cell r="BB720" t="str">
            <v>NSFC</v>
          </cell>
          <cell r="BC720" t="str">
            <v>F18CK</v>
          </cell>
        </row>
        <row r="721">
          <cell r="A721" t="str">
            <v>562F2</v>
          </cell>
          <cell r="B721" t="str">
            <v>3</v>
          </cell>
          <cell r="C721" t="str">
            <v>06</v>
          </cell>
          <cell r="D721">
            <v>21</v>
          </cell>
          <cell r="E721" t="str">
            <v>562F2</v>
          </cell>
          <cell r="F721">
            <v>11.9</v>
          </cell>
          <cell r="G721">
            <v>9.92</v>
          </cell>
          <cell r="H721">
            <v>9.92</v>
          </cell>
          <cell r="I721" t="str">
            <v>FC</v>
          </cell>
          <cell r="J721" t="str">
            <v>ST</v>
          </cell>
          <cell r="K721">
            <v>14</v>
          </cell>
          <cell r="L721">
            <v>45903</v>
          </cell>
          <cell r="M721">
            <v>45903</v>
          </cell>
          <cell r="N721">
            <v>91</v>
          </cell>
          <cell r="O721" t="str">
            <v>NS</v>
          </cell>
          <cell r="P721" t="str">
            <v>NSF18CK3</v>
          </cell>
          <cell r="Q721">
            <v>46330</v>
          </cell>
          <cell r="R721" t="str">
            <v/>
          </cell>
          <cell r="S721" t="str">
            <v/>
          </cell>
          <cell r="T721" t="str">
            <v/>
          </cell>
          <cell r="U721">
            <v>68143</v>
          </cell>
          <cell r="V721">
            <v>52381</v>
          </cell>
          <cell r="W721">
            <v>44722</v>
          </cell>
          <cell r="X721" t="str">
            <v>Lokasi Produksi 562F2 ( pecahan 562F )</v>
          </cell>
          <cell r="Z721">
            <v>14</v>
          </cell>
          <cell r="AA721">
            <v>46330</v>
          </cell>
          <cell r="AM721" t="str">
            <v>OK</v>
          </cell>
          <cell r="AO721">
            <v>3.045185108024695</v>
          </cell>
          <cell r="AP721">
            <v>-10.954814891975305</v>
          </cell>
          <cell r="AQ721">
            <v>0</v>
          </cell>
          <cell r="AR721">
            <v>3.045185108024695</v>
          </cell>
          <cell r="AS721">
            <v>0</v>
          </cell>
          <cell r="AT721">
            <v>46330</v>
          </cell>
          <cell r="AU721">
            <v>-10.954814891975305</v>
          </cell>
          <cell r="AV721">
            <v>91.355553240740846</v>
          </cell>
          <cell r="AW721">
            <v>-10.954814891975305</v>
          </cell>
          <cell r="AY721">
            <v>96.463691782410024</v>
          </cell>
          <cell r="AZ721" t="str">
            <v>F18</v>
          </cell>
          <cell r="BA721">
            <v>9.92</v>
          </cell>
          <cell r="BB721" t="str">
            <v>NSFC</v>
          </cell>
          <cell r="BC721" t="str">
            <v>F18CK</v>
          </cell>
        </row>
        <row r="722">
          <cell r="A722" t="str">
            <v>563A1</v>
          </cell>
          <cell r="B722" t="str">
            <v>3</v>
          </cell>
          <cell r="C722" t="str">
            <v>06</v>
          </cell>
          <cell r="D722">
            <v>23</v>
          </cell>
          <cell r="E722" t="str">
            <v>563A1</v>
          </cell>
          <cell r="F722">
            <v>9.34</v>
          </cell>
          <cell r="G722">
            <v>7.25</v>
          </cell>
          <cell r="H722">
            <v>7.25</v>
          </cell>
          <cell r="I722" t="str">
            <v>BK</v>
          </cell>
          <cell r="J722" t="str">
            <v>BB</v>
          </cell>
          <cell r="K722">
            <v>0</v>
          </cell>
          <cell r="L722">
            <v>45992</v>
          </cell>
          <cell r="M722">
            <v>45992</v>
          </cell>
          <cell r="N722">
            <v>2</v>
          </cell>
          <cell r="O722" t="str">
            <v>NS</v>
          </cell>
          <cell r="P722" t="str">
            <v/>
          </cell>
          <cell r="Q722">
            <v>45992</v>
          </cell>
          <cell r="R722" t="str">
            <v/>
          </cell>
          <cell r="S722" t="str">
            <v/>
          </cell>
          <cell r="T722" t="str">
            <v/>
          </cell>
          <cell r="U722">
            <v>71174</v>
          </cell>
          <cell r="V722">
            <v>74134</v>
          </cell>
          <cell r="W722">
            <v>43862</v>
          </cell>
          <cell r="X722" t="str">
            <v>Lokasi Produksi 563A1 ( pecahan 563A )</v>
          </cell>
          <cell r="Z722">
            <v>0</v>
          </cell>
          <cell r="AA722">
            <v>45992</v>
          </cell>
          <cell r="AM722" t="str">
            <v>OK</v>
          </cell>
          <cell r="AO722">
            <v>7.8518441358028213E-2</v>
          </cell>
          <cell r="AP722">
            <v>7.8518441358028213E-2</v>
          </cell>
          <cell r="AQ722">
            <v>0</v>
          </cell>
          <cell r="AR722">
            <v>7.8518441358028213E-2</v>
          </cell>
          <cell r="AS722">
            <v>0</v>
          </cell>
          <cell r="AT722">
            <v>45992</v>
          </cell>
          <cell r="AU722">
            <v>7.8518441358028213E-2</v>
          </cell>
          <cell r="AV722">
            <v>2.3555532407408464</v>
          </cell>
          <cell r="AW722">
            <v>7.8518441358028213E-2</v>
          </cell>
          <cell r="AY722">
            <v>7.4636917824100237</v>
          </cell>
          <cell r="AZ722" t="str">
            <v>F18</v>
          </cell>
          <cell r="BA722">
            <v>0</v>
          </cell>
          <cell r="BB722" t="str">
            <v>NSBK</v>
          </cell>
          <cell r="BC722" t="str">
            <v>F18</v>
          </cell>
        </row>
        <row r="723">
          <cell r="A723" t="str">
            <v>563A2</v>
          </cell>
          <cell r="B723" t="str">
            <v>3</v>
          </cell>
          <cell r="C723" t="str">
            <v>06</v>
          </cell>
          <cell r="D723">
            <v>23</v>
          </cell>
          <cell r="E723" t="str">
            <v>563A2</v>
          </cell>
          <cell r="F723">
            <v>12.28</v>
          </cell>
          <cell r="G723">
            <v>9.67</v>
          </cell>
          <cell r="H723">
            <v>9.67</v>
          </cell>
          <cell r="I723" t="str">
            <v>BB</v>
          </cell>
          <cell r="J723" t="str">
            <v>FC</v>
          </cell>
          <cell r="K723">
            <v>0</v>
          </cell>
          <cell r="L723">
            <v>45716</v>
          </cell>
          <cell r="M723">
            <v>45716</v>
          </cell>
          <cell r="N723">
            <v>278</v>
          </cell>
          <cell r="O723" t="str">
            <v>NS</v>
          </cell>
          <cell r="P723" t="str">
            <v/>
          </cell>
          <cell r="Q723">
            <v>45716</v>
          </cell>
          <cell r="R723" t="str">
            <v/>
          </cell>
          <cell r="S723" t="str">
            <v/>
          </cell>
          <cell r="T723" t="str">
            <v/>
          </cell>
          <cell r="U723">
            <v>9640</v>
          </cell>
          <cell r="V723">
            <v>72325</v>
          </cell>
          <cell r="W723">
            <v>45967</v>
          </cell>
          <cell r="X723" t="str">
            <v>Lokasi Produksi 563A2 ( pecahan 563A )</v>
          </cell>
          <cell r="Z723">
            <v>0</v>
          </cell>
          <cell r="AA723">
            <v>45716</v>
          </cell>
          <cell r="AM723" t="str">
            <v>OK</v>
          </cell>
          <cell r="AO723">
            <v>9.2785184413580275</v>
          </cell>
          <cell r="AP723">
            <v>9.2785184413580275</v>
          </cell>
          <cell r="AQ723">
            <v>0</v>
          </cell>
          <cell r="AR723">
            <v>9.2785184413580275</v>
          </cell>
          <cell r="AS723">
            <v>0</v>
          </cell>
          <cell r="AT723">
            <v>45716</v>
          </cell>
          <cell r="AU723">
            <v>9.2785184413580275</v>
          </cell>
          <cell r="AV723">
            <v>278.35555324074085</v>
          </cell>
          <cell r="AW723">
            <v>9.2785184413580275</v>
          </cell>
          <cell r="AY723">
            <v>283.46369178241002</v>
          </cell>
          <cell r="AZ723" t="str">
            <v>F18</v>
          </cell>
          <cell r="BA723">
            <v>0</v>
          </cell>
          <cell r="BB723" t="str">
            <v>NSBB</v>
          </cell>
          <cell r="BC723" t="str">
            <v>F18</v>
          </cell>
        </row>
        <row r="724">
          <cell r="A724" t="str">
            <v>563B1</v>
          </cell>
          <cell r="B724" t="str">
            <v>3</v>
          </cell>
          <cell r="C724" t="str">
            <v>06</v>
          </cell>
          <cell r="D724">
            <v>23</v>
          </cell>
          <cell r="E724" t="str">
            <v>563B1</v>
          </cell>
          <cell r="F724">
            <v>7.92</v>
          </cell>
          <cell r="G724">
            <v>6.76</v>
          </cell>
          <cell r="H724">
            <v>6.76</v>
          </cell>
          <cell r="I724" t="str">
            <v>FC</v>
          </cell>
          <cell r="J724" t="str">
            <v>ST</v>
          </cell>
          <cell r="K724">
            <v>14</v>
          </cell>
          <cell r="L724">
            <v>45961</v>
          </cell>
          <cell r="M724">
            <v>45961</v>
          </cell>
          <cell r="N724">
            <v>33</v>
          </cell>
          <cell r="O724" t="str">
            <v>NS</v>
          </cell>
          <cell r="P724" t="str">
            <v>NSF18SK3</v>
          </cell>
          <cell r="Q724">
            <v>46388</v>
          </cell>
          <cell r="R724" t="str">
            <v/>
          </cell>
          <cell r="S724" t="str">
            <v/>
          </cell>
          <cell r="T724" t="str">
            <v/>
          </cell>
          <cell r="U724">
            <v>16146</v>
          </cell>
          <cell r="V724">
            <v>16945</v>
          </cell>
          <cell r="W724">
            <v>45522</v>
          </cell>
          <cell r="X724" t="str">
            <v>Lokasi Produksi 563B1 ( pecahan 563B )</v>
          </cell>
          <cell r="Z724">
            <v>14</v>
          </cell>
          <cell r="AA724">
            <v>46388</v>
          </cell>
          <cell r="AM724" t="str">
            <v>OK</v>
          </cell>
          <cell r="AO724">
            <v>1.1118517746913616</v>
          </cell>
          <cell r="AP724">
            <v>-12.888148225308639</v>
          </cell>
          <cell r="AQ724">
            <v>0</v>
          </cell>
          <cell r="AR724">
            <v>1.1118517746913616</v>
          </cell>
          <cell r="AS724">
            <v>0</v>
          </cell>
          <cell r="AT724">
            <v>46388</v>
          </cell>
          <cell r="AU724">
            <v>-12.888148225308639</v>
          </cell>
          <cell r="AV724">
            <v>33.355553240740846</v>
          </cell>
          <cell r="AW724">
            <v>-12.888148225308639</v>
          </cell>
          <cell r="AY724">
            <v>38.463691782410024</v>
          </cell>
          <cell r="AZ724" t="str">
            <v>F18</v>
          </cell>
          <cell r="BA724">
            <v>6.76</v>
          </cell>
          <cell r="BB724" t="str">
            <v>NSFC</v>
          </cell>
          <cell r="BC724" t="str">
            <v>F18SK</v>
          </cell>
        </row>
        <row r="725">
          <cell r="A725" t="str">
            <v>563B2</v>
          </cell>
          <cell r="B725" t="str">
            <v>3</v>
          </cell>
          <cell r="C725" t="str">
            <v>06</v>
          </cell>
          <cell r="D725">
            <v>23</v>
          </cell>
          <cell r="E725" t="str">
            <v>563B2</v>
          </cell>
          <cell r="F725">
            <v>13.01</v>
          </cell>
          <cell r="G725">
            <v>10.31</v>
          </cell>
          <cell r="H725">
            <v>10.31</v>
          </cell>
          <cell r="I725" t="str">
            <v>BB</v>
          </cell>
          <cell r="J725" t="str">
            <v>SC</v>
          </cell>
          <cell r="K725">
            <v>0</v>
          </cell>
          <cell r="L725">
            <v>45716</v>
          </cell>
          <cell r="M725">
            <v>45716</v>
          </cell>
          <cell r="N725">
            <v>278</v>
          </cell>
          <cell r="O725" t="str">
            <v>NS</v>
          </cell>
          <cell r="P725" t="str">
            <v/>
          </cell>
          <cell r="Q725">
            <v>45716</v>
          </cell>
          <cell r="R725" t="str">
            <v/>
          </cell>
          <cell r="S725" t="str">
            <v/>
          </cell>
          <cell r="T725" t="str">
            <v/>
          </cell>
          <cell r="U725">
            <v>9180</v>
          </cell>
          <cell r="V725">
            <v>71865</v>
          </cell>
          <cell r="W725">
            <v>45751</v>
          </cell>
          <cell r="X725" t="str">
            <v>Lokasi Produksi 563B2 ( pecahan 563B )</v>
          </cell>
          <cell r="Z725">
            <v>0</v>
          </cell>
          <cell r="AA725">
            <v>45716</v>
          </cell>
          <cell r="AM725" t="str">
            <v>OK</v>
          </cell>
          <cell r="AO725">
            <v>9.2785184413580275</v>
          </cell>
          <cell r="AP725">
            <v>9.2785184413580275</v>
          </cell>
          <cell r="AQ725">
            <v>0</v>
          </cell>
          <cell r="AR725">
            <v>9.2785184413580275</v>
          </cell>
          <cell r="AS725">
            <v>0</v>
          </cell>
          <cell r="AT725">
            <v>45716</v>
          </cell>
          <cell r="AU725">
            <v>9.2785184413580275</v>
          </cell>
          <cell r="AV725">
            <v>278.35555324074085</v>
          </cell>
          <cell r="AW725">
            <v>9.2785184413580275</v>
          </cell>
          <cell r="AY725">
            <v>283.46369178241002</v>
          </cell>
          <cell r="AZ725" t="str">
            <v>F18</v>
          </cell>
          <cell r="BA725">
            <v>0</v>
          </cell>
          <cell r="BB725" t="str">
            <v>NSBB</v>
          </cell>
          <cell r="BC725" t="str">
            <v>F18</v>
          </cell>
        </row>
        <row r="726">
          <cell r="A726" t="str">
            <v>563C1</v>
          </cell>
          <cell r="B726" t="str">
            <v>3</v>
          </cell>
          <cell r="C726" t="str">
            <v>06</v>
          </cell>
          <cell r="D726">
            <v>23</v>
          </cell>
          <cell r="E726" t="str">
            <v>563C1</v>
          </cell>
          <cell r="F726">
            <v>14.71</v>
          </cell>
          <cell r="G726">
            <v>11.6</v>
          </cell>
          <cell r="H726">
            <v>11.6</v>
          </cell>
          <cell r="I726" t="str">
            <v>SC</v>
          </cell>
          <cell r="J726" t="str">
            <v>FC</v>
          </cell>
          <cell r="K726">
            <v>8</v>
          </cell>
          <cell r="L726">
            <v>45687</v>
          </cell>
          <cell r="M726">
            <v>45687</v>
          </cell>
          <cell r="N726">
            <v>307</v>
          </cell>
          <cell r="O726" t="str">
            <v>NS</v>
          </cell>
          <cell r="P726" t="str">
            <v/>
          </cell>
          <cell r="Q726">
            <v>45931</v>
          </cell>
          <cell r="R726" t="str">
            <v/>
          </cell>
          <cell r="S726" t="str">
            <v/>
          </cell>
          <cell r="T726">
            <v>45922</v>
          </cell>
          <cell r="U726">
            <v>72262</v>
          </cell>
          <cell r="V726">
            <v>52617</v>
          </cell>
          <cell r="W726">
            <v>43837</v>
          </cell>
          <cell r="X726" t="str">
            <v>Lokasi Produksi 563C1 ( pecahan 563C )</v>
          </cell>
          <cell r="Z726">
            <v>8</v>
          </cell>
          <cell r="AA726">
            <v>45931</v>
          </cell>
          <cell r="AM726" t="str">
            <v>OK</v>
          </cell>
          <cell r="AO726">
            <v>10.245185108024694</v>
          </cell>
          <cell r="AP726">
            <v>2.2451851080246943</v>
          </cell>
          <cell r="AQ726">
            <v>45922</v>
          </cell>
          <cell r="AR726">
            <v>7.833333333333333</v>
          </cell>
          <cell r="AS726">
            <v>2.4118517746913612</v>
          </cell>
          <cell r="AT726">
            <v>45931</v>
          </cell>
          <cell r="AU726">
            <v>2.4118517746913612</v>
          </cell>
          <cell r="AV726">
            <v>235</v>
          </cell>
          <cell r="AW726">
            <v>2.4118517746913612</v>
          </cell>
          <cell r="AY726">
            <v>312.46369178241002</v>
          </cell>
          <cell r="AZ726" t="str">
            <v>F18</v>
          </cell>
          <cell r="BA726">
            <v>11.6</v>
          </cell>
          <cell r="BB726" t="str">
            <v>NSSC</v>
          </cell>
          <cell r="BC726" t="str">
            <v>F18</v>
          </cell>
        </row>
        <row r="727">
          <cell r="A727" t="str">
            <v>563C2</v>
          </cell>
          <cell r="B727" t="str">
            <v>3</v>
          </cell>
          <cell r="C727" t="str">
            <v>06</v>
          </cell>
          <cell r="D727">
            <v>23</v>
          </cell>
          <cell r="E727" t="str">
            <v>563C2</v>
          </cell>
          <cell r="F727">
            <v>13.33</v>
          </cell>
          <cell r="G727">
            <v>10.58</v>
          </cell>
          <cell r="H727">
            <v>10.58</v>
          </cell>
          <cell r="I727" t="str">
            <v>SC</v>
          </cell>
          <cell r="J727" t="str">
            <v>FC</v>
          </cell>
          <cell r="K727">
            <v>8</v>
          </cell>
          <cell r="L727">
            <v>45730</v>
          </cell>
          <cell r="M727">
            <v>45730</v>
          </cell>
          <cell r="N727">
            <v>264</v>
          </cell>
          <cell r="O727" t="str">
            <v>NS</v>
          </cell>
          <cell r="P727" t="str">
            <v/>
          </cell>
          <cell r="Q727">
            <v>45974</v>
          </cell>
          <cell r="R727" t="str">
            <v/>
          </cell>
          <cell r="S727" t="str">
            <v/>
          </cell>
          <cell r="T727">
            <v>45974</v>
          </cell>
          <cell r="U727">
            <v>68445</v>
          </cell>
          <cell r="V727">
            <v>70695</v>
          </cell>
          <cell r="W727" t="str">
            <v/>
          </cell>
          <cell r="X727" t="str">
            <v>Lokasi Produksi 563C2 ( pecahan 563C )</v>
          </cell>
          <cell r="Z727">
            <v>8</v>
          </cell>
          <cell r="AA727">
            <v>45974</v>
          </cell>
          <cell r="AM727" t="str">
            <v>OK</v>
          </cell>
          <cell r="AO727">
            <v>8.8118517746913607</v>
          </cell>
          <cell r="AP727">
            <v>0.81185177469136072</v>
          </cell>
          <cell r="AQ727">
            <v>45974</v>
          </cell>
          <cell r="AR727">
            <v>8.1333333333333329</v>
          </cell>
          <cell r="AS727">
            <v>0.67851844135802786</v>
          </cell>
          <cell r="AT727">
            <v>45974</v>
          </cell>
          <cell r="AU727">
            <v>0.67851844135802786</v>
          </cell>
          <cell r="AV727">
            <v>244</v>
          </cell>
          <cell r="AW727">
            <v>0.67851844135802786</v>
          </cell>
          <cell r="AY727">
            <v>269.46369178241002</v>
          </cell>
          <cell r="AZ727" t="str">
            <v>F18</v>
          </cell>
          <cell r="BA727">
            <v>10.58</v>
          </cell>
          <cell r="BB727" t="str">
            <v>NSSC</v>
          </cell>
          <cell r="BC727" t="str">
            <v>F18</v>
          </cell>
        </row>
        <row r="728">
          <cell r="A728" t="str">
            <v>563D</v>
          </cell>
          <cell r="B728" t="str">
            <v>3</v>
          </cell>
          <cell r="C728" t="str">
            <v>06</v>
          </cell>
          <cell r="D728">
            <v>23</v>
          </cell>
          <cell r="E728" t="str">
            <v>563D</v>
          </cell>
          <cell r="F728">
            <v>10.29</v>
          </cell>
          <cell r="G728">
            <v>8.68</v>
          </cell>
          <cell r="H728">
            <v>8.68</v>
          </cell>
          <cell r="I728" t="str">
            <v>FC</v>
          </cell>
          <cell r="J728" t="str">
            <v>ST</v>
          </cell>
          <cell r="K728">
            <v>14</v>
          </cell>
          <cell r="L728">
            <v>45838</v>
          </cell>
          <cell r="M728">
            <v>45838</v>
          </cell>
          <cell r="N728">
            <v>156</v>
          </cell>
          <cell r="O728" t="str">
            <v>NS</v>
          </cell>
          <cell r="P728" t="str">
            <v>NSF18CK3</v>
          </cell>
          <cell r="Q728">
            <v>46265</v>
          </cell>
          <cell r="R728" t="str">
            <v/>
          </cell>
          <cell r="S728" t="str">
            <v/>
          </cell>
          <cell r="T728" t="str">
            <v/>
          </cell>
          <cell r="U728">
            <v>53242</v>
          </cell>
          <cell r="V728">
            <v>55997</v>
          </cell>
          <cell r="W728">
            <v>44219</v>
          </cell>
          <cell r="X728" t="str">
            <v>Lokasi Produksi 563D</v>
          </cell>
          <cell r="Z728">
            <v>14</v>
          </cell>
          <cell r="AA728">
            <v>46265</v>
          </cell>
          <cell r="AM728" t="str">
            <v>OK</v>
          </cell>
          <cell r="AO728">
            <v>5.211851774691362</v>
          </cell>
          <cell r="AP728">
            <v>-8.7881482253086389</v>
          </cell>
          <cell r="AQ728">
            <v>0</v>
          </cell>
          <cell r="AR728">
            <v>5.211851774691362</v>
          </cell>
          <cell r="AS728">
            <v>0</v>
          </cell>
          <cell r="AT728">
            <v>46265</v>
          </cell>
          <cell r="AU728">
            <v>-8.7881482253086389</v>
          </cell>
          <cell r="AV728">
            <v>156.35555324074085</v>
          </cell>
          <cell r="AW728">
            <v>-8.7881482253086389</v>
          </cell>
          <cell r="AY728">
            <v>161.46369178241002</v>
          </cell>
          <cell r="AZ728" t="str">
            <v>F18</v>
          </cell>
          <cell r="BA728">
            <v>8.68</v>
          </cell>
          <cell r="BB728" t="str">
            <v>NSFC</v>
          </cell>
          <cell r="BC728" t="str">
            <v>F18CK</v>
          </cell>
        </row>
        <row r="729">
          <cell r="A729" t="str">
            <v>563E1A</v>
          </cell>
          <cell r="B729" t="str">
            <v>3</v>
          </cell>
          <cell r="C729" t="str">
            <v>06</v>
          </cell>
          <cell r="D729">
            <v>23</v>
          </cell>
          <cell r="E729" t="str">
            <v>563E1A</v>
          </cell>
          <cell r="F729">
            <v>6.14</v>
          </cell>
          <cell r="G729">
            <v>4.82</v>
          </cell>
          <cell r="H729">
            <v>4.82</v>
          </cell>
          <cell r="I729" t="str">
            <v>BK</v>
          </cell>
          <cell r="J729" t="str">
            <v>3R</v>
          </cell>
          <cell r="K729">
            <v>0</v>
          </cell>
          <cell r="L729">
            <v>45958</v>
          </cell>
          <cell r="M729">
            <v>45958</v>
          </cell>
          <cell r="N729">
            <v>36</v>
          </cell>
          <cell r="O729" t="str">
            <v>PS</v>
          </cell>
          <cell r="P729" t="str">
            <v/>
          </cell>
          <cell r="Q729">
            <v>45958</v>
          </cell>
          <cell r="R729" t="str">
            <v/>
          </cell>
          <cell r="S729" t="str">
            <v/>
          </cell>
          <cell r="T729" t="str">
            <v/>
          </cell>
          <cell r="U729">
            <v>9640</v>
          </cell>
          <cell r="V729">
            <v>9680</v>
          </cell>
          <cell r="W729">
            <v>45974</v>
          </cell>
          <cell r="X729" t="str">
            <v>Lokasi Produksi 563E1A ( pecahan 563E1 )</v>
          </cell>
          <cell r="Z729">
            <v>0</v>
          </cell>
          <cell r="AA729">
            <v>45958</v>
          </cell>
          <cell r="AM729" t="str">
            <v>OK</v>
          </cell>
          <cell r="AO729">
            <v>1.2118517746913615</v>
          </cell>
          <cell r="AP729">
            <v>1.2118517746913615</v>
          </cell>
          <cell r="AQ729">
            <v>0</v>
          </cell>
          <cell r="AR729">
            <v>1.2118517746913615</v>
          </cell>
          <cell r="AS729">
            <v>0</v>
          </cell>
          <cell r="AT729">
            <v>45958</v>
          </cell>
          <cell r="AU729">
            <v>1.2118517746913615</v>
          </cell>
          <cell r="AV729">
            <v>36.355553240740846</v>
          </cell>
          <cell r="AW729">
            <v>1.2118517746913615</v>
          </cell>
          <cell r="AY729">
            <v>41.463691782410024</v>
          </cell>
          <cell r="AZ729" t="str">
            <v>F18</v>
          </cell>
          <cell r="BA729">
            <v>0</v>
          </cell>
          <cell r="BB729" t="str">
            <v>PSBK</v>
          </cell>
          <cell r="BC729" t="str">
            <v>F18</v>
          </cell>
        </row>
        <row r="730">
          <cell r="A730" t="str">
            <v>563E1B</v>
          </cell>
          <cell r="B730" t="str">
            <v>3</v>
          </cell>
          <cell r="C730" t="str">
            <v>06</v>
          </cell>
          <cell r="D730">
            <v>23</v>
          </cell>
          <cell r="E730" t="str">
            <v>563E1B</v>
          </cell>
          <cell r="F730">
            <v>5.67</v>
          </cell>
          <cell r="G730">
            <v>4.59</v>
          </cell>
          <cell r="H730">
            <v>4.59</v>
          </cell>
          <cell r="I730" t="str">
            <v>BK</v>
          </cell>
          <cell r="J730" t="str">
            <v>3R</v>
          </cell>
          <cell r="K730">
            <v>0</v>
          </cell>
          <cell r="L730">
            <v>45958</v>
          </cell>
          <cell r="M730">
            <v>45958</v>
          </cell>
          <cell r="N730">
            <v>36</v>
          </cell>
          <cell r="O730" t="str">
            <v>PS</v>
          </cell>
          <cell r="P730" t="str">
            <v/>
          </cell>
          <cell r="Q730">
            <v>45958</v>
          </cell>
          <cell r="R730" t="str">
            <v/>
          </cell>
          <cell r="S730" t="str">
            <v/>
          </cell>
          <cell r="T730" t="str">
            <v/>
          </cell>
          <cell r="U730">
            <v>9180</v>
          </cell>
          <cell r="V730">
            <v>9420</v>
          </cell>
          <cell r="W730">
            <v>45974</v>
          </cell>
          <cell r="X730" t="str">
            <v>Lokasi Produksi 563E1B ( pecahan 563E1 )</v>
          </cell>
          <cell r="Z730">
            <v>0</v>
          </cell>
          <cell r="AA730">
            <v>45958</v>
          </cell>
          <cell r="AM730" t="str">
            <v>OK</v>
          </cell>
          <cell r="AO730">
            <v>1.2118517746913615</v>
          </cell>
          <cell r="AP730">
            <v>1.2118517746913615</v>
          </cell>
          <cell r="AQ730">
            <v>0</v>
          </cell>
          <cell r="AR730">
            <v>1.2118517746913615</v>
          </cell>
          <cell r="AS730">
            <v>0</v>
          </cell>
          <cell r="AT730">
            <v>45958</v>
          </cell>
          <cell r="AU730">
            <v>1.2118517746913615</v>
          </cell>
          <cell r="AV730">
            <v>36.355553240740846</v>
          </cell>
          <cell r="AW730">
            <v>1.2118517746913615</v>
          </cell>
          <cell r="AY730">
            <v>41.463691782410024</v>
          </cell>
          <cell r="AZ730" t="str">
            <v>F18</v>
          </cell>
          <cell r="BA730">
            <v>0</v>
          </cell>
          <cell r="BB730" t="str">
            <v>PSBK</v>
          </cell>
          <cell r="BC730" t="str">
            <v>F18</v>
          </cell>
        </row>
        <row r="731">
          <cell r="A731" t="str">
            <v>563E3</v>
          </cell>
          <cell r="B731" t="str">
            <v>3</v>
          </cell>
          <cell r="C731" t="str">
            <v>06</v>
          </cell>
          <cell r="D731">
            <v>23</v>
          </cell>
          <cell r="E731" t="str">
            <v>563E3</v>
          </cell>
          <cell r="F731">
            <v>8.33</v>
          </cell>
          <cell r="G731">
            <v>6.56</v>
          </cell>
          <cell r="H731">
            <v>6.56</v>
          </cell>
          <cell r="I731" t="str">
            <v>BK</v>
          </cell>
          <cell r="J731" t="str">
            <v/>
          </cell>
          <cell r="K731">
            <v>0</v>
          </cell>
          <cell r="L731">
            <v>45958</v>
          </cell>
          <cell r="M731">
            <v>45958</v>
          </cell>
          <cell r="N731">
            <v>36</v>
          </cell>
          <cell r="O731" t="str">
            <v>PS</v>
          </cell>
          <cell r="P731" t="str">
            <v/>
          </cell>
          <cell r="Q731">
            <v>45958</v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>Lokasi Produksi 563E3 ( gabungan 563E1A+E1B+E2A+E2B )</v>
          </cell>
          <cell r="Z731">
            <v>0</v>
          </cell>
          <cell r="AA731">
            <v>45958</v>
          </cell>
          <cell r="AM731" t="str">
            <v>OK</v>
          </cell>
          <cell r="AO731">
            <v>1.2118517746913615</v>
          </cell>
          <cell r="AP731">
            <v>1.2118517746913615</v>
          </cell>
          <cell r="AQ731">
            <v>0</v>
          </cell>
          <cell r="AR731">
            <v>1.2118517746913615</v>
          </cell>
          <cell r="AS731">
            <v>0</v>
          </cell>
          <cell r="AT731">
            <v>45958</v>
          </cell>
          <cell r="AU731">
            <v>1.2118517746913615</v>
          </cell>
          <cell r="AV731">
            <v>36.355553240740846</v>
          </cell>
          <cell r="AW731">
            <v>1.2118517746913615</v>
          </cell>
          <cell r="AY731">
            <v>41.463691782410024</v>
          </cell>
          <cell r="AZ731" t="str">
            <v>F18</v>
          </cell>
          <cell r="BA731">
            <v>0</v>
          </cell>
          <cell r="BB731" t="str">
            <v>PSBK</v>
          </cell>
          <cell r="BC731" t="str">
            <v>F18</v>
          </cell>
        </row>
        <row r="732">
          <cell r="A732" t="str">
            <v>564A1</v>
          </cell>
          <cell r="B732" t="str">
            <v>3</v>
          </cell>
          <cell r="C732" t="str">
            <v>06</v>
          </cell>
          <cell r="D732">
            <v>23</v>
          </cell>
          <cell r="E732" t="str">
            <v>564A1</v>
          </cell>
          <cell r="F732">
            <v>5.76</v>
          </cell>
          <cell r="G732">
            <v>4.8899999999999997</v>
          </cell>
          <cell r="H732">
            <v>4.8899999999999997</v>
          </cell>
          <cell r="I732" t="str">
            <v>FC</v>
          </cell>
          <cell r="J732" t="str">
            <v>ST</v>
          </cell>
          <cell r="K732">
            <v>10</v>
          </cell>
          <cell r="L732">
            <v>45988</v>
          </cell>
          <cell r="M732">
            <v>45988</v>
          </cell>
          <cell r="N732">
            <v>6</v>
          </cell>
          <cell r="O732" t="str">
            <v>NS</v>
          </cell>
          <cell r="P732" t="str">
            <v>NSF18SB3</v>
          </cell>
          <cell r="Q732">
            <v>46293</v>
          </cell>
          <cell r="R732" t="str">
            <v/>
          </cell>
          <cell r="S732" t="str">
            <v/>
          </cell>
          <cell r="T732" t="str">
            <v/>
          </cell>
          <cell r="U732">
            <v>12351</v>
          </cell>
          <cell r="V732">
            <v>12351</v>
          </cell>
          <cell r="W732" t="str">
            <v/>
          </cell>
          <cell r="X732" t="str">
            <v>Lokasi Produksi 564A1 ( pecahan 564A )</v>
          </cell>
          <cell r="Z732">
            <v>10</v>
          </cell>
          <cell r="AA732">
            <v>46293</v>
          </cell>
          <cell r="AM732" t="str">
            <v>OK</v>
          </cell>
          <cell r="AO732">
            <v>0.21185177469136154</v>
          </cell>
          <cell r="AP732">
            <v>-9.7881482253086389</v>
          </cell>
          <cell r="AQ732">
            <v>0</v>
          </cell>
          <cell r="AR732">
            <v>0.21185177469136154</v>
          </cell>
          <cell r="AS732">
            <v>0</v>
          </cell>
          <cell r="AT732">
            <v>46293</v>
          </cell>
          <cell r="AU732">
            <v>-9.7881482253086389</v>
          </cell>
          <cell r="AV732">
            <v>6.3555532407408464</v>
          </cell>
          <cell r="AW732">
            <v>-9.7881482253086389</v>
          </cell>
          <cell r="AY732">
            <v>11.463691782410024</v>
          </cell>
          <cell r="AZ732" t="str">
            <v>F18</v>
          </cell>
          <cell r="BA732">
            <v>4.8899999999999997</v>
          </cell>
          <cell r="BB732" t="str">
            <v>NSFC</v>
          </cell>
          <cell r="BC732" t="str">
            <v>F18SB</v>
          </cell>
        </row>
        <row r="733">
          <cell r="A733" t="str">
            <v>564A2</v>
          </cell>
          <cell r="B733" t="str">
            <v>3</v>
          </cell>
          <cell r="C733" t="str">
            <v>06</v>
          </cell>
          <cell r="D733">
            <v>23</v>
          </cell>
          <cell r="E733" t="str">
            <v>564A2</v>
          </cell>
          <cell r="F733">
            <v>4.68</v>
          </cell>
          <cell r="G733">
            <v>3.93</v>
          </cell>
          <cell r="H733">
            <v>3.93</v>
          </cell>
          <cell r="I733" t="str">
            <v>FC</v>
          </cell>
          <cell r="J733" t="str">
            <v>ST</v>
          </cell>
          <cell r="K733">
            <v>10</v>
          </cell>
          <cell r="L733">
            <v>45970</v>
          </cell>
          <cell r="M733">
            <v>45970</v>
          </cell>
          <cell r="N733">
            <v>24</v>
          </cell>
          <cell r="O733" t="str">
            <v>NS</v>
          </cell>
          <cell r="P733" t="str">
            <v>NSF18SB3</v>
          </cell>
          <cell r="Q733">
            <v>46275</v>
          </cell>
          <cell r="R733" t="str">
            <v/>
          </cell>
          <cell r="S733" t="str">
            <v/>
          </cell>
          <cell r="T733" t="str">
            <v/>
          </cell>
          <cell r="U733">
            <v>10350</v>
          </cell>
          <cell r="V733">
            <v>10440</v>
          </cell>
          <cell r="W733">
            <v>45714</v>
          </cell>
          <cell r="X733" t="str">
            <v>Lokasi Produksi 564A2 ( pecahan 564A )</v>
          </cell>
          <cell r="Z733">
            <v>10</v>
          </cell>
          <cell r="AA733">
            <v>46275</v>
          </cell>
          <cell r="AM733" t="str">
            <v>OK</v>
          </cell>
          <cell r="AO733">
            <v>0.81185177469136149</v>
          </cell>
          <cell r="AP733">
            <v>-9.1881482253086393</v>
          </cell>
          <cell r="AQ733">
            <v>0</v>
          </cell>
          <cell r="AR733">
            <v>0.81185177469136149</v>
          </cell>
          <cell r="AS733">
            <v>0</v>
          </cell>
          <cell r="AT733">
            <v>46275</v>
          </cell>
          <cell r="AU733">
            <v>-9.1881482253086393</v>
          </cell>
          <cell r="AV733">
            <v>24.355553240740846</v>
          </cell>
          <cell r="AW733">
            <v>-9.1881482253086393</v>
          </cell>
          <cell r="AY733">
            <v>29.463691782410024</v>
          </cell>
          <cell r="AZ733" t="str">
            <v>F18</v>
          </cell>
          <cell r="BA733">
            <v>3.93</v>
          </cell>
          <cell r="BB733" t="str">
            <v>NSFC</v>
          </cell>
          <cell r="BC733" t="str">
            <v>F18SB</v>
          </cell>
        </row>
        <row r="734">
          <cell r="A734" t="str">
            <v>564A3</v>
          </cell>
          <cell r="B734" t="str">
            <v>3</v>
          </cell>
          <cell r="C734" t="str">
            <v>06</v>
          </cell>
          <cell r="D734">
            <v>23</v>
          </cell>
          <cell r="E734" t="str">
            <v>564A3</v>
          </cell>
          <cell r="F734">
            <v>4.58</v>
          </cell>
          <cell r="G734">
            <v>3.86</v>
          </cell>
          <cell r="H734">
            <v>3.86</v>
          </cell>
          <cell r="I734" t="str">
            <v>FC</v>
          </cell>
          <cell r="J734" t="str">
            <v>ST</v>
          </cell>
          <cell r="K734">
            <v>10</v>
          </cell>
          <cell r="L734">
            <v>45950</v>
          </cell>
          <cell r="M734">
            <v>45950</v>
          </cell>
          <cell r="N734">
            <v>44</v>
          </cell>
          <cell r="O734" t="str">
            <v>NS</v>
          </cell>
          <cell r="P734" t="str">
            <v>NSF18SB3</v>
          </cell>
          <cell r="Q734">
            <v>46255</v>
          </cell>
          <cell r="R734" t="str">
            <v/>
          </cell>
          <cell r="S734" t="str">
            <v/>
          </cell>
          <cell r="T734" t="str">
            <v/>
          </cell>
          <cell r="U734">
            <v>71412</v>
          </cell>
          <cell r="V734">
            <v>9015</v>
          </cell>
          <cell r="W734">
            <v>45348</v>
          </cell>
          <cell r="X734" t="str">
            <v>Lokasi Produksi 564A3 ( pecahan 564A )</v>
          </cell>
          <cell r="Z734">
            <v>10</v>
          </cell>
          <cell r="AA734">
            <v>46255</v>
          </cell>
          <cell r="AM734" t="str">
            <v>OK</v>
          </cell>
          <cell r="AO734">
            <v>1.4785184413580281</v>
          </cell>
          <cell r="AP734">
            <v>-8.5214815586419714</v>
          </cell>
          <cell r="AQ734">
            <v>0</v>
          </cell>
          <cell r="AR734">
            <v>1.4785184413580281</v>
          </cell>
          <cell r="AS734">
            <v>0</v>
          </cell>
          <cell r="AT734">
            <v>46255</v>
          </cell>
          <cell r="AU734">
            <v>-8.5214815586419714</v>
          </cell>
          <cell r="AV734">
            <v>44.355553240740846</v>
          </cell>
          <cell r="AW734">
            <v>-8.5214815586419714</v>
          </cell>
          <cell r="AY734">
            <v>49.463691782410024</v>
          </cell>
          <cell r="AZ734" t="str">
            <v>F18</v>
          </cell>
          <cell r="BA734">
            <v>3.86</v>
          </cell>
          <cell r="BB734" t="str">
            <v>NSFC</v>
          </cell>
          <cell r="BC734" t="str">
            <v>F18SB</v>
          </cell>
        </row>
        <row r="735">
          <cell r="A735" t="str">
            <v>564B1</v>
          </cell>
          <cell r="B735" t="str">
            <v>3</v>
          </cell>
          <cell r="C735" t="str">
            <v>06</v>
          </cell>
          <cell r="D735">
            <v>23</v>
          </cell>
          <cell r="E735" t="str">
            <v>564B1</v>
          </cell>
          <cell r="F735">
            <v>8.9</v>
          </cell>
          <cell r="G735">
            <v>7.56</v>
          </cell>
          <cell r="H735">
            <v>7.56</v>
          </cell>
          <cell r="I735" t="str">
            <v>FC</v>
          </cell>
          <cell r="J735" t="str">
            <v>ST</v>
          </cell>
          <cell r="K735">
            <v>12</v>
          </cell>
          <cell r="L735">
            <v>45681</v>
          </cell>
          <cell r="M735">
            <v>45681</v>
          </cell>
          <cell r="N735">
            <v>313</v>
          </cell>
          <cell r="O735" t="str">
            <v>NS</v>
          </cell>
          <cell r="P735" t="str">
            <v>NSGP3SS3</v>
          </cell>
          <cell r="Q735">
            <v>46047</v>
          </cell>
          <cell r="R735" t="str">
            <v/>
          </cell>
          <cell r="S735" t="str">
            <v/>
          </cell>
          <cell r="T735" t="str">
            <v/>
          </cell>
          <cell r="U735">
            <v>70031</v>
          </cell>
          <cell r="V735">
            <v>68061</v>
          </cell>
          <cell r="W735">
            <v>45548</v>
          </cell>
          <cell r="X735" t="str">
            <v>Lokasi Produksi 564B1 ( pecahan 564B )</v>
          </cell>
          <cell r="Z735">
            <v>12</v>
          </cell>
          <cell r="AA735">
            <v>46047</v>
          </cell>
          <cell r="AM735" t="str">
            <v>OK</v>
          </cell>
          <cell r="AO735">
            <v>10.445185108024695</v>
          </cell>
          <cell r="AP735">
            <v>-1.5548148919753046</v>
          </cell>
          <cell r="AQ735">
            <v>0</v>
          </cell>
          <cell r="AR735">
            <v>10.445185108024695</v>
          </cell>
          <cell r="AS735">
            <v>0</v>
          </cell>
          <cell r="AT735">
            <v>46047</v>
          </cell>
          <cell r="AU735">
            <v>-1.5548148919753046</v>
          </cell>
          <cell r="AV735">
            <v>313.35555324074085</v>
          </cell>
          <cell r="AW735">
            <v>-1.5548148919753046</v>
          </cell>
          <cell r="AY735">
            <v>318.46369178241002</v>
          </cell>
          <cell r="AZ735" t="str">
            <v>GP3</v>
          </cell>
          <cell r="BA735">
            <v>7.56</v>
          </cell>
          <cell r="BB735" t="str">
            <v>NSFC</v>
          </cell>
          <cell r="BC735" t="str">
            <v>GP3SS</v>
          </cell>
        </row>
        <row r="736">
          <cell r="A736" t="str">
            <v>564B2</v>
          </cell>
          <cell r="B736" t="str">
            <v>3</v>
          </cell>
          <cell r="C736" t="str">
            <v>06</v>
          </cell>
          <cell r="D736">
            <v>23</v>
          </cell>
          <cell r="E736" t="str">
            <v>564B2</v>
          </cell>
          <cell r="F736">
            <v>9.59</v>
          </cell>
          <cell r="G736">
            <v>8.08</v>
          </cell>
          <cell r="H736">
            <v>8.08</v>
          </cell>
          <cell r="I736" t="str">
            <v>FC</v>
          </cell>
          <cell r="J736" t="str">
            <v>ST</v>
          </cell>
          <cell r="K736">
            <v>12</v>
          </cell>
          <cell r="L736">
            <v>45685</v>
          </cell>
          <cell r="M736">
            <v>45685</v>
          </cell>
          <cell r="N736">
            <v>309</v>
          </cell>
          <cell r="O736" t="str">
            <v>NS</v>
          </cell>
          <cell r="P736" t="str">
            <v>NSGP3SS3</v>
          </cell>
          <cell r="Q736">
            <v>46051</v>
          </cell>
          <cell r="R736" t="str">
            <v/>
          </cell>
          <cell r="S736" t="str">
            <v/>
          </cell>
          <cell r="T736" t="str">
            <v/>
          </cell>
          <cell r="U736">
            <v>69780</v>
          </cell>
          <cell r="V736">
            <v>67892</v>
          </cell>
          <cell r="W736">
            <v>45545</v>
          </cell>
          <cell r="X736" t="str">
            <v>Lokasi Produksi 564B2 ( pecahan 564B )</v>
          </cell>
          <cell r="Z736">
            <v>12</v>
          </cell>
          <cell r="AA736">
            <v>46051</v>
          </cell>
          <cell r="AM736" t="str">
            <v>OK</v>
          </cell>
          <cell r="AO736">
            <v>10.311851774691361</v>
          </cell>
          <cell r="AP736">
            <v>-1.6881482253086393</v>
          </cell>
          <cell r="AQ736">
            <v>0</v>
          </cell>
          <cell r="AR736">
            <v>10.311851774691361</v>
          </cell>
          <cell r="AS736">
            <v>0</v>
          </cell>
          <cell r="AT736">
            <v>46051</v>
          </cell>
          <cell r="AU736">
            <v>-1.6881482253086393</v>
          </cell>
          <cell r="AV736">
            <v>309.35555324074085</v>
          </cell>
          <cell r="AW736">
            <v>-1.6881482253086393</v>
          </cell>
          <cell r="AY736">
            <v>314.46369178241002</v>
          </cell>
          <cell r="AZ736" t="str">
            <v>GP3</v>
          </cell>
          <cell r="BA736">
            <v>8.08</v>
          </cell>
          <cell r="BB736" t="str">
            <v>NSFC</v>
          </cell>
          <cell r="BC736" t="str">
            <v>GP3SS</v>
          </cell>
        </row>
        <row r="737">
          <cell r="A737" t="str">
            <v>564BS</v>
          </cell>
          <cell r="B737" t="str">
            <v>3</v>
          </cell>
          <cell r="C737" t="str">
            <v>06</v>
          </cell>
          <cell r="D737">
            <v>23</v>
          </cell>
          <cell r="E737" t="str">
            <v>564BS</v>
          </cell>
          <cell r="F737">
            <v>2.97</v>
          </cell>
          <cell r="G737">
            <v>2.74</v>
          </cell>
          <cell r="H737">
            <v>2.74</v>
          </cell>
          <cell r="I737" t="str">
            <v>FC</v>
          </cell>
          <cell r="J737" t="str">
            <v>ST</v>
          </cell>
          <cell r="K737">
            <v>0</v>
          </cell>
          <cell r="L737">
            <v>45950</v>
          </cell>
          <cell r="M737">
            <v>45950</v>
          </cell>
          <cell r="N737">
            <v>44</v>
          </cell>
          <cell r="O737" t="str">
            <v>SK</v>
          </cell>
          <cell r="P737" t="str">
            <v/>
          </cell>
          <cell r="Q737">
            <v>45950</v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>Lokasi Produksi 564BS ( singkong )</v>
          </cell>
          <cell r="Z737">
            <v>0</v>
          </cell>
          <cell r="AA737">
            <v>45950</v>
          </cell>
          <cell r="AM737" t="str">
            <v>OK</v>
          </cell>
          <cell r="AO737">
            <v>1.4785184413580281</v>
          </cell>
          <cell r="AP737">
            <v>1.4785184413580281</v>
          </cell>
          <cell r="AQ737">
            <v>0</v>
          </cell>
          <cell r="AR737">
            <v>1.4785184413580281</v>
          </cell>
          <cell r="AS737">
            <v>0</v>
          </cell>
          <cell r="AT737">
            <v>45950</v>
          </cell>
          <cell r="AU737">
            <v>1.4785184413580281</v>
          </cell>
          <cell r="AV737">
            <v>44.355553240740846</v>
          </cell>
          <cell r="AW737">
            <v>1.4785184413580281</v>
          </cell>
          <cell r="AY737">
            <v>49.463691782410024</v>
          </cell>
          <cell r="AZ737" t="str">
            <v>F18</v>
          </cell>
          <cell r="BA737">
            <v>0</v>
          </cell>
          <cell r="BB737" t="str">
            <v>SKFC</v>
          </cell>
          <cell r="BC737" t="str">
            <v>F18</v>
          </cell>
        </row>
        <row r="738">
          <cell r="A738" t="str">
            <v>564C</v>
          </cell>
          <cell r="B738" t="str">
            <v>3</v>
          </cell>
          <cell r="C738" t="str">
            <v>06</v>
          </cell>
          <cell r="D738">
            <v>23</v>
          </cell>
          <cell r="E738" t="str">
            <v>564C</v>
          </cell>
          <cell r="F738">
            <v>12.8</v>
          </cell>
          <cell r="G738">
            <v>10.86</v>
          </cell>
          <cell r="H738">
            <v>10.86</v>
          </cell>
          <cell r="I738" t="str">
            <v>FC</v>
          </cell>
          <cell r="J738" t="str">
            <v>ST</v>
          </cell>
          <cell r="K738">
            <v>14</v>
          </cell>
          <cell r="L738">
            <v>45679</v>
          </cell>
          <cell r="M738">
            <v>45679</v>
          </cell>
          <cell r="N738">
            <v>315</v>
          </cell>
          <cell r="O738" t="str">
            <v>NS</v>
          </cell>
          <cell r="P738" t="str">
            <v>NSF18CK3</v>
          </cell>
          <cell r="Q738">
            <v>46106</v>
          </cell>
          <cell r="R738" t="str">
            <v/>
          </cell>
          <cell r="S738" t="str">
            <v/>
          </cell>
          <cell r="T738" t="str">
            <v/>
          </cell>
          <cell r="U738">
            <v>63123</v>
          </cell>
          <cell r="V738">
            <v>67509</v>
          </cell>
          <cell r="W738">
            <v>43079</v>
          </cell>
          <cell r="X738" t="str">
            <v>Lokasi Produksi 564C</v>
          </cell>
          <cell r="Z738">
            <v>14</v>
          </cell>
          <cell r="AA738">
            <v>46106</v>
          </cell>
          <cell r="AM738" t="str">
            <v>OK</v>
          </cell>
          <cell r="AO738">
            <v>10.511851774691362</v>
          </cell>
          <cell r="AP738">
            <v>-3.4881482253086382</v>
          </cell>
          <cell r="AQ738">
            <v>0</v>
          </cell>
          <cell r="AR738">
            <v>10.511851774691362</v>
          </cell>
          <cell r="AS738">
            <v>0</v>
          </cell>
          <cell r="AT738">
            <v>46106</v>
          </cell>
          <cell r="AU738">
            <v>-3.4881482253086382</v>
          </cell>
          <cell r="AV738">
            <v>315.35555324074085</v>
          </cell>
          <cell r="AW738">
            <v>-3.4881482253086382</v>
          </cell>
          <cell r="AY738">
            <v>320.46369178241002</v>
          </cell>
          <cell r="AZ738" t="str">
            <v>F18</v>
          </cell>
          <cell r="BA738">
            <v>10.86</v>
          </cell>
          <cell r="BB738" t="str">
            <v>NSFC</v>
          </cell>
          <cell r="BC738" t="str">
            <v>F18CK</v>
          </cell>
        </row>
        <row r="739">
          <cell r="A739" t="str">
            <v>564D1A</v>
          </cell>
          <cell r="B739" t="str">
            <v>3</v>
          </cell>
          <cell r="C739" t="str">
            <v>06</v>
          </cell>
          <cell r="D739">
            <v>23</v>
          </cell>
          <cell r="E739" t="str">
            <v>564D1A</v>
          </cell>
          <cell r="F739">
            <v>8.7100000000000009</v>
          </cell>
          <cell r="G739">
            <v>6.39</v>
          </cell>
          <cell r="H739">
            <v>6.39</v>
          </cell>
          <cell r="I739" t="str">
            <v>Y2</v>
          </cell>
          <cell r="J739" t="str">
            <v>FC</v>
          </cell>
          <cell r="K739">
            <v>0</v>
          </cell>
          <cell r="L739">
            <v>45667</v>
          </cell>
          <cell r="M739">
            <v>45667</v>
          </cell>
          <cell r="N739">
            <v>327</v>
          </cell>
          <cell r="O739" t="str">
            <v>PS</v>
          </cell>
          <cell r="P739" t="str">
            <v/>
          </cell>
          <cell r="Q739">
            <v>45667</v>
          </cell>
          <cell r="R739" t="str">
            <v/>
          </cell>
          <cell r="S739" t="str">
            <v/>
          </cell>
          <cell r="T739" t="str">
            <v/>
          </cell>
          <cell r="U739">
            <v>15336</v>
          </cell>
          <cell r="V739" t="str">
            <v/>
          </cell>
          <cell r="W739">
            <v>45667</v>
          </cell>
          <cell r="X739" t="str">
            <v>Lokasi Produksi 564D1A ( pecahan 564D1 )</v>
          </cell>
          <cell r="Z739">
            <v>0</v>
          </cell>
          <cell r="AA739">
            <v>45667</v>
          </cell>
          <cell r="AM739" t="str">
            <v>OK</v>
          </cell>
          <cell r="AO739">
            <v>10.911851774691362</v>
          </cell>
          <cell r="AP739">
            <v>10.911851774691362</v>
          </cell>
          <cell r="AQ739">
            <v>0</v>
          </cell>
          <cell r="AR739">
            <v>10.911851774691362</v>
          </cell>
          <cell r="AS739">
            <v>0</v>
          </cell>
          <cell r="AT739">
            <v>45667</v>
          </cell>
          <cell r="AU739">
            <v>10.911851774691362</v>
          </cell>
          <cell r="AV739">
            <v>327.35555324074085</v>
          </cell>
          <cell r="AW739">
            <v>10.911851774691362</v>
          </cell>
          <cell r="AY739">
            <v>332.46369178241002</v>
          </cell>
          <cell r="AZ739" t="str">
            <v>F18</v>
          </cell>
          <cell r="BA739">
            <v>0</v>
          </cell>
          <cell r="BB739" t="str">
            <v>PSY2</v>
          </cell>
          <cell r="BC739" t="str">
            <v>F18</v>
          </cell>
        </row>
        <row r="740">
          <cell r="A740" t="str">
            <v>564D1B</v>
          </cell>
          <cell r="B740" t="str">
            <v>3</v>
          </cell>
          <cell r="C740" t="str">
            <v>06</v>
          </cell>
          <cell r="D740">
            <v>23</v>
          </cell>
          <cell r="E740" t="str">
            <v>564D1B</v>
          </cell>
          <cell r="F740">
            <v>7.65</v>
          </cell>
          <cell r="G740">
            <v>5.55</v>
          </cell>
          <cell r="H740">
            <v>5.55</v>
          </cell>
          <cell r="I740" t="str">
            <v>Y2</v>
          </cell>
          <cell r="J740" t="str">
            <v>FC</v>
          </cell>
          <cell r="K740">
            <v>0</v>
          </cell>
          <cell r="L740">
            <v>45667</v>
          </cell>
          <cell r="M740">
            <v>45667</v>
          </cell>
          <cell r="N740">
            <v>327</v>
          </cell>
          <cell r="O740" t="str">
            <v>PS</v>
          </cell>
          <cell r="P740" t="str">
            <v/>
          </cell>
          <cell r="Q740">
            <v>45667</v>
          </cell>
          <cell r="R740" t="str">
            <v/>
          </cell>
          <cell r="S740" t="str">
            <v/>
          </cell>
          <cell r="T740" t="str">
            <v/>
          </cell>
          <cell r="U740">
            <v>13320</v>
          </cell>
          <cell r="V740" t="str">
            <v/>
          </cell>
          <cell r="W740">
            <v>45667</v>
          </cell>
          <cell r="X740" t="str">
            <v>Lokasi Produksi 564D1B ( pecahan 564D1 )</v>
          </cell>
          <cell r="Z740">
            <v>0</v>
          </cell>
          <cell r="AA740">
            <v>45667</v>
          </cell>
          <cell r="AM740" t="str">
            <v>OK</v>
          </cell>
          <cell r="AO740">
            <v>10.911851774691362</v>
          </cell>
          <cell r="AP740">
            <v>10.911851774691362</v>
          </cell>
          <cell r="AQ740">
            <v>0</v>
          </cell>
          <cell r="AR740">
            <v>10.911851774691362</v>
          </cell>
          <cell r="AS740">
            <v>0</v>
          </cell>
          <cell r="AT740">
            <v>45667</v>
          </cell>
          <cell r="AU740">
            <v>10.911851774691362</v>
          </cell>
          <cell r="AV740">
            <v>327.35555324074085</v>
          </cell>
          <cell r="AW740">
            <v>10.911851774691362</v>
          </cell>
          <cell r="AY740">
            <v>332.46369178241002</v>
          </cell>
          <cell r="AZ740" t="str">
            <v>F18</v>
          </cell>
          <cell r="BA740">
            <v>0</v>
          </cell>
          <cell r="BB740" t="str">
            <v>PSY2</v>
          </cell>
          <cell r="BC740" t="str">
            <v>F18</v>
          </cell>
        </row>
        <row r="741">
          <cell r="A741" t="str">
            <v>564D2A</v>
          </cell>
          <cell r="B741" t="str">
            <v>3</v>
          </cell>
          <cell r="C741" t="str">
            <v>06</v>
          </cell>
          <cell r="D741">
            <v>23</v>
          </cell>
          <cell r="E741" t="str">
            <v>564D2A</v>
          </cell>
          <cell r="F741">
            <v>4.8499999999999996</v>
          </cell>
          <cell r="G741">
            <v>3.06</v>
          </cell>
          <cell r="H741">
            <v>3.06</v>
          </cell>
          <cell r="I741" t="str">
            <v>Y2</v>
          </cell>
          <cell r="J741" t="str">
            <v>FC</v>
          </cell>
          <cell r="K741">
            <v>0</v>
          </cell>
          <cell r="L741">
            <v>45667</v>
          </cell>
          <cell r="M741">
            <v>45667</v>
          </cell>
          <cell r="N741">
            <v>327</v>
          </cell>
          <cell r="O741" t="str">
            <v>PS</v>
          </cell>
          <cell r="P741" t="str">
            <v/>
          </cell>
          <cell r="Q741">
            <v>45667</v>
          </cell>
          <cell r="R741" t="str">
            <v/>
          </cell>
          <cell r="S741" t="str">
            <v/>
          </cell>
          <cell r="T741" t="str">
            <v/>
          </cell>
          <cell r="U741">
            <v>7344</v>
          </cell>
          <cell r="V741" t="str">
            <v/>
          </cell>
          <cell r="W741">
            <v>45667</v>
          </cell>
          <cell r="X741" t="str">
            <v>Lokasi Produksi 564D2A ( pecahan 564D2 )</v>
          </cell>
          <cell r="Z741">
            <v>0</v>
          </cell>
          <cell r="AA741">
            <v>45667</v>
          </cell>
          <cell r="AM741" t="str">
            <v>OK</v>
          </cell>
          <cell r="AO741">
            <v>10.911851774691362</v>
          </cell>
          <cell r="AP741">
            <v>10.911851774691362</v>
          </cell>
          <cell r="AQ741">
            <v>0</v>
          </cell>
          <cell r="AR741">
            <v>10.911851774691362</v>
          </cell>
          <cell r="AS741">
            <v>0</v>
          </cell>
          <cell r="AT741">
            <v>45667</v>
          </cell>
          <cell r="AU741">
            <v>10.911851774691362</v>
          </cell>
          <cell r="AV741">
            <v>327.35555324074085</v>
          </cell>
          <cell r="AW741">
            <v>10.911851774691362</v>
          </cell>
          <cell r="AY741">
            <v>332.46369178241002</v>
          </cell>
          <cell r="AZ741" t="str">
            <v>F18</v>
          </cell>
          <cell r="BA741">
            <v>0</v>
          </cell>
          <cell r="BB741" t="str">
            <v>PSY2</v>
          </cell>
          <cell r="BC741" t="str">
            <v>F18</v>
          </cell>
        </row>
        <row r="742">
          <cell r="A742" t="str">
            <v>564D2B</v>
          </cell>
          <cell r="B742" t="str">
            <v>3</v>
          </cell>
          <cell r="C742" t="str">
            <v>06</v>
          </cell>
          <cell r="D742">
            <v>23</v>
          </cell>
          <cell r="E742" t="str">
            <v>564D2B</v>
          </cell>
          <cell r="F742">
            <v>7.08</v>
          </cell>
          <cell r="G742">
            <v>4.87</v>
          </cell>
          <cell r="H742">
            <v>4.87</v>
          </cell>
          <cell r="I742" t="str">
            <v>Y2</v>
          </cell>
          <cell r="J742" t="str">
            <v>FC</v>
          </cell>
          <cell r="K742">
            <v>0</v>
          </cell>
          <cell r="L742">
            <v>45667</v>
          </cell>
          <cell r="M742">
            <v>45667</v>
          </cell>
          <cell r="N742">
            <v>327</v>
          </cell>
          <cell r="O742" t="str">
            <v>PS</v>
          </cell>
          <cell r="P742" t="str">
            <v/>
          </cell>
          <cell r="Q742">
            <v>45667</v>
          </cell>
          <cell r="R742" t="str">
            <v/>
          </cell>
          <cell r="S742" t="str">
            <v/>
          </cell>
          <cell r="T742" t="str">
            <v/>
          </cell>
          <cell r="U742">
            <v>11688</v>
          </cell>
          <cell r="V742" t="str">
            <v/>
          </cell>
          <cell r="W742">
            <v>45667</v>
          </cell>
          <cell r="X742" t="str">
            <v>Lokasi Produksi 564D2B ( pecahan 564D2 )</v>
          </cell>
          <cell r="Z742">
            <v>0</v>
          </cell>
          <cell r="AA742">
            <v>45667</v>
          </cell>
          <cell r="AM742" t="str">
            <v>OK</v>
          </cell>
          <cell r="AO742">
            <v>10.911851774691362</v>
          </cell>
          <cell r="AP742">
            <v>10.911851774691362</v>
          </cell>
          <cell r="AQ742">
            <v>0</v>
          </cell>
          <cell r="AR742">
            <v>10.911851774691362</v>
          </cell>
          <cell r="AS742">
            <v>0</v>
          </cell>
          <cell r="AT742">
            <v>45667</v>
          </cell>
          <cell r="AU742">
            <v>10.911851774691362</v>
          </cell>
          <cell r="AV742">
            <v>327.35555324074085</v>
          </cell>
          <cell r="AW742">
            <v>10.911851774691362</v>
          </cell>
          <cell r="AY742">
            <v>332.46369178241002</v>
          </cell>
          <cell r="AZ742" t="str">
            <v>F18</v>
          </cell>
          <cell r="BA742">
            <v>0</v>
          </cell>
          <cell r="BB742" t="str">
            <v>PSY2</v>
          </cell>
          <cell r="BC742" t="str">
            <v>F18</v>
          </cell>
        </row>
        <row r="743">
          <cell r="A743" t="str">
            <v>564DS</v>
          </cell>
          <cell r="B743" t="str">
            <v>3</v>
          </cell>
          <cell r="C743" t="str">
            <v>06</v>
          </cell>
          <cell r="D743">
            <v>23</v>
          </cell>
          <cell r="E743" t="str">
            <v>564DS</v>
          </cell>
          <cell r="F743">
            <v>2.2400000000000002</v>
          </cell>
          <cell r="G743">
            <v>2.2000000000000002</v>
          </cell>
          <cell r="H743">
            <v>2.2000000000000002</v>
          </cell>
          <cell r="I743" t="str">
            <v>BK</v>
          </cell>
          <cell r="J743" t="str">
            <v>FC</v>
          </cell>
          <cell r="K743">
            <v>0</v>
          </cell>
          <cell r="L743">
            <v>45947</v>
          </cell>
          <cell r="M743">
            <v>45947</v>
          </cell>
          <cell r="N743">
            <v>47</v>
          </cell>
          <cell r="O743" t="str">
            <v>SK</v>
          </cell>
          <cell r="P743" t="str">
            <v/>
          </cell>
          <cell r="Q743">
            <v>45947</v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>Lokasi Produksi 564DS ( singkong )</v>
          </cell>
          <cell r="Z743">
            <v>0</v>
          </cell>
          <cell r="AA743">
            <v>45947</v>
          </cell>
          <cell r="AM743" t="str">
            <v>OK</v>
          </cell>
          <cell r="AO743">
            <v>1.5785184413580282</v>
          </cell>
          <cell r="AP743">
            <v>1.5785184413580282</v>
          </cell>
          <cell r="AQ743">
            <v>0</v>
          </cell>
          <cell r="AR743">
            <v>1.5785184413580282</v>
          </cell>
          <cell r="AS743">
            <v>0</v>
          </cell>
          <cell r="AT743">
            <v>45947</v>
          </cell>
          <cell r="AU743">
            <v>1.5785184413580282</v>
          </cell>
          <cell r="AV743">
            <v>47.355553240740846</v>
          </cell>
          <cell r="AW743">
            <v>1.5785184413580282</v>
          </cell>
          <cell r="AY743">
            <v>52.463691782410024</v>
          </cell>
          <cell r="AZ743" t="str">
            <v>F18</v>
          </cell>
          <cell r="BA743">
            <v>0</v>
          </cell>
          <cell r="BB743" t="str">
            <v>SKBK</v>
          </cell>
          <cell r="BC743" t="str">
            <v>F18</v>
          </cell>
        </row>
        <row r="744">
          <cell r="A744" t="str">
            <v>565A1</v>
          </cell>
          <cell r="B744" t="str">
            <v>3</v>
          </cell>
          <cell r="C744" t="str">
            <v>06</v>
          </cell>
          <cell r="D744">
            <v>23</v>
          </cell>
          <cell r="E744" t="str">
            <v>565A1</v>
          </cell>
          <cell r="F744">
            <v>7.12</v>
          </cell>
          <cell r="G744">
            <v>5.62</v>
          </cell>
          <cell r="H744">
            <v>5.62</v>
          </cell>
          <cell r="I744" t="str">
            <v>SC</v>
          </cell>
          <cell r="J744" t="str">
            <v>FC</v>
          </cell>
          <cell r="K744">
            <v>8</v>
          </cell>
          <cell r="L744">
            <v>45653</v>
          </cell>
          <cell r="M744">
            <v>45653</v>
          </cell>
          <cell r="N744">
            <v>341</v>
          </cell>
          <cell r="O744" t="str">
            <v>NS</v>
          </cell>
          <cell r="P744" t="str">
            <v/>
          </cell>
          <cell r="Q744">
            <v>45897</v>
          </cell>
          <cell r="R744" t="str">
            <v/>
          </cell>
          <cell r="S744" t="str">
            <v/>
          </cell>
          <cell r="T744">
            <v>45885</v>
          </cell>
          <cell r="U744">
            <v>69533</v>
          </cell>
          <cell r="V744">
            <v>52529</v>
          </cell>
          <cell r="W744" t="str">
            <v/>
          </cell>
          <cell r="X744" t="str">
            <v>Lokasi Produksi 565A1 ( pecahan 565A )</v>
          </cell>
          <cell r="Z744">
            <v>8</v>
          </cell>
          <cell r="AA744">
            <v>45897</v>
          </cell>
          <cell r="AM744" t="str">
            <v>OK</v>
          </cell>
          <cell r="AO744">
            <v>11.378518441358029</v>
          </cell>
          <cell r="AP744">
            <v>3.3785184413580289</v>
          </cell>
          <cell r="AQ744">
            <v>45885</v>
          </cell>
          <cell r="AR744">
            <v>7.7333333333333334</v>
          </cell>
          <cell r="AS744">
            <v>3.6451851080246955</v>
          </cell>
          <cell r="AT744">
            <v>45897</v>
          </cell>
          <cell r="AU744">
            <v>3.6451851080246955</v>
          </cell>
          <cell r="AV744">
            <v>232</v>
          </cell>
          <cell r="AW744">
            <v>3.6451851080246955</v>
          </cell>
          <cell r="AY744">
            <v>346.46369178241002</v>
          </cell>
          <cell r="AZ744" t="str">
            <v>F18</v>
          </cell>
          <cell r="BA744">
            <v>5.62</v>
          </cell>
          <cell r="BB744" t="str">
            <v>NSSC</v>
          </cell>
          <cell r="BC744" t="str">
            <v>F18</v>
          </cell>
        </row>
        <row r="745">
          <cell r="A745" t="str">
            <v>565A2</v>
          </cell>
          <cell r="B745" t="str">
            <v>3</v>
          </cell>
          <cell r="C745" t="str">
            <v>06</v>
          </cell>
          <cell r="D745">
            <v>23</v>
          </cell>
          <cell r="E745" t="str">
            <v>565A2</v>
          </cell>
          <cell r="F745">
            <v>11.57</v>
          </cell>
          <cell r="G745">
            <v>9.09</v>
          </cell>
          <cell r="H745">
            <v>9.09</v>
          </cell>
          <cell r="I745" t="str">
            <v>SC</v>
          </cell>
          <cell r="J745" t="str">
            <v>FC</v>
          </cell>
          <cell r="K745">
            <v>8</v>
          </cell>
          <cell r="L745">
            <v>45703</v>
          </cell>
          <cell r="M745">
            <v>45703</v>
          </cell>
          <cell r="N745">
            <v>291</v>
          </cell>
          <cell r="O745" t="str">
            <v>NS</v>
          </cell>
          <cell r="P745" t="str">
            <v/>
          </cell>
          <cell r="Q745">
            <v>45947</v>
          </cell>
          <cell r="R745" t="str">
            <v/>
          </cell>
          <cell r="S745" t="str">
            <v/>
          </cell>
          <cell r="T745">
            <v>45936</v>
          </cell>
          <cell r="U745">
            <v>68854</v>
          </cell>
          <cell r="V745">
            <v>52349</v>
          </cell>
          <cell r="W745">
            <v>43879</v>
          </cell>
          <cell r="X745" t="str">
            <v>Lokasi Produksi 565A2 ( pecahan 565A )</v>
          </cell>
          <cell r="Z745">
            <v>8</v>
          </cell>
          <cell r="AA745">
            <v>45947</v>
          </cell>
          <cell r="AM745" t="str">
            <v>OK</v>
          </cell>
          <cell r="AO745">
            <v>9.7118517746913611</v>
          </cell>
          <cell r="AP745">
            <v>1.7118517746913611</v>
          </cell>
          <cell r="AQ745">
            <v>45936</v>
          </cell>
          <cell r="AR745">
            <v>7.7666666666666666</v>
          </cell>
          <cell r="AS745">
            <v>1.9451851080246945</v>
          </cell>
          <cell r="AT745">
            <v>45947</v>
          </cell>
          <cell r="AU745">
            <v>1.9451851080246945</v>
          </cell>
          <cell r="AV745">
            <v>233</v>
          </cell>
          <cell r="AW745">
            <v>1.9451851080246945</v>
          </cell>
          <cell r="AY745">
            <v>296.46369178241002</v>
          </cell>
          <cell r="AZ745" t="str">
            <v>F18</v>
          </cell>
          <cell r="BA745">
            <v>9.09</v>
          </cell>
          <cell r="BB745" t="str">
            <v>NSSC</v>
          </cell>
          <cell r="BC745" t="str">
            <v>F18</v>
          </cell>
        </row>
        <row r="746">
          <cell r="A746" t="str">
            <v>565B1</v>
          </cell>
          <cell r="B746" t="str">
            <v>3</v>
          </cell>
          <cell r="C746" t="str">
            <v>06</v>
          </cell>
          <cell r="D746">
            <v>23</v>
          </cell>
          <cell r="E746" t="str">
            <v>565B1</v>
          </cell>
          <cell r="F746">
            <v>10.52</v>
          </cell>
          <cell r="G746">
            <v>8.75</v>
          </cell>
          <cell r="H746">
            <v>8.75</v>
          </cell>
          <cell r="I746" t="str">
            <v>FC</v>
          </cell>
          <cell r="J746" t="str">
            <v>ST</v>
          </cell>
          <cell r="K746">
            <v>14</v>
          </cell>
          <cell r="L746">
            <v>45628</v>
          </cell>
          <cell r="M746">
            <v>45628</v>
          </cell>
          <cell r="N746">
            <v>366</v>
          </cell>
          <cell r="O746" t="str">
            <v>NS</v>
          </cell>
          <cell r="P746" t="str">
            <v>NSF18CK3</v>
          </cell>
          <cell r="Q746">
            <v>46055</v>
          </cell>
          <cell r="R746" t="str">
            <v/>
          </cell>
          <cell r="S746" t="str">
            <v/>
          </cell>
          <cell r="T746" t="str">
            <v/>
          </cell>
          <cell r="U746">
            <v>63609</v>
          </cell>
          <cell r="V746">
            <v>64986</v>
          </cell>
          <cell r="W746">
            <v>44031</v>
          </cell>
          <cell r="X746" t="str">
            <v>Lokasi Produksi 565B1 (pecahan 565B)</v>
          </cell>
          <cell r="Z746">
            <v>14</v>
          </cell>
          <cell r="AA746">
            <v>46055</v>
          </cell>
          <cell r="AM746" t="str">
            <v>OK</v>
          </cell>
          <cell r="AO746">
            <v>12.211851774691361</v>
          </cell>
          <cell r="AP746">
            <v>-1.7881482253086389</v>
          </cell>
          <cell r="AQ746">
            <v>0</v>
          </cell>
          <cell r="AR746">
            <v>12.211851774691361</v>
          </cell>
          <cell r="AS746">
            <v>0</v>
          </cell>
          <cell r="AT746">
            <v>46055</v>
          </cell>
          <cell r="AU746">
            <v>-1.7881482253086389</v>
          </cell>
          <cell r="AV746">
            <v>366.35555324074085</v>
          </cell>
          <cell r="AW746">
            <v>-1.7881482253086389</v>
          </cell>
          <cell r="AY746">
            <v>371.46369178241002</v>
          </cell>
          <cell r="AZ746" t="str">
            <v>F18</v>
          </cell>
          <cell r="BA746">
            <v>8.75</v>
          </cell>
          <cell r="BB746" t="str">
            <v>NSFC</v>
          </cell>
          <cell r="BC746" t="str">
            <v>F18CK</v>
          </cell>
        </row>
        <row r="747">
          <cell r="A747" t="str">
            <v>565B2</v>
          </cell>
          <cell r="B747" t="str">
            <v>3</v>
          </cell>
          <cell r="C747" t="str">
            <v>06</v>
          </cell>
          <cell r="D747">
            <v>23</v>
          </cell>
          <cell r="E747" t="str">
            <v>565B2</v>
          </cell>
          <cell r="F747">
            <v>8.9</v>
          </cell>
          <cell r="G747">
            <v>7.31</v>
          </cell>
          <cell r="H747">
            <v>7.31</v>
          </cell>
          <cell r="I747" t="str">
            <v>FC</v>
          </cell>
          <cell r="J747" t="str">
            <v>ST</v>
          </cell>
          <cell r="K747">
            <v>14</v>
          </cell>
          <cell r="L747">
            <v>45626</v>
          </cell>
          <cell r="M747">
            <v>45626</v>
          </cell>
          <cell r="N747">
            <v>368</v>
          </cell>
          <cell r="O747" t="str">
            <v>NS</v>
          </cell>
          <cell r="P747" t="str">
            <v>NSF18CK3</v>
          </cell>
          <cell r="Q747">
            <v>46053</v>
          </cell>
          <cell r="R747" t="str">
            <v/>
          </cell>
          <cell r="S747" t="str">
            <v/>
          </cell>
          <cell r="T747" t="str">
            <v/>
          </cell>
          <cell r="U747">
            <v>63360</v>
          </cell>
          <cell r="V747">
            <v>65022</v>
          </cell>
          <cell r="W747">
            <v>45054</v>
          </cell>
          <cell r="X747" t="str">
            <v>Lokasi Produksi 565B2 (pecahan 565B)</v>
          </cell>
          <cell r="Z747">
            <v>14</v>
          </cell>
          <cell r="AA747">
            <v>46053</v>
          </cell>
          <cell r="AM747" t="str">
            <v>OK</v>
          </cell>
          <cell r="AO747">
            <v>12.278518441358028</v>
          </cell>
          <cell r="AP747">
            <v>-1.7214815586419725</v>
          </cell>
          <cell r="AQ747">
            <v>0</v>
          </cell>
          <cell r="AR747">
            <v>12.278518441358028</v>
          </cell>
          <cell r="AS747">
            <v>0</v>
          </cell>
          <cell r="AT747">
            <v>46053</v>
          </cell>
          <cell r="AU747">
            <v>-1.7214815586419725</v>
          </cell>
          <cell r="AV747">
            <v>368.35555324074085</v>
          </cell>
          <cell r="AW747">
            <v>-1.7214815586419725</v>
          </cell>
          <cell r="AY747">
            <v>373.46369178241002</v>
          </cell>
          <cell r="AZ747" t="str">
            <v>F18</v>
          </cell>
          <cell r="BA747">
            <v>7.31</v>
          </cell>
          <cell r="BB747" t="str">
            <v>NSFC</v>
          </cell>
          <cell r="BC747" t="str">
            <v>F18CK</v>
          </cell>
        </row>
        <row r="748">
          <cell r="A748" t="str">
            <v>565B2S</v>
          </cell>
          <cell r="B748" t="str">
            <v>3</v>
          </cell>
          <cell r="C748" t="str">
            <v>06</v>
          </cell>
          <cell r="D748">
            <v>23</v>
          </cell>
          <cell r="E748" t="str">
            <v>565B2S</v>
          </cell>
          <cell r="F748">
            <v>0.28999999999999998</v>
          </cell>
          <cell r="G748">
            <v>0.27</v>
          </cell>
          <cell r="H748">
            <v>0.27</v>
          </cell>
          <cell r="I748" t="str">
            <v>FC</v>
          </cell>
          <cell r="J748" t="str">
            <v>ST</v>
          </cell>
          <cell r="K748">
            <v>0</v>
          </cell>
          <cell r="L748">
            <v>45691</v>
          </cell>
          <cell r="M748">
            <v>45691</v>
          </cell>
          <cell r="N748">
            <v>303</v>
          </cell>
          <cell r="O748" t="str">
            <v>SK</v>
          </cell>
          <cell r="P748" t="str">
            <v/>
          </cell>
          <cell r="Q748">
            <v>45691</v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>Lokasi Produksi 565B2S ( singkong )</v>
          </cell>
          <cell r="Z748">
            <v>0</v>
          </cell>
          <cell r="AA748">
            <v>45691</v>
          </cell>
          <cell r="AM748" t="str">
            <v>OK</v>
          </cell>
          <cell r="AO748">
            <v>10.111851774691361</v>
          </cell>
          <cell r="AP748">
            <v>10.111851774691361</v>
          </cell>
          <cell r="AQ748">
            <v>0</v>
          </cell>
          <cell r="AR748">
            <v>10.111851774691361</v>
          </cell>
          <cell r="AS748">
            <v>0</v>
          </cell>
          <cell r="AT748">
            <v>45691</v>
          </cell>
          <cell r="AU748">
            <v>10.111851774691361</v>
          </cell>
          <cell r="AV748">
            <v>303.35555324074085</v>
          </cell>
          <cell r="AW748">
            <v>10.111851774691361</v>
          </cell>
          <cell r="AY748">
            <v>308.46369178241002</v>
          </cell>
          <cell r="AZ748" t="str">
            <v>F18</v>
          </cell>
          <cell r="BA748">
            <v>0</v>
          </cell>
          <cell r="BB748" t="str">
            <v>SKFC</v>
          </cell>
          <cell r="BC748" t="str">
            <v>F18</v>
          </cell>
        </row>
        <row r="749">
          <cell r="A749" t="str">
            <v>565D1</v>
          </cell>
          <cell r="B749" t="str">
            <v>3</v>
          </cell>
          <cell r="C749" t="str">
            <v>06</v>
          </cell>
          <cell r="D749">
            <v>23</v>
          </cell>
          <cell r="E749" t="str">
            <v>565D1</v>
          </cell>
          <cell r="F749">
            <v>10.49</v>
          </cell>
          <cell r="G749">
            <v>8.89</v>
          </cell>
          <cell r="H749">
            <v>8.89</v>
          </cell>
          <cell r="I749" t="str">
            <v>FC</v>
          </cell>
          <cell r="J749" t="str">
            <v>ST</v>
          </cell>
          <cell r="K749">
            <v>10</v>
          </cell>
          <cell r="L749">
            <v>45861</v>
          </cell>
          <cell r="M749">
            <v>45861</v>
          </cell>
          <cell r="N749">
            <v>133</v>
          </cell>
          <cell r="O749" t="str">
            <v>NS</v>
          </cell>
          <cell r="P749" t="str">
            <v>NSF18SB3</v>
          </cell>
          <cell r="Q749">
            <v>46166</v>
          </cell>
          <cell r="R749" t="str">
            <v/>
          </cell>
          <cell r="S749" t="str">
            <v/>
          </cell>
          <cell r="T749" t="str">
            <v/>
          </cell>
          <cell r="U749">
            <v>71288</v>
          </cell>
          <cell r="V749">
            <v>71833</v>
          </cell>
          <cell r="W749">
            <v>44586</v>
          </cell>
          <cell r="X749" t="str">
            <v>Lokasi Produksi 565D1 ( Pecahan 565D )</v>
          </cell>
          <cell r="Z749">
            <v>10</v>
          </cell>
          <cell r="AA749">
            <v>46166</v>
          </cell>
          <cell r="AM749" t="str">
            <v>OK</v>
          </cell>
          <cell r="AO749">
            <v>4.4451851080246945</v>
          </cell>
          <cell r="AP749">
            <v>-5.5548148919753055</v>
          </cell>
          <cell r="AQ749">
            <v>0</v>
          </cell>
          <cell r="AR749">
            <v>4.4451851080246945</v>
          </cell>
          <cell r="AS749">
            <v>0</v>
          </cell>
          <cell r="AT749">
            <v>46166</v>
          </cell>
          <cell r="AU749">
            <v>-5.5548148919753055</v>
          </cell>
          <cell r="AV749">
            <v>133.35555324074085</v>
          </cell>
          <cell r="AW749">
            <v>-5.5548148919753055</v>
          </cell>
          <cell r="AY749">
            <v>138.46369178241002</v>
          </cell>
          <cell r="AZ749" t="str">
            <v>F18</v>
          </cell>
          <cell r="BA749">
            <v>8.89</v>
          </cell>
          <cell r="BB749" t="str">
            <v>NSFC</v>
          </cell>
          <cell r="BC749" t="str">
            <v>F18SB</v>
          </cell>
        </row>
        <row r="750">
          <cell r="A750" t="str">
            <v>565D2</v>
          </cell>
          <cell r="B750" t="str">
            <v>3</v>
          </cell>
          <cell r="C750" t="str">
            <v>06</v>
          </cell>
          <cell r="D750">
            <v>23</v>
          </cell>
          <cell r="E750" t="str">
            <v>565D2</v>
          </cell>
          <cell r="F750">
            <v>10.82</v>
          </cell>
          <cell r="G750">
            <v>8.76</v>
          </cell>
          <cell r="H750">
            <v>8.76</v>
          </cell>
          <cell r="I750" t="str">
            <v>FC</v>
          </cell>
          <cell r="J750" t="str">
            <v>ST</v>
          </cell>
          <cell r="K750">
            <v>14</v>
          </cell>
          <cell r="L750">
            <v>45852</v>
          </cell>
          <cell r="M750">
            <v>45852</v>
          </cell>
          <cell r="N750">
            <v>142</v>
          </cell>
          <cell r="O750" t="str">
            <v>NS</v>
          </cell>
          <cell r="P750" t="str">
            <v>NSF18CK3</v>
          </cell>
          <cell r="Q750">
            <v>46279</v>
          </cell>
          <cell r="R750" t="str">
            <v/>
          </cell>
          <cell r="S750" t="str">
            <v/>
          </cell>
          <cell r="T750" t="str">
            <v/>
          </cell>
          <cell r="U750">
            <v>68907</v>
          </cell>
          <cell r="V750">
            <v>54566</v>
          </cell>
          <cell r="W750">
            <v>44219</v>
          </cell>
          <cell r="X750" t="str">
            <v>Lokasi Produksi 565D2 ( Pecahan 565D )</v>
          </cell>
          <cell r="Z750">
            <v>14</v>
          </cell>
          <cell r="AA750">
            <v>46279</v>
          </cell>
          <cell r="AM750" t="str">
            <v>OK</v>
          </cell>
          <cell r="AO750">
            <v>4.7451851080246952</v>
          </cell>
          <cell r="AP750">
            <v>-9.2548148919753039</v>
          </cell>
          <cell r="AQ750">
            <v>0</v>
          </cell>
          <cell r="AR750">
            <v>4.7451851080246952</v>
          </cell>
          <cell r="AS750">
            <v>0</v>
          </cell>
          <cell r="AT750">
            <v>46279</v>
          </cell>
          <cell r="AU750">
            <v>-9.2548148919753039</v>
          </cell>
          <cell r="AV750">
            <v>142.35555324074085</v>
          </cell>
          <cell r="AW750">
            <v>-9.2548148919753039</v>
          </cell>
          <cell r="AY750">
            <v>147.46369178241002</v>
          </cell>
          <cell r="AZ750" t="str">
            <v>F18</v>
          </cell>
          <cell r="BA750">
            <v>8.76</v>
          </cell>
          <cell r="BB750" t="str">
            <v>NSFC</v>
          </cell>
          <cell r="BC750" t="str">
            <v>F18CK</v>
          </cell>
        </row>
        <row r="751">
          <cell r="A751" t="str">
            <v>565DS</v>
          </cell>
          <cell r="B751" t="str">
            <v>3</v>
          </cell>
          <cell r="C751" t="str">
            <v>06</v>
          </cell>
          <cell r="D751">
            <v>23</v>
          </cell>
          <cell r="E751" t="str">
            <v>565DS</v>
          </cell>
          <cell r="F751">
            <v>1.02</v>
          </cell>
          <cell r="G751">
            <v>1.02</v>
          </cell>
          <cell r="H751">
            <v>1.02</v>
          </cell>
          <cell r="I751" t="str">
            <v>FC</v>
          </cell>
          <cell r="J751" t="str">
            <v>ST</v>
          </cell>
          <cell r="K751">
            <v>0</v>
          </cell>
          <cell r="L751">
            <v>45690</v>
          </cell>
          <cell r="M751">
            <v>45690</v>
          </cell>
          <cell r="N751">
            <v>304</v>
          </cell>
          <cell r="O751" t="str">
            <v>SK</v>
          </cell>
          <cell r="P751" t="str">
            <v/>
          </cell>
          <cell r="Q751">
            <v>45690</v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>Lokasi Produksi 565DS ( singkong )</v>
          </cell>
          <cell r="Z751">
            <v>0</v>
          </cell>
          <cell r="AA751">
            <v>45690</v>
          </cell>
          <cell r="AM751" t="str">
            <v>OK</v>
          </cell>
          <cell r="AO751">
            <v>10.145185108024695</v>
          </cell>
          <cell r="AP751">
            <v>10.145185108024695</v>
          </cell>
          <cell r="AQ751">
            <v>0</v>
          </cell>
          <cell r="AR751">
            <v>10.145185108024695</v>
          </cell>
          <cell r="AS751">
            <v>0</v>
          </cell>
          <cell r="AT751">
            <v>45690</v>
          </cell>
          <cell r="AU751">
            <v>10.145185108024695</v>
          </cell>
          <cell r="AV751">
            <v>304.35555324074085</v>
          </cell>
          <cell r="AW751">
            <v>10.145185108024695</v>
          </cell>
          <cell r="AY751">
            <v>309.46369178241002</v>
          </cell>
          <cell r="AZ751" t="str">
            <v>F18</v>
          </cell>
          <cell r="BA751">
            <v>0</v>
          </cell>
          <cell r="BB751" t="str">
            <v>SKFC</v>
          </cell>
          <cell r="BC751" t="str">
            <v>F18</v>
          </cell>
        </row>
        <row r="752">
          <cell r="A752" t="str">
            <v>565E1</v>
          </cell>
          <cell r="B752" t="str">
            <v>3</v>
          </cell>
          <cell r="C752" t="str">
            <v>06</v>
          </cell>
          <cell r="D752">
            <v>23</v>
          </cell>
          <cell r="E752" t="str">
            <v>565E1</v>
          </cell>
          <cell r="F752">
            <v>14.35</v>
          </cell>
          <cell r="G752">
            <v>12.28</v>
          </cell>
          <cell r="H752">
            <v>12.28</v>
          </cell>
          <cell r="I752" t="str">
            <v>FC</v>
          </cell>
          <cell r="J752" t="str">
            <v>ST</v>
          </cell>
          <cell r="K752">
            <v>14</v>
          </cell>
          <cell r="L752">
            <v>45838</v>
          </cell>
          <cell r="M752">
            <v>45838</v>
          </cell>
          <cell r="N752">
            <v>156</v>
          </cell>
          <cell r="O752" t="str">
            <v>NS</v>
          </cell>
          <cell r="P752" t="str">
            <v>NSF18CK3</v>
          </cell>
          <cell r="Q752">
            <v>46265</v>
          </cell>
          <cell r="R752" t="str">
            <v/>
          </cell>
          <cell r="S752" t="str">
            <v/>
          </cell>
          <cell r="T752" t="str">
            <v/>
          </cell>
          <cell r="U752">
            <v>55610</v>
          </cell>
          <cell r="V752">
            <v>51930</v>
          </cell>
          <cell r="W752">
            <v>44070</v>
          </cell>
          <cell r="X752" t="str">
            <v>Lokasi Produksi 565E1 ( Pecahan 565E )</v>
          </cell>
          <cell r="Z752">
            <v>14</v>
          </cell>
          <cell r="AA752">
            <v>46265</v>
          </cell>
          <cell r="AM752" t="str">
            <v>OK</v>
          </cell>
          <cell r="AO752">
            <v>5.211851774691362</v>
          </cell>
          <cell r="AP752">
            <v>-8.7881482253086389</v>
          </cell>
          <cell r="AQ752">
            <v>0</v>
          </cell>
          <cell r="AR752">
            <v>5.211851774691362</v>
          </cell>
          <cell r="AS752">
            <v>0</v>
          </cell>
          <cell r="AT752">
            <v>46265</v>
          </cell>
          <cell r="AU752">
            <v>-8.7881482253086389</v>
          </cell>
          <cell r="AV752">
            <v>156.35555324074085</v>
          </cell>
          <cell r="AW752">
            <v>-8.7881482253086389</v>
          </cell>
          <cell r="AY752">
            <v>161.46369178241002</v>
          </cell>
          <cell r="AZ752" t="str">
            <v>F18</v>
          </cell>
          <cell r="BA752">
            <v>12.28</v>
          </cell>
          <cell r="BB752" t="str">
            <v>NSFC</v>
          </cell>
          <cell r="BC752" t="str">
            <v>F18CK</v>
          </cell>
        </row>
        <row r="753">
          <cell r="A753" t="str">
            <v>565E2</v>
          </cell>
          <cell r="B753" t="str">
            <v>3</v>
          </cell>
          <cell r="C753" t="str">
            <v>06</v>
          </cell>
          <cell r="D753">
            <v>23</v>
          </cell>
          <cell r="E753" t="str">
            <v>565E2</v>
          </cell>
          <cell r="F753">
            <v>10.48</v>
          </cell>
          <cell r="G753">
            <v>8.89</v>
          </cell>
          <cell r="H753">
            <v>8.89</v>
          </cell>
          <cell r="I753" t="str">
            <v>FC</v>
          </cell>
          <cell r="J753" t="str">
            <v>ST</v>
          </cell>
          <cell r="K753">
            <v>14</v>
          </cell>
          <cell r="L753">
            <v>45939</v>
          </cell>
          <cell r="M753">
            <v>45939</v>
          </cell>
          <cell r="N753">
            <v>55</v>
          </cell>
          <cell r="O753" t="str">
            <v>NS</v>
          </cell>
          <cell r="P753" t="str">
            <v>NSGP3CK3</v>
          </cell>
          <cell r="Q753">
            <v>46366</v>
          </cell>
          <cell r="R753" t="str">
            <v/>
          </cell>
          <cell r="S753" t="str">
            <v/>
          </cell>
          <cell r="T753" t="str">
            <v/>
          </cell>
          <cell r="U753">
            <v>70762</v>
          </cell>
          <cell r="V753">
            <v>52590</v>
          </cell>
          <cell r="W753">
            <v>43102</v>
          </cell>
          <cell r="X753" t="str">
            <v>Lokasi Produksi 565E2 ( Pecahan 565E )</v>
          </cell>
          <cell r="Z753">
            <v>14</v>
          </cell>
          <cell r="AA753">
            <v>46366</v>
          </cell>
          <cell r="AM753" t="str">
            <v>OK</v>
          </cell>
          <cell r="AO753">
            <v>1.8451851080246948</v>
          </cell>
          <cell r="AP753">
            <v>-12.154814891975306</v>
          </cell>
          <cell r="AQ753">
            <v>0</v>
          </cell>
          <cell r="AR753">
            <v>1.8451851080246948</v>
          </cell>
          <cell r="AS753">
            <v>0</v>
          </cell>
          <cell r="AT753">
            <v>46366</v>
          </cell>
          <cell r="AU753">
            <v>-12.154814891975306</v>
          </cell>
          <cell r="AV753">
            <v>55.355553240740846</v>
          </cell>
          <cell r="AW753">
            <v>-12.154814891975306</v>
          </cell>
          <cell r="AY753">
            <v>60.463691782410024</v>
          </cell>
          <cell r="AZ753" t="str">
            <v>GP3</v>
          </cell>
          <cell r="BA753">
            <v>8.89</v>
          </cell>
          <cell r="BB753" t="str">
            <v>NSFC</v>
          </cell>
          <cell r="BC753" t="str">
            <v>GP3CK</v>
          </cell>
        </row>
        <row r="754">
          <cell r="A754" t="str">
            <v>565E2S</v>
          </cell>
          <cell r="B754" t="str">
            <v>3</v>
          </cell>
          <cell r="C754" t="str">
            <v>06</v>
          </cell>
          <cell r="D754">
            <v>23</v>
          </cell>
          <cell r="E754" t="str">
            <v>565E2S</v>
          </cell>
          <cell r="F754">
            <v>0.37</v>
          </cell>
          <cell r="G754">
            <v>0.37</v>
          </cell>
          <cell r="H754">
            <v>0.37</v>
          </cell>
          <cell r="I754" t="str">
            <v>FC</v>
          </cell>
          <cell r="J754" t="str">
            <v>ST</v>
          </cell>
          <cell r="K754">
            <v>0</v>
          </cell>
          <cell r="L754">
            <v>45947</v>
          </cell>
          <cell r="M754">
            <v>45947</v>
          </cell>
          <cell r="N754">
            <v>47</v>
          </cell>
          <cell r="O754" t="str">
            <v>SK</v>
          </cell>
          <cell r="P754" t="str">
            <v/>
          </cell>
          <cell r="Q754">
            <v>45947</v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>
            <v>45974</v>
          </cell>
          <cell r="X754" t="str">
            <v>Lokasi Produksi 565E2S ( singkong )</v>
          </cell>
          <cell r="Z754">
            <v>0</v>
          </cell>
          <cell r="AA754">
            <v>45947</v>
          </cell>
          <cell r="AM754" t="str">
            <v>OK</v>
          </cell>
          <cell r="AO754">
            <v>1.5785184413580282</v>
          </cell>
          <cell r="AP754">
            <v>1.5785184413580282</v>
          </cell>
          <cell r="AQ754">
            <v>0</v>
          </cell>
          <cell r="AR754">
            <v>1.5785184413580282</v>
          </cell>
          <cell r="AS754">
            <v>0</v>
          </cell>
          <cell r="AT754">
            <v>45947</v>
          </cell>
          <cell r="AU754">
            <v>1.5785184413580282</v>
          </cell>
          <cell r="AV754">
            <v>47.355553240740846</v>
          </cell>
          <cell r="AW754">
            <v>1.5785184413580282</v>
          </cell>
          <cell r="AY754">
            <v>52.463691782410024</v>
          </cell>
          <cell r="AZ754" t="str">
            <v>F18</v>
          </cell>
          <cell r="BA754">
            <v>0</v>
          </cell>
          <cell r="BB754" t="str">
            <v>SKFC</v>
          </cell>
          <cell r="BC754" t="str">
            <v>F18</v>
          </cell>
        </row>
        <row r="755">
          <cell r="A755" t="str">
            <v>565F1</v>
          </cell>
          <cell r="B755" t="str">
            <v>3</v>
          </cell>
          <cell r="C755" t="str">
            <v>06</v>
          </cell>
          <cell r="D755">
            <v>23</v>
          </cell>
          <cell r="E755" t="str">
            <v>565F1</v>
          </cell>
          <cell r="F755">
            <v>15.43</v>
          </cell>
          <cell r="G755">
            <v>12.03</v>
          </cell>
          <cell r="H755">
            <v>12.03</v>
          </cell>
          <cell r="I755" t="str">
            <v>Y1</v>
          </cell>
          <cell r="J755" t="str">
            <v>TU</v>
          </cell>
          <cell r="K755">
            <v>0</v>
          </cell>
          <cell r="L755">
            <v>45908</v>
          </cell>
          <cell r="M755">
            <v>45908</v>
          </cell>
          <cell r="N755">
            <v>86</v>
          </cell>
          <cell r="O755" t="str">
            <v>PS</v>
          </cell>
          <cell r="P755" t="str">
            <v/>
          </cell>
          <cell r="Q755">
            <v>45908</v>
          </cell>
          <cell r="R755" t="str">
            <v/>
          </cell>
          <cell r="S755" t="str">
            <v/>
          </cell>
          <cell r="T755" t="str">
            <v/>
          </cell>
          <cell r="U755">
            <v>29686</v>
          </cell>
          <cell r="V755">
            <v>55466</v>
          </cell>
          <cell r="W755">
            <v>46076</v>
          </cell>
          <cell r="X755" t="str">
            <v>Lokasi Produksi 565F1 ( Pecahan 565F )</v>
          </cell>
          <cell r="Z755">
            <v>0</v>
          </cell>
          <cell r="AA755">
            <v>45908</v>
          </cell>
          <cell r="AM755" t="str">
            <v>OK</v>
          </cell>
          <cell r="AO755">
            <v>2.878518441358028</v>
          </cell>
          <cell r="AP755">
            <v>2.878518441358028</v>
          </cell>
          <cell r="AQ755">
            <v>0</v>
          </cell>
          <cell r="AR755">
            <v>2.878518441358028</v>
          </cell>
          <cell r="AS755">
            <v>0</v>
          </cell>
          <cell r="AT755">
            <v>45908</v>
          </cell>
          <cell r="AU755">
            <v>2.878518441358028</v>
          </cell>
          <cell r="AV755">
            <v>86.355553240740846</v>
          </cell>
          <cell r="AW755">
            <v>2.878518441358028</v>
          </cell>
          <cell r="AY755">
            <v>91.463691782410024</v>
          </cell>
          <cell r="AZ755" t="str">
            <v>F18</v>
          </cell>
          <cell r="BA755">
            <v>0</v>
          </cell>
          <cell r="BB755" t="str">
            <v>PSY1</v>
          </cell>
          <cell r="BC755" t="str">
            <v>F18</v>
          </cell>
        </row>
        <row r="756">
          <cell r="A756" t="str">
            <v>565F2A</v>
          </cell>
          <cell r="B756" t="str">
            <v>3</v>
          </cell>
          <cell r="C756" t="str">
            <v>06</v>
          </cell>
          <cell r="D756">
            <v>23</v>
          </cell>
          <cell r="E756" t="str">
            <v>565F2A</v>
          </cell>
          <cell r="F756">
            <v>6.26</v>
          </cell>
          <cell r="G756">
            <v>4.79</v>
          </cell>
          <cell r="H756">
            <v>4.79</v>
          </cell>
          <cell r="I756" t="str">
            <v>Y1</v>
          </cell>
          <cell r="J756" t="str">
            <v>TU</v>
          </cell>
          <cell r="K756">
            <v>0</v>
          </cell>
          <cell r="L756">
            <v>45869</v>
          </cell>
          <cell r="M756">
            <v>45869</v>
          </cell>
          <cell r="N756">
            <v>125</v>
          </cell>
          <cell r="O756" t="str">
            <v>PS</v>
          </cell>
          <cell r="P756" t="str">
            <v/>
          </cell>
          <cell r="Q756">
            <v>45869</v>
          </cell>
          <cell r="R756" t="str">
            <v/>
          </cell>
          <cell r="S756" t="str">
            <v/>
          </cell>
          <cell r="T756" t="str">
            <v/>
          </cell>
          <cell r="U756">
            <v>11887</v>
          </cell>
          <cell r="V756" t="str">
            <v/>
          </cell>
          <cell r="W756">
            <v>46074</v>
          </cell>
          <cell r="X756" t="str">
            <v>Lokasi Produksi 565F2A ( pecahan 565F2 )</v>
          </cell>
          <cell r="Z756">
            <v>0</v>
          </cell>
          <cell r="AA756">
            <v>45869</v>
          </cell>
          <cell r="AM756" t="str">
            <v>OK</v>
          </cell>
          <cell r="AO756">
            <v>4.1785184413580279</v>
          </cell>
          <cell r="AP756">
            <v>4.1785184413580279</v>
          </cell>
          <cell r="AQ756">
            <v>0</v>
          </cell>
          <cell r="AR756">
            <v>4.1785184413580279</v>
          </cell>
          <cell r="AS756">
            <v>0</v>
          </cell>
          <cell r="AT756">
            <v>45869</v>
          </cell>
          <cell r="AU756">
            <v>4.1785184413580279</v>
          </cell>
          <cell r="AV756">
            <v>125.35555324074083</v>
          </cell>
          <cell r="AW756">
            <v>4.1785184413580279</v>
          </cell>
          <cell r="AY756">
            <v>130.46369178241002</v>
          </cell>
          <cell r="AZ756" t="str">
            <v>F18</v>
          </cell>
          <cell r="BA756">
            <v>0</v>
          </cell>
          <cell r="BB756" t="str">
            <v>PSY1</v>
          </cell>
          <cell r="BC756" t="str">
            <v>F18</v>
          </cell>
        </row>
        <row r="757">
          <cell r="A757" t="str">
            <v>565F2B</v>
          </cell>
          <cell r="B757" t="str">
            <v>3</v>
          </cell>
          <cell r="C757" t="str">
            <v>06</v>
          </cell>
          <cell r="D757">
            <v>23</v>
          </cell>
          <cell r="E757" t="str">
            <v>565F2B</v>
          </cell>
          <cell r="F757">
            <v>4.03</v>
          </cell>
          <cell r="G757">
            <v>3.04</v>
          </cell>
          <cell r="H757">
            <v>3.04</v>
          </cell>
          <cell r="I757" t="str">
            <v>Y1</v>
          </cell>
          <cell r="J757" t="str">
            <v>TU</v>
          </cell>
          <cell r="K757">
            <v>0</v>
          </cell>
          <cell r="L757">
            <v>45875</v>
          </cell>
          <cell r="M757">
            <v>45875</v>
          </cell>
          <cell r="N757">
            <v>119</v>
          </cell>
          <cell r="O757" t="str">
            <v>PS</v>
          </cell>
          <cell r="P757" t="str">
            <v/>
          </cell>
          <cell r="Q757">
            <v>45875</v>
          </cell>
          <cell r="R757" t="str">
            <v/>
          </cell>
          <cell r="S757" t="str">
            <v/>
          </cell>
          <cell r="T757" t="str">
            <v/>
          </cell>
          <cell r="U757">
            <v>7545</v>
          </cell>
          <cell r="V757" t="str">
            <v/>
          </cell>
          <cell r="W757">
            <v>46074</v>
          </cell>
          <cell r="X757" t="str">
            <v>Lokasi Produksi 565F2B ( pecahan 565F2 )</v>
          </cell>
          <cell r="Z757">
            <v>0</v>
          </cell>
          <cell r="AA757">
            <v>45875</v>
          </cell>
          <cell r="AM757" t="str">
            <v>OK</v>
          </cell>
          <cell r="AO757">
            <v>3.9785184413580281</v>
          </cell>
          <cell r="AP757">
            <v>3.9785184413580281</v>
          </cell>
          <cell r="AQ757">
            <v>0</v>
          </cell>
          <cell r="AR757">
            <v>3.9785184413580281</v>
          </cell>
          <cell r="AS757">
            <v>0</v>
          </cell>
          <cell r="AT757">
            <v>45875</v>
          </cell>
          <cell r="AU757">
            <v>3.9785184413580281</v>
          </cell>
          <cell r="AV757">
            <v>119.35555324074085</v>
          </cell>
          <cell r="AW757">
            <v>3.9785184413580281</v>
          </cell>
          <cell r="AY757">
            <v>124.46369178241002</v>
          </cell>
          <cell r="AZ757" t="str">
            <v>F18</v>
          </cell>
          <cell r="BA757">
            <v>0</v>
          </cell>
          <cell r="BB757" t="str">
            <v>PSY1</v>
          </cell>
          <cell r="BC757" t="str">
            <v>F18</v>
          </cell>
        </row>
        <row r="758">
          <cell r="A758" t="str">
            <v>565FS</v>
          </cell>
          <cell r="B758" t="str">
            <v>3</v>
          </cell>
          <cell r="C758" t="str">
            <v>06</v>
          </cell>
          <cell r="D758">
            <v>23</v>
          </cell>
          <cell r="E758" t="str">
            <v>565FS</v>
          </cell>
          <cell r="F758">
            <v>0.22</v>
          </cell>
          <cell r="G758">
            <v>0.22</v>
          </cell>
          <cell r="H758">
            <v>0.22</v>
          </cell>
          <cell r="I758" t="str">
            <v>FC</v>
          </cell>
          <cell r="J758" t="str">
            <v>ST</v>
          </cell>
          <cell r="K758">
            <v>0</v>
          </cell>
          <cell r="L758">
            <v>45690</v>
          </cell>
          <cell r="M758">
            <v>45690</v>
          </cell>
          <cell r="N758">
            <v>304</v>
          </cell>
          <cell r="O758" t="str">
            <v>SK</v>
          </cell>
          <cell r="P758" t="str">
            <v/>
          </cell>
          <cell r="Q758">
            <v>45690</v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>Lokasi Produksi 565FS ( singkong )</v>
          </cell>
          <cell r="Z758">
            <v>0</v>
          </cell>
          <cell r="AA758">
            <v>45690</v>
          </cell>
          <cell r="AM758" t="str">
            <v>OK</v>
          </cell>
          <cell r="AO758">
            <v>10.145185108024695</v>
          </cell>
          <cell r="AP758">
            <v>10.145185108024695</v>
          </cell>
          <cell r="AQ758">
            <v>0</v>
          </cell>
          <cell r="AR758">
            <v>10.145185108024695</v>
          </cell>
          <cell r="AS758">
            <v>0</v>
          </cell>
          <cell r="AT758">
            <v>45690</v>
          </cell>
          <cell r="AU758">
            <v>10.145185108024695</v>
          </cell>
          <cell r="AV758">
            <v>304.35555324074085</v>
          </cell>
          <cell r="AW758">
            <v>10.145185108024695</v>
          </cell>
          <cell r="AY758">
            <v>309.46369178241002</v>
          </cell>
          <cell r="AZ758" t="str">
            <v>F18</v>
          </cell>
          <cell r="BA758">
            <v>0</v>
          </cell>
          <cell r="BB758" t="str">
            <v>SKFC</v>
          </cell>
          <cell r="BC758" t="str">
            <v>F18</v>
          </cell>
        </row>
        <row r="759">
          <cell r="A759" t="str">
            <v>566A</v>
          </cell>
          <cell r="B759" t="str">
            <v>3</v>
          </cell>
          <cell r="C759" t="str">
            <v>06</v>
          </cell>
          <cell r="D759">
            <v>23</v>
          </cell>
          <cell r="E759" t="str">
            <v>566A</v>
          </cell>
          <cell r="F759">
            <v>8.33</v>
          </cell>
          <cell r="G759">
            <v>6.93</v>
          </cell>
          <cell r="H759">
            <v>6.93</v>
          </cell>
          <cell r="I759" t="str">
            <v>FC</v>
          </cell>
          <cell r="J759" t="str">
            <v>ST</v>
          </cell>
          <cell r="K759">
            <v>14</v>
          </cell>
          <cell r="L759">
            <v>45612</v>
          </cell>
          <cell r="M759">
            <v>45612</v>
          </cell>
          <cell r="N759">
            <v>382</v>
          </cell>
          <cell r="O759" t="str">
            <v>NS</v>
          </cell>
          <cell r="P759" t="str">
            <v>NSF18CK3</v>
          </cell>
          <cell r="Q759">
            <v>46039</v>
          </cell>
          <cell r="R759" t="str">
            <v/>
          </cell>
          <cell r="S759" t="str">
            <v/>
          </cell>
          <cell r="T759" t="str">
            <v/>
          </cell>
          <cell r="U759">
            <v>64767</v>
          </cell>
          <cell r="V759">
            <v>64460</v>
          </cell>
          <cell r="W759" t="str">
            <v/>
          </cell>
          <cell r="X759" t="str">
            <v>Lokasi Produksi 566A</v>
          </cell>
          <cell r="Z759">
            <v>14</v>
          </cell>
          <cell r="AA759">
            <v>46039</v>
          </cell>
          <cell r="AM759" t="str">
            <v>OK</v>
          </cell>
          <cell r="AO759">
            <v>12.745185108024694</v>
          </cell>
          <cell r="AP759">
            <v>-1.2548148919753057</v>
          </cell>
          <cell r="AQ759">
            <v>0</v>
          </cell>
          <cell r="AR759">
            <v>12.745185108024694</v>
          </cell>
          <cell r="AS759">
            <v>0</v>
          </cell>
          <cell r="AT759">
            <v>46039</v>
          </cell>
          <cell r="AU759">
            <v>-1.2548148919753057</v>
          </cell>
          <cell r="AV759">
            <v>382.35555324074085</v>
          </cell>
          <cell r="AW759">
            <v>-1.2548148919753057</v>
          </cell>
          <cell r="AY759">
            <v>387.46369178241002</v>
          </cell>
          <cell r="AZ759" t="str">
            <v>F18</v>
          </cell>
          <cell r="BA759">
            <v>6.93</v>
          </cell>
          <cell r="BB759" t="str">
            <v>NSFC</v>
          </cell>
          <cell r="BC759" t="str">
            <v>F18CK</v>
          </cell>
        </row>
        <row r="760">
          <cell r="A760" t="str">
            <v>566A3</v>
          </cell>
          <cell r="B760" t="str">
            <v>3</v>
          </cell>
          <cell r="C760" t="str">
            <v>06</v>
          </cell>
          <cell r="D760">
            <v>23</v>
          </cell>
          <cell r="E760" t="str">
            <v>566A3</v>
          </cell>
          <cell r="F760">
            <v>4.1900000000000004</v>
          </cell>
          <cell r="G760">
            <v>3.46</v>
          </cell>
          <cell r="H760">
            <v>3.46</v>
          </cell>
          <cell r="I760" t="str">
            <v>FC</v>
          </cell>
          <cell r="J760" t="str">
            <v>ST</v>
          </cell>
          <cell r="K760">
            <v>0</v>
          </cell>
          <cell r="L760">
            <v>45628</v>
          </cell>
          <cell r="M760">
            <v>45628</v>
          </cell>
          <cell r="N760">
            <v>366</v>
          </cell>
          <cell r="O760" t="str">
            <v>SK</v>
          </cell>
          <cell r="P760" t="str">
            <v/>
          </cell>
          <cell r="Q760">
            <v>45628</v>
          </cell>
          <cell r="R760" t="str">
            <v/>
          </cell>
          <cell r="S760" t="str">
            <v/>
          </cell>
          <cell r="T760" t="str">
            <v/>
          </cell>
          <cell r="U760">
            <v>29926</v>
          </cell>
          <cell r="V760">
            <v>29926</v>
          </cell>
          <cell r="W760" t="str">
            <v/>
          </cell>
          <cell r="X760" t="str">
            <v>Lokasi Produksi 566A3 ( singkong )</v>
          </cell>
          <cell r="Z760">
            <v>0</v>
          </cell>
          <cell r="AA760">
            <v>45628</v>
          </cell>
          <cell r="AM760" t="str">
            <v>OK</v>
          </cell>
          <cell r="AO760">
            <v>12.211851774691361</v>
          </cell>
          <cell r="AP760">
            <v>12.211851774691361</v>
          </cell>
          <cell r="AQ760">
            <v>0</v>
          </cell>
          <cell r="AR760">
            <v>12.211851774691361</v>
          </cell>
          <cell r="AS760">
            <v>0</v>
          </cell>
          <cell r="AT760">
            <v>45628</v>
          </cell>
          <cell r="AU760">
            <v>12.211851774691361</v>
          </cell>
          <cell r="AV760">
            <v>366.35555324074085</v>
          </cell>
          <cell r="AW760">
            <v>12.211851774691361</v>
          </cell>
          <cell r="AY760">
            <v>371.46369178241002</v>
          </cell>
          <cell r="AZ760" t="str">
            <v>F18</v>
          </cell>
          <cell r="BA760">
            <v>0</v>
          </cell>
          <cell r="BB760" t="str">
            <v>SKFC</v>
          </cell>
          <cell r="BC760" t="str">
            <v>F18</v>
          </cell>
        </row>
        <row r="761">
          <cell r="A761" t="str">
            <v>566B1</v>
          </cell>
          <cell r="B761" t="str">
            <v>3</v>
          </cell>
          <cell r="C761" t="str">
            <v>06</v>
          </cell>
          <cell r="D761">
            <v>23</v>
          </cell>
          <cell r="E761" t="str">
            <v>566B1</v>
          </cell>
          <cell r="F761">
            <v>9.07</v>
          </cell>
          <cell r="G761">
            <v>7.07</v>
          </cell>
          <cell r="H761">
            <v>7.07</v>
          </cell>
          <cell r="I761" t="str">
            <v>BK</v>
          </cell>
          <cell r="J761" t="str">
            <v>SC</v>
          </cell>
          <cell r="K761">
            <v>0</v>
          </cell>
          <cell r="L761">
            <v>45965</v>
          </cell>
          <cell r="M761">
            <v>45965</v>
          </cell>
          <cell r="N761">
            <v>29</v>
          </cell>
          <cell r="O761" t="str">
            <v>NS</v>
          </cell>
          <cell r="P761" t="str">
            <v/>
          </cell>
          <cell r="Q761">
            <v>45965</v>
          </cell>
          <cell r="R761" t="str">
            <v/>
          </cell>
          <cell r="S761" t="str">
            <v/>
          </cell>
          <cell r="T761" t="str">
            <v/>
          </cell>
          <cell r="U761">
            <v>71768</v>
          </cell>
          <cell r="V761">
            <v>52214</v>
          </cell>
          <cell r="W761" t="str">
            <v/>
          </cell>
          <cell r="X761" t="str">
            <v>Lokasi Produksi 566B1 ( pecahan 566B )</v>
          </cell>
          <cell r="Z761">
            <v>0</v>
          </cell>
          <cell r="AA761">
            <v>45965</v>
          </cell>
          <cell r="AM761" t="str">
            <v>OK</v>
          </cell>
          <cell r="AO761">
            <v>0.97851844135802823</v>
          </cell>
          <cell r="AP761">
            <v>0.97851844135802823</v>
          </cell>
          <cell r="AQ761">
            <v>0</v>
          </cell>
          <cell r="AR761">
            <v>0.97851844135802823</v>
          </cell>
          <cell r="AS761">
            <v>0</v>
          </cell>
          <cell r="AT761">
            <v>45965</v>
          </cell>
          <cell r="AU761">
            <v>0.97851844135802823</v>
          </cell>
          <cell r="AV761">
            <v>29.355553240740846</v>
          </cell>
          <cell r="AW761">
            <v>0.97851844135802823</v>
          </cell>
          <cell r="AY761">
            <v>34.463691782410024</v>
          </cell>
          <cell r="AZ761" t="str">
            <v>F18</v>
          </cell>
          <cell r="BA761">
            <v>0</v>
          </cell>
          <cell r="BB761" t="str">
            <v>NSBK</v>
          </cell>
          <cell r="BC761" t="str">
            <v>F18</v>
          </cell>
        </row>
        <row r="762">
          <cell r="A762" t="str">
            <v>566B2</v>
          </cell>
          <cell r="B762" t="str">
            <v>3</v>
          </cell>
          <cell r="C762" t="str">
            <v>06</v>
          </cell>
          <cell r="D762">
            <v>23</v>
          </cell>
          <cell r="E762" t="str">
            <v>566B2</v>
          </cell>
          <cell r="F762">
            <v>9.18</v>
          </cell>
          <cell r="G762">
            <v>7.3</v>
          </cell>
          <cell r="H762">
            <v>7.3</v>
          </cell>
          <cell r="I762" t="str">
            <v>SC</v>
          </cell>
          <cell r="J762" t="str">
            <v>FC</v>
          </cell>
          <cell r="K762">
            <v>8</v>
          </cell>
          <cell r="L762">
            <v>45674</v>
          </cell>
          <cell r="M762">
            <v>45674</v>
          </cell>
          <cell r="N762">
            <v>320</v>
          </cell>
          <cell r="O762" t="str">
            <v>NS</v>
          </cell>
          <cell r="P762" t="str">
            <v/>
          </cell>
          <cell r="Q762">
            <v>45918</v>
          </cell>
          <cell r="R762" t="str">
            <v/>
          </cell>
          <cell r="S762" t="str">
            <v/>
          </cell>
          <cell r="T762">
            <v>45902</v>
          </cell>
          <cell r="U762">
            <v>69194</v>
          </cell>
          <cell r="V762">
            <v>52601</v>
          </cell>
          <cell r="W762" t="str">
            <v/>
          </cell>
          <cell r="X762" t="str">
            <v>Lokasi Produksi 566B2 ( pecahan 566B )</v>
          </cell>
          <cell r="Z762">
            <v>8</v>
          </cell>
          <cell r="AA762">
            <v>45918</v>
          </cell>
          <cell r="AM762" t="str">
            <v>OK</v>
          </cell>
          <cell r="AO762">
            <v>10.678518441358028</v>
          </cell>
          <cell r="AP762">
            <v>2.6785184413580279</v>
          </cell>
          <cell r="AQ762">
            <v>45902</v>
          </cell>
          <cell r="AR762">
            <v>7.6</v>
          </cell>
          <cell r="AS762">
            <v>3.0785184413580282</v>
          </cell>
          <cell r="AT762">
            <v>45918</v>
          </cell>
          <cell r="AU762">
            <v>3.0785184413580282</v>
          </cell>
          <cell r="AV762">
            <v>228</v>
          </cell>
          <cell r="AW762">
            <v>3.0785184413580282</v>
          </cell>
          <cell r="AY762">
            <v>325.46369178241002</v>
          </cell>
          <cell r="AZ762" t="str">
            <v>F18</v>
          </cell>
          <cell r="BA762">
            <v>7.3</v>
          </cell>
          <cell r="BB762" t="str">
            <v>NSSC</v>
          </cell>
          <cell r="BC762" t="str">
            <v>F18</v>
          </cell>
        </row>
        <row r="763">
          <cell r="A763" t="str">
            <v>566C</v>
          </cell>
          <cell r="B763" t="str">
            <v>3</v>
          </cell>
          <cell r="C763" t="str">
            <v>06</v>
          </cell>
          <cell r="D763">
            <v>23</v>
          </cell>
          <cell r="E763" t="str">
            <v>566C</v>
          </cell>
          <cell r="F763">
            <v>8.93</v>
          </cell>
          <cell r="G763">
            <v>6.95</v>
          </cell>
          <cell r="H763">
            <v>6.95</v>
          </cell>
          <cell r="I763" t="str">
            <v>SC</v>
          </cell>
          <cell r="J763" t="str">
            <v>FC</v>
          </cell>
          <cell r="K763">
            <v>8</v>
          </cell>
          <cell r="L763">
            <v>45730</v>
          </cell>
          <cell r="M763">
            <v>45730</v>
          </cell>
          <cell r="N763">
            <v>264</v>
          </cell>
          <cell r="O763" t="str">
            <v>NS</v>
          </cell>
          <cell r="P763" t="str">
            <v/>
          </cell>
          <cell r="Q763">
            <v>45974</v>
          </cell>
          <cell r="R763" t="str">
            <v/>
          </cell>
          <cell r="S763" t="str">
            <v/>
          </cell>
          <cell r="T763">
            <v>45954</v>
          </cell>
          <cell r="U763">
            <v>69269</v>
          </cell>
          <cell r="V763">
            <v>71829</v>
          </cell>
          <cell r="W763">
            <v>43457</v>
          </cell>
          <cell r="X763" t="str">
            <v>Lokasi Produksi 566C</v>
          </cell>
          <cell r="Z763">
            <v>8</v>
          </cell>
          <cell r="AA763">
            <v>45974</v>
          </cell>
          <cell r="AM763" t="str">
            <v>OK</v>
          </cell>
          <cell r="AO763">
            <v>8.8118517746913607</v>
          </cell>
          <cell r="AP763">
            <v>0.81185177469136072</v>
          </cell>
          <cell r="AQ763">
            <v>45954</v>
          </cell>
          <cell r="AR763">
            <v>7.4666666666666668</v>
          </cell>
          <cell r="AS763">
            <v>1.3451851080246939</v>
          </cell>
          <cell r="AT763">
            <v>45974</v>
          </cell>
          <cell r="AU763">
            <v>1.3451851080246939</v>
          </cell>
          <cell r="AV763">
            <v>224</v>
          </cell>
          <cell r="AW763">
            <v>1.3451851080246939</v>
          </cell>
          <cell r="AY763">
            <v>269.46369178241002</v>
          </cell>
          <cell r="AZ763" t="str">
            <v>F18</v>
          </cell>
          <cell r="BA763">
            <v>6.95</v>
          </cell>
          <cell r="BB763" t="str">
            <v>NSSC</v>
          </cell>
          <cell r="BC763" t="str">
            <v>F18</v>
          </cell>
        </row>
        <row r="764">
          <cell r="A764" t="str">
            <v>566D1</v>
          </cell>
          <cell r="B764" t="str">
            <v>3</v>
          </cell>
          <cell r="C764" t="str">
            <v>06</v>
          </cell>
          <cell r="D764">
            <v>23</v>
          </cell>
          <cell r="E764" t="str">
            <v>566D1</v>
          </cell>
          <cell r="F764">
            <v>9.25</v>
          </cell>
          <cell r="G764">
            <v>7.68</v>
          </cell>
          <cell r="H764">
            <v>7.68</v>
          </cell>
          <cell r="I764" t="str">
            <v>FC</v>
          </cell>
          <cell r="J764" t="str">
            <v>ST</v>
          </cell>
          <cell r="K764">
            <v>12</v>
          </cell>
          <cell r="L764">
            <v>45705</v>
          </cell>
          <cell r="M764">
            <v>45705</v>
          </cell>
          <cell r="N764">
            <v>289</v>
          </cell>
          <cell r="O764" t="str">
            <v>NS</v>
          </cell>
          <cell r="P764" t="str">
            <v>NSF18SS3</v>
          </cell>
          <cell r="Q764">
            <v>46071</v>
          </cell>
          <cell r="R764" t="str">
            <v/>
          </cell>
          <cell r="S764" t="str">
            <v/>
          </cell>
          <cell r="T764" t="str">
            <v/>
          </cell>
          <cell r="U764">
            <v>70991</v>
          </cell>
          <cell r="V764">
            <v>70766</v>
          </cell>
          <cell r="W764">
            <v>45568</v>
          </cell>
          <cell r="X764" t="str">
            <v>Lokasi Produksi 566D1 ( pecahan 566D )</v>
          </cell>
          <cell r="Z764">
            <v>12</v>
          </cell>
          <cell r="AA764">
            <v>46071</v>
          </cell>
          <cell r="AM764" t="str">
            <v>OK</v>
          </cell>
          <cell r="AO764">
            <v>9.6451851080246946</v>
          </cell>
          <cell r="AP764">
            <v>-2.3548148919753054</v>
          </cell>
          <cell r="AQ764">
            <v>0</v>
          </cell>
          <cell r="AR764">
            <v>9.6451851080246946</v>
          </cell>
          <cell r="AS764">
            <v>0</v>
          </cell>
          <cell r="AT764">
            <v>46071</v>
          </cell>
          <cell r="AU764">
            <v>-2.3548148919753054</v>
          </cell>
          <cell r="AV764">
            <v>289.35555324074085</v>
          </cell>
          <cell r="AW764">
            <v>-2.3548148919753054</v>
          </cell>
          <cell r="AY764">
            <v>294.46369178241002</v>
          </cell>
          <cell r="AZ764" t="str">
            <v>F18</v>
          </cell>
          <cell r="BA764">
            <v>7.68</v>
          </cell>
          <cell r="BB764" t="str">
            <v>NSFC</v>
          </cell>
          <cell r="BC764" t="str">
            <v>F18SS</v>
          </cell>
        </row>
        <row r="765">
          <cell r="A765" t="str">
            <v>566D2</v>
          </cell>
          <cell r="B765" t="str">
            <v>3</v>
          </cell>
          <cell r="C765" t="str">
            <v>06</v>
          </cell>
          <cell r="D765">
            <v>23</v>
          </cell>
          <cell r="E765" t="str">
            <v>566D2</v>
          </cell>
          <cell r="F765">
            <v>6.66</v>
          </cell>
          <cell r="G765">
            <v>5.62</v>
          </cell>
          <cell r="H765">
            <v>5.62</v>
          </cell>
          <cell r="I765" t="str">
            <v>FC</v>
          </cell>
          <cell r="J765" t="str">
            <v>ST</v>
          </cell>
          <cell r="K765">
            <v>14</v>
          </cell>
          <cell r="L765">
            <v>45695</v>
          </cell>
          <cell r="M765">
            <v>45695</v>
          </cell>
          <cell r="N765">
            <v>299</v>
          </cell>
          <cell r="O765" t="str">
            <v>NS</v>
          </cell>
          <cell r="P765" t="str">
            <v>NSF18CK3</v>
          </cell>
          <cell r="Q765">
            <v>46122</v>
          </cell>
          <cell r="R765" t="str">
            <v/>
          </cell>
          <cell r="S765" t="str">
            <v/>
          </cell>
          <cell r="T765" t="str">
            <v/>
          </cell>
          <cell r="U765">
            <v>64681</v>
          </cell>
          <cell r="V765">
            <v>66348</v>
          </cell>
          <cell r="W765">
            <v>45568</v>
          </cell>
          <cell r="X765" t="str">
            <v>Lokasi Produksi 566D2 ( pecahan 566D )</v>
          </cell>
          <cell r="Z765">
            <v>14</v>
          </cell>
          <cell r="AA765">
            <v>46122</v>
          </cell>
          <cell r="AM765" t="str">
            <v>OK</v>
          </cell>
          <cell r="AO765">
            <v>9.9785184413580286</v>
          </cell>
          <cell r="AP765">
            <v>-4.0214815586419714</v>
          </cell>
          <cell r="AQ765">
            <v>0</v>
          </cell>
          <cell r="AR765">
            <v>9.9785184413580286</v>
          </cell>
          <cell r="AS765">
            <v>0</v>
          </cell>
          <cell r="AT765">
            <v>46122</v>
          </cell>
          <cell r="AU765">
            <v>-4.0214815586419714</v>
          </cell>
          <cell r="AV765">
            <v>299.35555324074085</v>
          </cell>
          <cell r="AW765">
            <v>-4.0214815586419714</v>
          </cell>
          <cell r="AY765">
            <v>304.46369178241002</v>
          </cell>
          <cell r="AZ765" t="str">
            <v>F18</v>
          </cell>
          <cell r="BA765">
            <v>5.62</v>
          </cell>
          <cell r="BB765" t="str">
            <v>NSFC</v>
          </cell>
          <cell r="BC765" t="str">
            <v>F18CK</v>
          </cell>
        </row>
        <row r="766">
          <cell r="A766" t="str">
            <v>566E1</v>
          </cell>
          <cell r="B766" t="str">
            <v>3</v>
          </cell>
          <cell r="C766" t="str">
            <v>06</v>
          </cell>
          <cell r="D766">
            <v>23</v>
          </cell>
          <cell r="E766" t="str">
            <v>566E1</v>
          </cell>
          <cell r="F766">
            <v>15.48</v>
          </cell>
          <cell r="G766">
            <v>12.27</v>
          </cell>
          <cell r="H766">
            <v>12.27</v>
          </cell>
          <cell r="I766" t="str">
            <v>BK</v>
          </cell>
          <cell r="J766" t="str">
            <v>SC</v>
          </cell>
          <cell r="K766">
            <v>0</v>
          </cell>
          <cell r="L766">
            <v>45909</v>
          </cell>
          <cell r="M766">
            <v>45909</v>
          </cell>
          <cell r="N766">
            <v>85</v>
          </cell>
          <cell r="O766" t="str">
            <v>NS</v>
          </cell>
          <cell r="P766" t="str">
            <v/>
          </cell>
          <cell r="Q766">
            <v>45909</v>
          </cell>
          <cell r="R766" t="str">
            <v/>
          </cell>
          <cell r="S766" t="str">
            <v/>
          </cell>
          <cell r="T766" t="str">
            <v/>
          </cell>
          <cell r="U766">
            <v>70072</v>
          </cell>
          <cell r="V766">
            <v>52588</v>
          </cell>
          <cell r="W766">
            <v>43079</v>
          </cell>
          <cell r="X766" t="str">
            <v>Lokasi Produksi ( pecahan 566E )</v>
          </cell>
          <cell r="Z766">
            <v>0</v>
          </cell>
          <cell r="AA766">
            <v>45909</v>
          </cell>
          <cell r="AM766" t="str">
            <v>OK</v>
          </cell>
          <cell r="AO766">
            <v>2.8451851080246948</v>
          </cell>
          <cell r="AP766">
            <v>2.8451851080246948</v>
          </cell>
          <cell r="AQ766">
            <v>0</v>
          </cell>
          <cell r="AR766">
            <v>2.8451851080246948</v>
          </cell>
          <cell r="AS766">
            <v>0</v>
          </cell>
          <cell r="AT766">
            <v>45909</v>
          </cell>
          <cell r="AU766">
            <v>2.8451851080246948</v>
          </cell>
          <cell r="AV766">
            <v>85.355553240740846</v>
          </cell>
          <cell r="AW766">
            <v>2.8451851080246948</v>
          </cell>
          <cell r="AY766">
            <v>90.463691782410024</v>
          </cell>
          <cell r="AZ766" t="str">
            <v>F18</v>
          </cell>
          <cell r="BA766">
            <v>0</v>
          </cell>
          <cell r="BB766" t="str">
            <v>NSBK</v>
          </cell>
          <cell r="BC766" t="str">
            <v>F18</v>
          </cell>
        </row>
        <row r="767">
          <cell r="A767" t="str">
            <v>566E2</v>
          </cell>
          <cell r="B767" t="str">
            <v>3</v>
          </cell>
          <cell r="C767" t="str">
            <v>06</v>
          </cell>
          <cell r="D767">
            <v>23</v>
          </cell>
          <cell r="E767" t="str">
            <v>566E2</v>
          </cell>
          <cell r="F767">
            <v>9.7799999999999994</v>
          </cell>
          <cell r="G767">
            <v>8.1300000000000008</v>
          </cell>
          <cell r="H767">
            <v>8.1300000000000008</v>
          </cell>
          <cell r="I767" t="str">
            <v>FC</v>
          </cell>
          <cell r="J767" t="str">
            <v>ST</v>
          </cell>
          <cell r="K767">
            <v>14</v>
          </cell>
          <cell r="L767">
            <v>45843</v>
          </cell>
          <cell r="M767">
            <v>45843</v>
          </cell>
          <cell r="N767">
            <v>151</v>
          </cell>
          <cell r="O767" t="str">
            <v>NS</v>
          </cell>
          <cell r="P767" t="str">
            <v>NSF18CK3</v>
          </cell>
          <cell r="Q767">
            <v>46270</v>
          </cell>
          <cell r="R767" t="str">
            <v/>
          </cell>
          <cell r="S767" t="str">
            <v/>
          </cell>
          <cell r="T767" t="str">
            <v/>
          </cell>
          <cell r="U767">
            <v>68266</v>
          </cell>
          <cell r="V767">
            <v>53008</v>
          </cell>
          <cell r="W767">
            <v>43532</v>
          </cell>
          <cell r="X767" t="str">
            <v>Lokasi Produksi ( pecahan 566E )</v>
          </cell>
          <cell r="Z767">
            <v>14</v>
          </cell>
          <cell r="AA767">
            <v>46270</v>
          </cell>
          <cell r="AM767" t="str">
            <v>OK</v>
          </cell>
          <cell r="AO767">
            <v>5.045185108024695</v>
          </cell>
          <cell r="AP767">
            <v>-8.954814891975305</v>
          </cell>
          <cell r="AQ767">
            <v>0</v>
          </cell>
          <cell r="AR767">
            <v>5.045185108024695</v>
          </cell>
          <cell r="AS767">
            <v>0</v>
          </cell>
          <cell r="AT767">
            <v>46270</v>
          </cell>
          <cell r="AU767">
            <v>-8.954814891975305</v>
          </cell>
          <cell r="AV767">
            <v>151.35555324074085</v>
          </cell>
          <cell r="AW767">
            <v>-8.954814891975305</v>
          </cell>
          <cell r="AY767">
            <v>156.46369178241002</v>
          </cell>
          <cell r="AZ767" t="str">
            <v>F18</v>
          </cell>
          <cell r="BA767">
            <v>8.1300000000000008</v>
          </cell>
          <cell r="BB767" t="str">
            <v>NSFC</v>
          </cell>
          <cell r="BC767" t="str">
            <v>F18CK</v>
          </cell>
        </row>
        <row r="768">
          <cell r="A768" t="str">
            <v>566E2S</v>
          </cell>
          <cell r="B768" t="str">
            <v>3</v>
          </cell>
          <cell r="C768" t="str">
            <v>06</v>
          </cell>
          <cell r="D768">
            <v>23</v>
          </cell>
          <cell r="E768" t="str">
            <v>566E2S</v>
          </cell>
          <cell r="F768">
            <v>0.87</v>
          </cell>
          <cell r="G768">
            <v>0.87</v>
          </cell>
          <cell r="H768">
            <v>0.87</v>
          </cell>
          <cell r="I768" t="str">
            <v>FC</v>
          </cell>
          <cell r="J768" t="str">
            <v>ST</v>
          </cell>
          <cell r="K768">
            <v>0</v>
          </cell>
          <cell r="L768">
            <v>45691</v>
          </cell>
          <cell r="M768">
            <v>45691</v>
          </cell>
          <cell r="N768">
            <v>303</v>
          </cell>
          <cell r="O768" t="str">
            <v>SK</v>
          </cell>
          <cell r="P768" t="str">
            <v/>
          </cell>
          <cell r="Q768">
            <v>45691</v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>Lokasi Produksi 566E2S ( singkong )</v>
          </cell>
          <cell r="Z768">
            <v>0</v>
          </cell>
          <cell r="AA768">
            <v>45691</v>
          </cell>
          <cell r="AM768" t="str">
            <v>OK</v>
          </cell>
          <cell r="AO768">
            <v>10.111851774691361</v>
          </cell>
          <cell r="AP768">
            <v>10.111851774691361</v>
          </cell>
          <cell r="AQ768">
            <v>0</v>
          </cell>
          <cell r="AR768">
            <v>10.111851774691361</v>
          </cell>
          <cell r="AS768">
            <v>0</v>
          </cell>
          <cell r="AT768">
            <v>45691</v>
          </cell>
          <cell r="AU768">
            <v>10.111851774691361</v>
          </cell>
          <cell r="AV768">
            <v>303.35555324074085</v>
          </cell>
          <cell r="AW768">
            <v>10.111851774691361</v>
          </cell>
          <cell r="AY768">
            <v>308.46369178241002</v>
          </cell>
          <cell r="AZ768" t="str">
            <v>F18</v>
          </cell>
          <cell r="BA768">
            <v>0</v>
          </cell>
          <cell r="BB768" t="str">
            <v>SKFC</v>
          </cell>
          <cell r="BC768" t="str">
            <v>F18</v>
          </cell>
        </row>
        <row r="769">
          <cell r="A769" t="str">
            <v>566F1</v>
          </cell>
          <cell r="B769" t="str">
            <v>3</v>
          </cell>
          <cell r="C769" t="str">
            <v>06</v>
          </cell>
          <cell r="D769">
            <v>23</v>
          </cell>
          <cell r="E769" t="str">
            <v>566F1</v>
          </cell>
          <cell r="F769">
            <v>13.38</v>
          </cell>
          <cell r="G769">
            <v>10.41</v>
          </cell>
          <cell r="H769">
            <v>10.41</v>
          </cell>
          <cell r="I769" t="str">
            <v>SC</v>
          </cell>
          <cell r="J769" t="str">
            <v>FC</v>
          </cell>
          <cell r="K769">
            <v>8</v>
          </cell>
          <cell r="L769">
            <v>45721</v>
          </cell>
          <cell r="M769">
            <v>45721</v>
          </cell>
          <cell r="N769">
            <v>273</v>
          </cell>
          <cell r="O769" t="str">
            <v>NS</v>
          </cell>
          <cell r="P769" t="str">
            <v/>
          </cell>
          <cell r="Q769">
            <v>45965</v>
          </cell>
          <cell r="R769" t="str">
            <v/>
          </cell>
          <cell r="S769" t="str">
            <v/>
          </cell>
          <cell r="T769">
            <v>45966</v>
          </cell>
          <cell r="U769">
            <v>68898</v>
          </cell>
          <cell r="V769">
            <v>72627</v>
          </cell>
          <cell r="W769" t="str">
            <v/>
          </cell>
          <cell r="X769" t="str">
            <v>Lokasi Produksi 566F1 ( pecahan 566F )</v>
          </cell>
          <cell r="Z769">
            <v>8</v>
          </cell>
          <cell r="AA769">
            <v>45965</v>
          </cell>
          <cell r="AM769" t="str">
            <v>OK</v>
          </cell>
          <cell r="AO769">
            <v>9.1118517746913614</v>
          </cell>
          <cell r="AP769">
            <v>1.1118517746913614</v>
          </cell>
          <cell r="AQ769">
            <v>45966</v>
          </cell>
          <cell r="AR769">
            <v>8.1666666666666661</v>
          </cell>
          <cell r="AS769">
            <v>0.94518510802469535</v>
          </cell>
          <cell r="AT769">
            <v>45965</v>
          </cell>
          <cell r="AU769">
            <v>0.94518510802469535</v>
          </cell>
          <cell r="AV769">
            <v>244.99999999999997</v>
          </cell>
          <cell r="AW769">
            <v>0.94518510802469535</v>
          </cell>
          <cell r="AY769">
            <v>278.46369178241002</v>
          </cell>
          <cell r="AZ769" t="str">
            <v>F18</v>
          </cell>
          <cell r="BA769">
            <v>10.41</v>
          </cell>
          <cell r="BB769" t="str">
            <v>NSSC</v>
          </cell>
          <cell r="BC769" t="str">
            <v>F18</v>
          </cell>
        </row>
        <row r="770">
          <cell r="A770" t="str">
            <v>566F2</v>
          </cell>
          <cell r="B770" t="str">
            <v>3</v>
          </cell>
          <cell r="C770" t="str">
            <v>06</v>
          </cell>
          <cell r="D770">
            <v>23</v>
          </cell>
          <cell r="E770" t="str">
            <v>566F2</v>
          </cell>
          <cell r="F770">
            <v>5.87</v>
          </cell>
          <cell r="G770">
            <v>4.4800000000000004</v>
          </cell>
          <cell r="H770">
            <v>4.4800000000000004</v>
          </cell>
          <cell r="I770" t="str">
            <v>BK</v>
          </cell>
          <cell r="J770" t="str">
            <v>SC</v>
          </cell>
          <cell r="K770">
            <v>0</v>
          </cell>
          <cell r="L770">
            <v>45905</v>
          </cell>
          <cell r="M770">
            <v>45905</v>
          </cell>
          <cell r="N770">
            <v>89</v>
          </cell>
          <cell r="O770" t="str">
            <v>NS</v>
          </cell>
          <cell r="P770" t="str">
            <v/>
          </cell>
          <cell r="Q770">
            <v>45905</v>
          </cell>
          <cell r="R770" t="str">
            <v/>
          </cell>
          <cell r="S770" t="str">
            <v/>
          </cell>
          <cell r="T770" t="str">
            <v/>
          </cell>
          <cell r="U770">
            <v>71655</v>
          </cell>
          <cell r="V770">
            <v>52623</v>
          </cell>
          <cell r="W770" t="str">
            <v/>
          </cell>
          <cell r="X770" t="str">
            <v>Lokasi Produksi 566F2 ( pecahan 566F )</v>
          </cell>
          <cell r="Z770">
            <v>0</v>
          </cell>
          <cell r="AA770">
            <v>45905</v>
          </cell>
          <cell r="AM770" t="str">
            <v>OK</v>
          </cell>
          <cell r="AO770">
            <v>2.9785184413580281</v>
          </cell>
          <cell r="AP770">
            <v>2.9785184413580281</v>
          </cell>
          <cell r="AQ770">
            <v>0</v>
          </cell>
          <cell r="AR770">
            <v>2.9785184413580281</v>
          </cell>
          <cell r="AS770">
            <v>0</v>
          </cell>
          <cell r="AT770">
            <v>45905</v>
          </cell>
          <cell r="AU770">
            <v>2.9785184413580281</v>
          </cell>
          <cell r="AV770">
            <v>89.355553240740846</v>
          </cell>
          <cell r="AW770">
            <v>2.9785184413580281</v>
          </cell>
          <cell r="AY770">
            <v>94.463691782410024</v>
          </cell>
          <cell r="AZ770" t="str">
            <v>F18</v>
          </cell>
          <cell r="BA770">
            <v>0</v>
          </cell>
          <cell r="BB770" t="str">
            <v>NSBK</v>
          </cell>
          <cell r="BC770" t="str">
            <v>F18</v>
          </cell>
        </row>
        <row r="771">
          <cell r="A771" t="str">
            <v>567A</v>
          </cell>
          <cell r="B771" t="str">
            <v>3</v>
          </cell>
          <cell r="C771" t="str">
            <v>06</v>
          </cell>
          <cell r="D771">
            <v>22</v>
          </cell>
          <cell r="E771" t="str">
            <v>567A</v>
          </cell>
          <cell r="F771">
            <v>16.21</v>
          </cell>
          <cell r="G771">
            <v>12.88</v>
          </cell>
          <cell r="H771">
            <v>12.88</v>
          </cell>
          <cell r="I771" t="str">
            <v>SC</v>
          </cell>
          <cell r="J771" t="str">
            <v>FC</v>
          </cell>
          <cell r="K771">
            <v>8</v>
          </cell>
          <cell r="L771">
            <v>45856</v>
          </cell>
          <cell r="M771">
            <v>45856</v>
          </cell>
          <cell r="N771">
            <v>138</v>
          </cell>
          <cell r="O771" t="str">
            <v>NS</v>
          </cell>
          <cell r="P771" t="str">
            <v/>
          </cell>
          <cell r="Q771">
            <v>46100</v>
          </cell>
          <cell r="R771" t="str">
            <v/>
          </cell>
          <cell r="S771" t="str">
            <v/>
          </cell>
          <cell r="T771" t="str">
            <v/>
          </cell>
          <cell r="U771">
            <v>65011</v>
          </cell>
          <cell r="V771">
            <v>68987</v>
          </cell>
          <cell r="W771">
            <v>44314</v>
          </cell>
          <cell r="X771" t="str">
            <v>Lokasi Produksi 567A</v>
          </cell>
          <cell r="Z771">
            <v>8</v>
          </cell>
          <cell r="AA771">
            <v>46100</v>
          </cell>
          <cell r="AM771" t="str">
            <v>OK</v>
          </cell>
          <cell r="AO771">
            <v>4.6118517746913614</v>
          </cell>
          <cell r="AP771">
            <v>-3.3881482253086386</v>
          </cell>
          <cell r="AQ771">
            <v>0</v>
          </cell>
          <cell r="AR771">
            <v>4.6118517746913614</v>
          </cell>
          <cell r="AS771">
            <v>0</v>
          </cell>
          <cell r="AT771">
            <v>46100</v>
          </cell>
          <cell r="AU771">
            <v>-3.3881482253086386</v>
          </cell>
          <cell r="AV771">
            <v>138.35555324074085</v>
          </cell>
          <cell r="AW771">
            <v>-3.3881482253086386</v>
          </cell>
          <cell r="AY771">
            <v>143.46369178241002</v>
          </cell>
          <cell r="AZ771" t="str">
            <v>F18</v>
          </cell>
          <cell r="BA771">
            <v>12.88</v>
          </cell>
          <cell r="BB771" t="str">
            <v>NSSC</v>
          </cell>
          <cell r="BC771" t="str">
            <v>F18</v>
          </cell>
        </row>
        <row r="772">
          <cell r="A772" t="str">
            <v>567B1</v>
          </cell>
          <cell r="B772" t="str">
            <v>3</v>
          </cell>
          <cell r="C772" t="str">
            <v>06</v>
          </cell>
          <cell r="D772">
            <v>22</v>
          </cell>
          <cell r="E772" t="str">
            <v>567B1</v>
          </cell>
          <cell r="F772">
            <v>8.5399999999999991</v>
          </cell>
          <cell r="G772">
            <v>6.28</v>
          </cell>
          <cell r="H772">
            <v>6.28</v>
          </cell>
          <cell r="I772" t="str">
            <v>Y2</v>
          </cell>
          <cell r="J772" t="str">
            <v>FC</v>
          </cell>
          <cell r="K772">
            <v>0</v>
          </cell>
          <cell r="L772">
            <v>45535</v>
          </cell>
          <cell r="M772">
            <v>45535</v>
          </cell>
          <cell r="N772">
            <v>459</v>
          </cell>
          <cell r="O772" t="str">
            <v>PS</v>
          </cell>
          <cell r="P772" t="str">
            <v/>
          </cell>
          <cell r="Q772">
            <v>45535</v>
          </cell>
          <cell r="R772" t="str">
            <v/>
          </cell>
          <cell r="S772" t="str">
            <v/>
          </cell>
          <cell r="T772" t="str">
            <v/>
          </cell>
          <cell r="U772">
            <v>16590</v>
          </cell>
          <cell r="V772" t="str">
            <v/>
          </cell>
          <cell r="W772">
            <v>45667</v>
          </cell>
          <cell r="X772" t="str">
            <v>Lokasi Produksi 567B1 ( pecahan 567B )</v>
          </cell>
          <cell r="Z772">
            <v>0</v>
          </cell>
          <cell r="AA772">
            <v>45535</v>
          </cell>
          <cell r="AM772" t="str">
            <v>OK</v>
          </cell>
          <cell r="AO772">
            <v>15.311851774691361</v>
          </cell>
          <cell r="AP772">
            <v>15.311851774691361</v>
          </cell>
          <cell r="AQ772">
            <v>0</v>
          </cell>
          <cell r="AR772">
            <v>15.311851774691361</v>
          </cell>
          <cell r="AS772">
            <v>0</v>
          </cell>
          <cell r="AT772">
            <v>45535</v>
          </cell>
          <cell r="AU772">
            <v>15.311851774691361</v>
          </cell>
          <cell r="AV772">
            <v>459.35555324074085</v>
          </cell>
          <cell r="AW772">
            <v>15.311851774691361</v>
          </cell>
          <cell r="AY772">
            <v>464.46369178241002</v>
          </cell>
          <cell r="AZ772" t="str">
            <v>F18</v>
          </cell>
          <cell r="BA772">
            <v>0</v>
          </cell>
          <cell r="BB772" t="str">
            <v>PSY2</v>
          </cell>
          <cell r="BC772" t="str">
            <v>F18</v>
          </cell>
        </row>
        <row r="773">
          <cell r="A773" t="str">
            <v>567B2</v>
          </cell>
          <cell r="B773" t="str">
            <v>3</v>
          </cell>
          <cell r="C773" t="str">
            <v>06</v>
          </cell>
          <cell r="D773">
            <v>22</v>
          </cell>
          <cell r="E773" t="str">
            <v>567B2</v>
          </cell>
          <cell r="F773">
            <v>10.46</v>
          </cell>
          <cell r="G773">
            <v>7.8</v>
          </cell>
          <cell r="H773">
            <v>7.8</v>
          </cell>
          <cell r="I773" t="str">
            <v>Y2</v>
          </cell>
          <cell r="J773" t="str">
            <v>FC</v>
          </cell>
          <cell r="K773">
            <v>0</v>
          </cell>
          <cell r="L773">
            <v>45563</v>
          </cell>
          <cell r="M773">
            <v>45563</v>
          </cell>
          <cell r="N773">
            <v>431</v>
          </cell>
          <cell r="O773" t="str">
            <v>PS</v>
          </cell>
          <cell r="P773" t="str">
            <v/>
          </cell>
          <cell r="Q773">
            <v>45563</v>
          </cell>
          <cell r="R773" t="str">
            <v/>
          </cell>
          <cell r="S773" t="str">
            <v/>
          </cell>
          <cell r="T773" t="str">
            <v/>
          </cell>
          <cell r="U773">
            <v>19988</v>
          </cell>
          <cell r="V773" t="str">
            <v/>
          </cell>
          <cell r="W773">
            <v>45705</v>
          </cell>
          <cell r="X773" t="str">
            <v>Lokasi Produksi 567B2 ( pecahan 567B )</v>
          </cell>
          <cell r="Z773">
            <v>0</v>
          </cell>
          <cell r="AA773">
            <v>45563</v>
          </cell>
          <cell r="AM773" t="str">
            <v>OK</v>
          </cell>
          <cell r="AO773">
            <v>14.378518441358029</v>
          </cell>
          <cell r="AP773">
            <v>14.378518441358029</v>
          </cell>
          <cell r="AQ773">
            <v>0</v>
          </cell>
          <cell r="AR773">
            <v>14.378518441358029</v>
          </cell>
          <cell r="AS773">
            <v>0</v>
          </cell>
          <cell r="AT773">
            <v>45563</v>
          </cell>
          <cell r="AU773">
            <v>14.378518441358029</v>
          </cell>
          <cell r="AV773">
            <v>431.35555324074085</v>
          </cell>
          <cell r="AW773">
            <v>14.378518441358029</v>
          </cell>
          <cell r="AY773">
            <v>436.46369178241002</v>
          </cell>
          <cell r="AZ773" t="str">
            <v>F18</v>
          </cell>
          <cell r="BA773">
            <v>0</v>
          </cell>
          <cell r="BB773" t="str">
            <v>PSY2</v>
          </cell>
          <cell r="BC773" t="str">
            <v>F18</v>
          </cell>
        </row>
        <row r="774">
          <cell r="A774" t="str">
            <v>567BS1</v>
          </cell>
          <cell r="B774" t="str">
            <v>3</v>
          </cell>
          <cell r="C774" t="str">
            <v>06</v>
          </cell>
          <cell r="D774">
            <v>22</v>
          </cell>
          <cell r="E774" t="str">
            <v>567BS1</v>
          </cell>
          <cell r="F774">
            <v>1.05</v>
          </cell>
          <cell r="G774">
            <v>1.05</v>
          </cell>
          <cell r="H774">
            <v>1.05</v>
          </cell>
          <cell r="I774" t="str">
            <v>FC</v>
          </cell>
          <cell r="J774" t="str">
            <v>ST</v>
          </cell>
          <cell r="K774">
            <v>0</v>
          </cell>
          <cell r="L774">
            <v>45705</v>
          </cell>
          <cell r="M774">
            <v>45705</v>
          </cell>
          <cell r="N774">
            <v>289</v>
          </cell>
          <cell r="O774" t="str">
            <v>SK</v>
          </cell>
          <cell r="P774" t="str">
            <v/>
          </cell>
          <cell r="Q774">
            <v>45705</v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>Lokasi Produksi 567BS1 ( singkong )</v>
          </cell>
          <cell r="Z774">
            <v>0</v>
          </cell>
          <cell r="AA774">
            <v>45705</v>
          </cell>
          <cell r="AM774" t="str">
            <v>OK</v>
          </cell>
          <cell r="AO774">
            <v>9.6451851080246946</v>
          </cell>
          <cell r="AP774">
            <v>9.6451851080246946</v>
          </cell>
          <cell r="AQ774">
            <v>0</v>
          </cell>
          <cell r="AR774">
            <v>9.6451851080246946</v>
          </cell>
          <cell r="AS774">
            <v>0</v>
          </cell>
          <cell r="AT774">
            <v>45705</v>
          </cell>
          <cell r="AU774">
            <v>9.6451851080246946</v>
          </cell>
          <cell r="AV774">
            <v>289.35555324074085</v>
          </cell>
          <cell r="AW774">
            <v>9.6451851080246946</v>
          </cell>
          <cell r="AY774">
            <v>294.46369178241002</v>
          </cell>
          <cell r="AZ774" t="str">
            <v>F18</v>
          </cell>
          <cell r="BA774">
            <v>0</v>
          </cell>
          <cell r="BB774" t="str">
            <v>SKFC</v>
          </cell>
          <cell r="BC774" t="str">
            <v>F18</v>
          </cell>
        </row>
        <row r="775">
          <cell r="A775" t="str">
            <v>567C1A</v>
          </cell>
          <cell r="B775" t="str">
            <v>3</v>
          </cell>
          <cell r="C775" t="str">
            <v>06</v>
          </cell>
          <cell r="D775">
            <v>22</v>
          </cell>
          <cell r="E775" t="str">
            <v>567C1A</v>
          </cell>
          <cell r="F775">
            <v>8.14</v>
          </cell>
          <cell r="G775">
            <v>6.94</v>
          </cell>
          <cell r="H775">
            <v>6.94</v>
          </cell>
          <cell r="I775" t="str">
            <v>ST</v>
          </cell>
          <cell r="J775" t="str">
            <v>BK</v>
          </cell>
          <cell r="K775">
            <v>0</v>
          </cell>
          <cell r="L775">
            <v>45946</v>
          </cell>
          <cell r="M775">
            <v>45946</v>
          </cell>
          <cell r="N775">
            <v>48</v>
          </cell>
          <cell r="O775" t="str">
            <v>NS</v>
          </cell>
          <cell r="P775" t="str">
            <v/>
          </cell>
          <cell r="Q775">
            <v>45946</v>
          </cell>
          <cell r="R775" t="str">
            <v/>
          </cell>
          <cell r="S775" t="str">
            <v/>
          </cell>
          <cell r="T775" t="str">
            <v/>
          </cell>
          <cell r="U775">
            <v>16321</v>
          </cell>
          <cell r="V775">
            <v>17122</v>
          </cell>
          <cell r="W775">
            <v>45752</v>
          </cell>
          <cell r="X775" t="str">
            <v>Lokasi Produksi 567C1A ( pecahan 567C1 )</v>
          </cell>
          <cell r="Z775">
            <v>0</v>
          </cell>
          <cell r="AA775">
            <v>45946</v>
          </cell>
          <cell r="AM775" t="str">
            <v>OK</v>
          </cell>
          <cell r="AO775">
            <v>1.6118517746913616</v>
          </cell>
          <cell r="AP775">
            <v>1.6118517746913616</v>
          </cell>
          <cell r="AQ775">
            <v>0</v>
          </cell>
          <cell r="AR775">
            <v>1.6118517746913616</v>
          </cell>
          <cell r="AS775">
            <v>0</v>
          </cell>
          <cell r="AT775">
            <v>45946</v>
          </cell>
          <cell r="AU775">
            <v>1.6118517746913616</v>
          </cell>
          <cell r="AV775">
            <v>48.355553240740846</v>
          </cell>
          <cell r="AW775">
            <v>1.6118517746913616</v>
          </cell>
          <cell r="AY775">
            <v>53.463691782410024</v>
          </cell>
          <cell r="AZ775" t="str">
            <v>F18</v>
          </cell>
          <cell r="BA775">
            <v>0</v>
          </cell>
          <cell r="BB775" t="str">
            <v>NSST</v>
          </cell>
          <cell r="BC775" t="str">
            <v>F18</v>
          </cell>
        </row>
        <row r="776">
          <cell r="A776" t="str">
            <v>567C1B</v>
          </cell>
          <cell r="B776" t="str">
            <v>3</v>
          </cell>
          <cell r="C776" t="str">
            <v>06</v>
          </cell>
          <cell r="D776">
            <v>22</v>
          </cell>
          <cell r="E776" t="str">
            <v>567C1B</v>
          </cell>
          <cell r="F776">
            <v>8.67</v>
          </cell>
          <cell r="G776">
            <v>7.33</v>
          </cell>
          <cell r="H776">
            <v>7.33</v>
          </cell>
          <cell r="I776" t="str">
            <v>ST</v>
          </cell>
          <cell r="J776" t="str">
            <v>BK</v>
          </cell>
          <cell r="K776">
            <v>0</v>
          </cell>
          <cell r="L776">
            <v>45946</v>
          </cell>
          <cell r="M776">
            <v>45946</v>
          </cell>
          <cell r="N776">
            <v>48</v>
          </cell>
          <cell r="O776" t="str">
            <v>NS</v>
          </cell>
          <cell r="P776" t="str">
            <v/>
          </cell>
          <cell r="Q776">
            <v>45946</v>
          </cell>
          <cell r="R776" t="str">
            <v/>
          </cell>
          <cell r="S776" t="str">
            <v/>
          </cell>
          <cell r="T776" t="str">
            <v/>
          </cell>
          <cell r="U776">
            <v>17103</v>
          </cell>
          <cell r="V776">
            <v>18068</v>
          </cell>
          <cell r="W776">
            <v>45752</v>
          </cell>
          <cell r="X776" t="str">
            <v>Lokasi Produksi 567C1B ( pecahan 567C1 )</v>
          </cell>
          <cell r="Z776">
            <v>0</v>
          </cell>
          <cell r="AA776">
            <v>45946</v>
          </cell>
          <cell r="AM776" t="str">
            <v>OK</v>
          </cell>
          <cell r="AO776">
            <v>1.6118517746913616</v>
          </cell>
          <cell r="AP776">
            <v>1.6118517746913616</v>
          </cell>
          <cell r="AQ776">
            <v>0</v>
          </cell>
          <cell r="AR776">
            <v>1.6118517746913616</v>
          </cell>
          <cell r="AS776">
            <v>0</v>
          </cell>
          <cell r="AT776">
            <v>45946</v>
          </cell>
          <cell r="AU776">
            <v>1.6118517746913616</v>
          </cell>
          <cell r="AV776">
            <v>48.355553240740846</v>
          </cell>
          <cell r="AW776">
            <v>1.6118517746913616</v>
          </cell>
          <cell r="AY776">
            <v>53.463691782410024</v>
          </cell>
          <cell r="AZ776" t="str">
            <v>F18</v>
          </cell>
          <cell r="BA776">
            <v>0</v>
          </cell>
          <cell r="BB776" t="str">
            <v>NSST</v>
          </cell>
          <cell r="BC776" t="str">
            <v>F18</v>
          </cell>
        </row>
        <row r="777">
          <cell r="A777" t="str">
            <v>567C2A</v>
          </cell>
          <cell r="B777" t="str">
            <v>3</v>
          </cell>
          <cell r="C777" t="str">
            <v>06</v>
          </cell>
          <cell r="D777">
            <v>22</v>
          </cell>
          <cell r="E777" t="str">
            <v>567C2A</v>
          </cell>
          <cell r="F777">
            <v>5.04</v>
          </cell>
          <cell r="G777">
            <v>4.26</v>
          </cell>
          <cell r="H777">
            <v>4.26</v>
          </cell>
          <cell r="I777" t="str">
            <v>ST</v>
          </cell>
          <cell r="J777" t="str">
            <v>BK</v>
          </cell>
          <cell r="K777">
            <v>0</v>
          </cell>
          <cell r="L777">
            <v>45962</v>
          </cell>
          <cell r="M777">
            <v>45962</v>
          </cell>
          <cell r="N777">
            <v>32</v>
          </cell>
          <cell r="O777" t="str">
            <v>NS</v>
          </cell>
          <cell r="P777" t="str">
            <v/>
          </cell>
          <cell r="Q777">
            <v>45962</v>
          </cell>
          <cell r="R777" t="str">
            <v/>
          </cell>
          <cell r="S777" t="str">
            <v/>
          </cell>
          <cell r="T777" t="str">
            <v/>
          </cell>
          <cell r="U777">
            <v>10756</v>
          </cell>
          <cell r="V777">
            <v>10971</v>
          </cell>
          <cell r="W777">
            <v>45854</v>
          </cell>
          <cell r="X777" t="str">
            <v>Lokasi Produksi 567C2A ( pecahan 567C2 )</v>
          </cell>
          <cell r="Z777">
            <v>0</v>
          </cell>
          <cell r="AA777">
            <v>45962</v>
          </cell>
          <cell r="AM777" t="str">
            <v>OK</v>
          </cell>
          <cell r="AO777">
            <v>1.0785184413580282</v>
          </cell>
          <cell r="AP777">
            <v>1.0785184413580282</v>
          </cell>
          <cell r="AQ777">
            <v>0</v>
          </cell>
          <cell r="AR777">
            <v>1.0785184413580282</v>
          </cell>
          <cell r="AS777">
            <v>0</v>
          </cell>
          <cell r="AT777">
            <v>45962</v>
          </cell>
          <cell r="AU777">
            <v>1.0785184413580282</v>
          </cell>
          <cell r="AV777">
            <v>32.355553240740846</v>
          </cell>
          <cell r="AW777">
            <v>1.0785184413580282</v>
          </cell>
          <cell r="AY777">
            <v>37.463691782410024</v>
          </cell>
          <cell r="AZ777" t="str">
            <v>F18</v>
          </cell>
          <cell r="BA777">
            <v>0</v>
          </cell>
          <cell r="BB777" t="str">
            <v>NSST</v>
          </cell>
          <cell r="BC777" t="str">
            <v>F18</v>
          </cell>
        </row>
        <row r="778">
          <cell r="A778" t="str">
            <v>567C2B</v>
          </cell>
          <cell r="B778" t="str">
            <v>3</v>
          </cell>
          <cell r="C778" t="str">
            <v>06</v>
          </cell>
          <cell r="D778">
            <v>22</v>
          </cell>
          <cell r="E778" t="str">
            <v>567C2B</v>
          </cell>
          <cell r="F778">
            <v>4.2699999999999996</v>
          </cell>
          <cell r="G778">
            <v>3.6</v>
          </cell>
          <cell r="H778">
            <v>3.6</v>
          </cell>
          <cell r="I778" t="str">
            <v>FC</v>
          </cell>
          <cell r="J778" t="str">
            <v>ST</v>
          </cell>
          <cell r="K778">
            <v>14</v>
          </cell>
          <cell r="L778">
            <v>45987</v>
          </cell>
          <cell r="M778">
            <v>45987</v>
          </cell>
          <cell r="N778">
            <v>7</v>
          </cell>
          <cell r="O778" t="str">
            <v>NS</v>
          </cell>
          <cell r="P778" t="str">
            <v>NSF18SK3</v>
          </cell>
          <cell r="Q778">
            <v>46414</v>
          </cell>
          <cell r="R778" t="str">
            <v/>
          </cell>
          <cell r="S778" t="str">
            <v/>
          </cell>
          <cell r="T778" t="str">
            <v/>
          </cell>
          <cell r="U778">
            <v>8433</v>
          </cell>
          <cell r="V778">
            <v>8705</v>
          </cell>
          <cell r="W778">
            <v>45854</v>
          </cell>
          <cell r="X778" t="str">
            <v>Lokasi Produksi 567C2B ( pecahan 567C2 )</v>
          </cell>
          <cell r="Z778">
            <v>14</v>
          </cell>
          <cell r="AA778">
            <v>46414</v>
          </cell>
          <cell r="AM778" t="str">
            <v>OK</v>
          </cell>
          <cell r="AO778">
            <v>0.24518510802469487</v>
          </cell>
          <cell r="AP778">
            <v>-13.754814891975306</v>
          </cell>
          <cell r="AQ778">
            <v>0</v>
          </cell>
          <cell r="AR778">
            <v>0.24518510802469487</v>
          </cell>
          <cell r="AS778">
            <v>0</v>
          </cell>
          <cell r="AT778">
            <v>46414</v>
          </cell>
          <cell r="AU778">
            <v>-13.754814891975306</v>
          </cell>
          <cell r="AV778">
            <v>7.3555532407408464</v>
          </cell>
          <cell r="AW778">
            <v>-13.754814891975306</v>
          </cell>
          <cell r="AY778">
            <v>12.463691782410024</v>
          </cell>
          <cell r="AZ778" t="str">
            <v>F18</v>
          </cell>
          <cell r="BA778">
            <v>3.6</v>
          </cell>
          <cell r="BB778" t="str">
            <v>NSFC</v>
          </cell>
          <cell r="BC778" t="str">
            <v>F18SK</v>
          </cell>
        </row>
        <row r="779">
          <cell r="A779" t="str">
            <v>567D1</v>
          </cell>
          <cell r="B779" t="str">
            <v>3</v>
          </cell>
          <cell r="C779" t="str">
            <v>06</v>
          </cell>
          <cell r="D779">
            <v>22</v>
          </cell>
          <cell r="E779" t="str">
            <v>567D1</v>
          </cell>
          <cell r="F779">
            <v>13.64</v>
          </cell>
          <cell r="G779">
            <v>11.31</v>
          </cell>
          <cell r="H779">
            <v>11.31</v>
          </cell>
          <cell r="I779" t="str">
            <v>SC</v>
          </cell>
          <cell r="J779" t="str">
            <v>FC</v>
          </cell>
          <cell r="K779">
            <v>8</v>
          </cell>
          <cell r="L779">
            <v>45943</v>
          </cell>
          <cell r="M779">
            <v>45943</v>
          </cell>
          <cell r="N779">
            <v>51</v>
          </cell>
          <cell r="O779" t="str">
            <v>NS</v>
          </cell>
          <cell r="P779" t="str">
            <v/>
          </cell>
          <cell r="Q779">
            <v>46187</v>
          </cell>
          <cell r="R779" t="str">
            <v/>
          </cell>
          <cell r="S779" t="str">
            <v/>
          </cell>
          <cell r="T779" t="str">
            <v/>
          </cell>
          <cell r="U779">
            <v>64264</v>
          </cell>
          <cell r="V779">
            <v>69036</v>
          </cell>
          <cell r="W779">
            <v>45270</v>
          </cell>
          <cell r="X779" t="str">
            <v>Lokasi Produksi 567D1 (Pecahan Lok 567D1)</v>
          </cell>
          <cell r="Z779">
            <v>8</v>
          </cell>
          <cell r="AA779">
            <v>46187</v>
          </cell>
          <cell r="AM779" t="str">
            <v>OK</v>
          </cell>
          <cell r="AO779">
            <v>1.7118517746913615</v>
          </cell>
          <cell r="AP779">
            <v>-6.2881482253086389</v>
          </cell>
          <cell r="AQ779">
            <v>0</v>
          </cell>
          <cell r="AR779">
            <v>1.7118517746913615</v>
          </cell>
          <cell r="AS779">
            <v>0</v>
          </cell>
          <cell r="AT779">
            <v>46187</v>
          </cell>
          <cell r="AU779">
            <v>-6.2881482253086389</v>
          </cell>
          <cell r="AV779">
            <v>51.355553240740846</v>
          </cell>
          <cell r="AW779">
            <v>-6.2881482253086389</v>
          </cell>
          <cell r="AY779">
            <v>56.463691782410024</v>
          </cell>
          <cell r="AZ779" t="str">
            <v>F18</v>
          </cell>
          <cell r="BA779">
            <v>11.31</v>
          </cell>
          <cell r="BB779" t="str">
            <v>NSSC</v>
          </cell>
          <cell r="BC779" t="str">
            <v>F18</v>
          </cell>
        </row>
        <row r="780">
          <cell r="A780" t="str">
            <v>567D2</v>
          </cell>
          <cell r="B780" t="str">
            <v>3</v>
          </cell>
          <cell r="C780" t="str">
            <v>06</v>
          </cell>
          <cell r="D780">
            <v>22</v>
          </cell>
          <cell r="E780" t="str">
            <v>567D2</v>
          </cell>
          <cell r="F780">
            <v>12.05</v>
          </cell>
          <cell r="G780">
            <v>10.26</v>
          </cell>
          <cell r="H780">
            <v>10.26</v>
          </cell>
          <cell r="I780" t="str">
            <v>FC</v>
          </cell>
          <cell r="J780" t="str">
            <v>ST</v>
          </cell>
          <cell r="K780">
            <v>14</v>
          </cell>
          <cell r="L780">
            <v>45533</v>
          </cell>
          <cell r="M780">
            <v>45533</v>
          </cell>
          <cell r="N780">
            <v>461</v>
          </cell>
          <cell r="O780" t="str">
            <v>NS</v>
          </cell>
          <cell r="P780" t="str">
            <v>NSF18CK3</v>
          </cell>
          <cell r="Q780">
            <v>45960</v>
          </cell>
          <cell r="R780" t="str">
            <v/>
          </cell>
          <cell r="S780" t="str">
            <v/>
          </cell>
          <cell r="T780">
            <v>45961</v>
          </cell>
          <cell r="U780">
            <v>66910</v>
          </cell>
          <cell r="V780">
            <v>59897</v>
          </cell>
          <cell r="W780">
            <v>44009</v>
          </cell>
          <cell r="X780" t="str">
            <v>Lokasi Produksi 567D2</v>
          </cell>
          <cell r="Z780">
            <v>14</v>
          </cell>
          <cell r="AA780">
            <v>45960</v>
          </cell>
          <cell r="AM780" t="str">
            <v>OK</v>
          </cell>
          <cell r="AO780">
            <v>15.378518441358029</v>
          </cell>
          <cell r="AP780">
            <v>1.3785184413580289</v>
          </cell>
          <cell r="AQ780">
            <v>45961</v>
          </cell>
          <cell r="AR780">
            <v>14.266666666666667</v>
          </cell>
          <cell r="AS780">
            <v>1.1118517746913614</v>
          </cell>
          <cell r="AT780">
            <v>45960</v>
          </cell>
          <cell r="AU780">
            <v>1.1118517746913614</v>
          </cell>
          <cell r="AV780">
            <v>428</v>
          </cell>
          <cell r="AW780">
            <v>1.1118517746913614</v>
          </cell>
          <cell r="AY780">
            <v>466.46369178241002</v>
          </cell>
          <cell r="AZ780" t="str">
            <v>F18</v>
          </cell>
          <cell r="BA780">
            <v>10.26</v>
          </cell>
          <cell r="BB780" t="str">
            <v>NSFC</v>
          </cell>
          <cell r="BC780" t="str">
            <v>F18CK</v>
          </cell>
        </row>
        <row r="781">
          <cell r="A781" t="str">
            <v>567D2S</v>
          </cell>
          <cell r="B781" t="str">
            <v>3</v>
          </cell>
          <cell r="C781" t="str">
            <v>06</v>
          </cell>
          <cell r="D781">
            <v>22</v>
          </cell>
          <cell r="E781" t="str">
            <v>567D2S</v>
          </cell>
          <cell r="F781">
            <v>0.17</v>
          </cell>
          <cell r="G781">
            <v>0.17</v>
          </cell>
          <cell r="H781">
            <v>0.17</v>
          </cell>
          <cell r="I781" t="str">
            <v>FC</v>
          </cell>
          <cell r="J781" t="str">
            <v>ST</v>
          </cell>
          <cell r="K781">
            <v>0</v>
          </cell>
          <cell r="L781">
            <v>45705</v>
          </cell>
          <cell r="M781">
            <v>45705</v>
          </cell>
          <cell r="N781">
            <v>289</v>
          </cell>
          <cell r="O781" t="str">
            <v>SK</v>
          </cell>
          <cell r="P781" t="str">
            <v/>
          </cell>
          <cell r="Q781">
            <v>45705</v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>Lokasi Produksi 567D2S ( singkong )</v>
          </cell>
          <cell r="Z781">
            <v>0</v>
          </cell>
          <cell r="AA781">
            <v>45705</v>
          </cell>
          <cell r="AM781" t="str">
            <v>OK</v>
          </cell>
          <cell r="AO781">
            <v>9.6451851080246946</v>
          </cell>
          <cell r="AP781">
            <v>9.6451851080246946</v>
          </cell>
          <cell r="AQ781">
            <v>0</v>
          </cell>
          <cell r="AR781">
            <v>9.6451851080246946</v>
          </cell>
          <cell r="AS781">
            <v>0</v>
          </cell>
          <cell r="AT781">
            <v>45705</v>
          </cell>
          <cell r="AU781">
            <v>9.6451851080246946</v>
          </cell>
          <cell r="AV781">
            <v>289.35555324074085</v>
          </cell>
          <cell r="AW781">
            <v>9.6451851080246946</v>
          </cell>
          <cell r="AY781">
            <v>294.46369178241002</v>
          </cell>
          <cell r="AZ781" t="str">
            <v>F18</v>
          </cell>
          <cell r="BA781">
            <v>0</v>
          </cell>
          <cell r="BB781" t="str">
            <v>SKFC</v>
          </cell>
          <cell r="BC781" t="str">
            <v>F18</v>
          </cell>
        </row>
        <row r="782">
          <cell r="A782" t="str">
            <v>567E1</v>
          </cell>
          <cell r="B782" t="str">
            <v>3</v>
          </cell>
          <cell r="C782" t="str">
            <v>06</v>
          </cell>
          <cell r="D782">
            <v>22</v>
          </cell>
          <cell r="E782" t="str">
            <v>567E1</v>
          </cell>
          <cell r="F782">
            <v>8.1300000000000008</v>
          </cell>
          <cell r="G782">
            <v>6.75</v>
          </cell>
          <cell r="H782">
            <v>6.75</v>
          </cell>
          <cell r="I782" t="str">
            <v>ST</v>
          </cell>
          <cell r="J782" t="str">
            <v>BK</v>
          </cell>
          <cell r="K782">
            <v>0</v>
          </cell>
          <cell r="L782">
            <v>45962</v>
          </cell>
          <cell r="M782">
            <v>45962</v>
          </cell>
          <cell r="N782">
            <v>32</v>
          </cell>
          <cell r="O782" t="str">
            <v>NS</v>
          </cell>
          <cell r="P782" t="str">
            <v/>
          </cell>
          <cell r="Q782">
            <v>45962</v>
          </cell>
          <cell r="R782" t="str">
            <v/>
          </cell>
          <cell r="S782" t="str">
            <v/>
          </cell>
          <cell r="T782" t="str">
            <v/>
          </cell>
          <cell r="U782">
            <v>17219</v>
          </cell>
          <cell r="V782">
            <v>18285</v>
          </cell>
          <cell r="W782">
            <v>45867</v>
          </cell>
          <cell r="X782" t="str">
            <v>Lokasi Produksi 567E1 ( Pecahan 567E )</v>
          </cell>
          <cell r="Z782">
            <v>0</v>
          </cell>
          <cell r="AA782">
            <v>45962</v>
          </cell>
          <cell r="AM782" t="str">
            <v>OK</v>
          </cell>
          <cell r="AO782">
            <v>1.0785184413580282</v>
          </cell>
          <cell r="AP782">
            <v>1.0785184413580282</v>
          </cell>
          <cell r="AQ782">
            <v>0</v>
          </cell>
          <cell r="AR782">
            <v>1.0785184413580282</v>
          </cell>
          <cell r="AS782">
            <v>0</v>
          </cell>
          <cell r="AT782">
            <v>45962</v>
          </cell>
          <cell r="AU782">
            <v>1.0785184413580282</v>
          </cell>
          <cell r="AV782">
            <v>32.355553240740846</v>
          </cell>
          <cell r="AW782">
            <v>1.0785184413580282</v>
          </cell>
          <cell r="AY782">
            <v>37.463691782410024</v>
          </cell>
          <cell r="AZ782" t="str">
            <v>F18</v>
          </cell>
          <cell r="BA782">
            <v>0</v>
          </cell>
          <cell r="BB782" t="str">
            <v>NSST</v>
          </cell>
          <cell r="BC782" t="str">
            <v>F18</v>
          </cell>
        </row>
        <row r="783">
          <cell r="A783" t="str">
            <v>567E2A</v>
          </cell>
          <cell r="B783" t="str">
            <v>3</v>
          </cell>
          <cell r="C783" t="str">
            <v>06</v>
          </cell>
          <cell r="D783">
            <v>22</v>
          </cell>
          <cell r="E783" t="str">
            <v>567E2A</v>
          </cell>
          <cell r="F783">
            <v>7.6</v>
          </cell>
          <cell r="G783">
            <v>6.36</v>
          </cell>
          <cell r="H783">
            <v>6.36</v>
          </cell>
          <cell r="I783" t="str">
            <v>ST</v>
          </cell>
          <cell r="J783" t="str">
            <v>BK</v>
          </cell>
          <cell r="K783">
            <v>0</v>
          </cell>
          <cell r="L783">
            <v>45962</v>
          </cell>
          <cell r="M783">
            <v>45962</v>
          </cell>
          <cell r="N783">
            <v>32</v>
          </cell>
          <cell r="O783" t="str">
            <v>NS</v>
          </cell>
          <cell r="P783" t="str">
            <v/>
          </cell>
          <cell r="Q783">
            <v>45962</v>
          </cell>
          <cell r="R783" t="str">
            <v/>
          </cell>
          <cell r="S783" t="str">
            <v/>
          </cell>
          <cell r="T783" t="str">
            <v/>
          </cell>
          <cell r="U783">
            <v>15132</v>
          </cell>
          <cell r="V783">
            <v>16750</v>
          </cell>
          <cell r="W783">
            <v>45450</v>
          </cell>
          <cell r="X783" t="str">
            <v>Lokasi Produksi 567E2A ( pecahan 567E2 )</v>
          </cell>
          <cell r="Z783">
            <v>0</v>
          </cell>
          <cell r="AA783">
            <v>45962</v>
          </cell>
          <cell r="AM783" t="str">
            <v>OK</v>
          </cell>
          <cell r="AO783">
            <v>1.0785184413580282</v>
          </cell>
          <cell r="AP783">
            <v>1.0785184413580282</v>
          </cell>
          <cell r="AQ783">
            <v>0</v>
          </cell>
          <cell r="AR783">
            <v>1.0785184413580282</v>
          </cell>
          <cell r="AS783">
            <v>0</v>
          </cell>
          <cell r="AT783">
            <v>45962</v>
          </cell>
          <cell r="AU783">
            <v>1.0785184413580282</v>
          </cell>
          <cell r="AV783">
            <v>32.355553240740846</v>
          </cell>
          <cell r="AW783">
            <v>1.0785184413580282</v>
          </cell>
          <cell r="AY783">
            <v>37.463691782410024</v>
          </cell>
          <cell r="AZ783" t="str">
            <v>F18</v>
          </cell>
          <cell r="BA783">
            <v>0</v>
          </cell>
          <cell r="BB783" t="str">
            <v>NSST</v>
          </cell>
          <cell r="BC783" t="str">
            <v>F18</v>
          </cell>
        </row>
        <row r="784">
          <cell r="A784" t="str">
            <v>567E2B</v>
          </cell>
          <cell r="B784" t="str">
            <v>3</v>
          </cell>
          <cell r="C784" t="str">
            <v>06</v>
          </cell>
          <cell r="D784">
            <v>22</v>
          </cell>
          <cell r="E784" t="str">
            <v>567E2B</v>
          </cell>
          <cell r="F784">
            <v>6.71</v>
          </cell>
          <cell r="G784">
            <v>5.69</v>
          </cell>
          <cell r="H784">
            <v>5.69</v>
          </cell>
          <cell r="I784" t="str">
            <v>ST</v>
          </cell>
          <cell r="J784" t="str">
            <v>BK</v>
          </cell>
          <cell r="K784">
            <v>0</v>
          </cell>
          <cell r="L784">
            <v>45962</v>
          </cell>
          <cell r="M784">
            <v>45962</v>
          </cell>
          <cell r="N784">
            <v>32</v>
          </cell>
          <cell r="O784" t="str">
            <v>NS</v>
          </cell>
          <cell r="P784" t="str">
            <v/>
          </cell>
          <cell r="Q784">
            <v>45962</v>
          </cell>
          <cell r="R784" t="str">
            <v/>
          </cell>
          <cell r="S784" t="str">
            <v/>
          </cell>
          <cell r="T784" t="str">
            <v/>
          </cell>
          <cell r="U784">
            <v>14200</v>
          </cell>
          <cell r="V784">
            <v>15950</v>
          </cell>
          <cell r="W784">
            <v>45815</v>
          </cell>
          <cell r="X784" t="str">
            <v>Lokasi Produksi 567E2B ( pecahan 567E2 )</v>
          </cell>
          <cell r="Z784">
            <v>0</v>
          </cell>
          <cell r="AA784">
            <v>45962</v>
          </cell>
          <cell r="AM784" t="str">
            <v>OK</v>
          </cell>
          <cell r="AO784">
            <v>1.0785184413580282</v>
          </cell>
          <cell r="AP784">
            <v>1.0785184413580282</v>
          </cell>
          <cell r="AQ784">
            <v>0</v>
          </cell>
          <cell r="AR784">
            <v>1.0785184413580282</v>
          </cell>
          <cell r="AS784">
            <v>0</v>
          </cell>
          <cell r="AT784">
            <v>45962</v>
          </cell>
          <cell r="AU784">
            <v>1.0785184413580282</v>
          </cell>
          <cell r="AV784">
            <v>32.355553240740846</v>
          </cell>
          <cell r="AW784">
            <v>1.0785184413580282</v>
          </cell>
          <cell r="AY784">
            <v>37.463691782410024</v>
          </cell>
          <cell r="AZ784" t="str">
            <v>F18</v>
          </cell>
          <cell r="BA784">
            <v>0</v>
          </cell>
          <cell r="BB784" t="str">
            <v>NSST</v>
          </cell>
          <cell r="BC784" t="str">
            <v>F18</v>
          </cell>
        </row>
        <row r="785">
          <cell r="A785" t="str">
            <v>567F1</v>
          </cell>
          <cell r="B785" t="str">
            <v>3</v>
          </cell>
          <cell r="C785" t="str">
            <v>06</v>
          </cell>
          <cell r="D785">
            <v>22</v>
          </cell>
          <cell r="E785" t="str">
            <v>567F1</v>
          </cell>
          <cell r="F785">
            <v>8.1999999999999993</v>
          </cell>
          <cell r="G785">
            <v>6.85</v>
          </cell>
          <cell r="H785">
            <v>6.85</v>
          </cell>
          <cell r="I785" t="str">
            <v>FC</v>
          </cell>
          <cell r="J785" t="str">
            <v>ST</v>
          </cell>
          <cell r="K785">
            <v>14</v>
          </cell>
          <cell r="L785">
            <v>45706</v>
          </cell>
          <cell r="M785">
            <v>45706</v>
          </cell>
          <cell r="N785">
            <v>288</v>
          </cell>
          <cell r="O785" t="str">
            <v>NS</v>
          </cell>
          <cell r="P785" t="str">
            <v>NSF18CK3</v>
          </cell>
          <cell r="Q785">
            <v>46133</v>
          </cell>
          <cell r="R785" t="str">
            <v/>
          </cell>
          <cell r="S785" t="str">
            <v/>
          </cell>
          <cell r="T785" t="str">
            <v/>
          </cell>
          <cell r="U785">
            <v>64107</v>
          </cell>
          <cell r="V785">
            <v>68111</v>
          </cell>
          <cell r="W785">
            <v>45608</v>
          </cell>
          <cell r="X785" t="str">
            <v>Lokasi Produksi 567F1 ( pecahan 567F )</v>
          </cell>
          <cell r="Z785">
            <v>14</v>
          </cell>
          <cell r="AA785">
            <v>46133</v>
          </cell>
          <cell r="AM785" t="str">
            <v>OK</v>
          </cell>
          <cell r="AO785">
            <v>9.6118517746913614</v>
          </cell>
          <cell r="AP785">
            <v>-4.3881482253086386</v>
          </cell>
          <cell r="AQ785">
            <v>0</v>
          </cell>
          <cell r="AR785">
            <v>9.6118517746913614</v>
          </cell>
          <cell r="AS785">
            <v>0</v>
          </cell>
          <cell r="AT785">
            <v>46133</v>
          </cell>
          <cell r="AU785">
            <v>-4.3881482253086386</v>
          </cell>
          <cell r="AV785">
            <v>288.35555324074085</v>
          </cell>
          <cell r="AW785">
            <v>-4.3881482253086386</v>
          </cell>
          <cell r="AY785">
            <v>293.46369178241002</v>
          </cell>
          <cell r="AZ785" t="str">
            <v>F18</v>
          </cell>
          <cell r="BA785">
            <v>6.85</v>
          </cell>
          <cell r="BB785" t="str">
            <v>NSFC</v>
          </cell>
          <cell r="BC785" t="str">
            <v>F18CK</v>
          </cell>
        </row>
        <row r="786">
          <cell r="A786" t="str">
            <v>567F2</v>
          </cell>
          <cell r="B786" t="str">
            <v>3</v>
          </cell>
          <cell r="C786" t="str">
            <v>06</v>
          </cell>
          <cell r="D786">
            <v>22</v>
          </cell>
          <cell r="E786" t="str">
            <v>567F2</v>
          </cell>
          <cell r="F786">
            <v>6.37</v>
          </cell>
          <cell r="G786">
            <v>5.38</v>
          </cell>
          <cell r="H786">
            <v>5.38</v>
          </cell>
          <cell r="I786" t="str">
            <v>FC</v>
          </cell>
          <cell r="J786" t="str">
            <v>ST</v>
          </cell>
          <cell r="K786">
            <v>14</v>
          </cell>
          <cell r="L786">
            <v>45708</v>
          </cell>
          <cell r="M786">
            <v>45708</v>
          </cell>
          <cell r="N786">
            <v>286</v>
          </cell>
          <cell r="O786" t="str">
            <v>NS</v>
          </cell>
          <cell r="P786" t="str">
            <v>NSF18CK3</v>
          </cell>
          <cell r="Q786">
            <v>46135</v>
          </cell>
          <cell r="R786" t="str">
            <v/>
          </cell>
          <cell r="S786" t="str">
            <v/>
          </cell>
          <cell r="T786" t="str">
            <v/>
          </cell>
          <cell r="U786">
            <v>64284</v>
          </cell>
          <cell r="V786">
            <v>67778</v>
          </cell>
          <cell r="W786">
            <v>45608</v>
          </cell>
          <cell r="X786" t="str">
            <v>Lokasi Produksi 567F2 ( pecahan 567F )</v>
          </cell>
          <cell r="Z786">
            <v>14</v>
          </cell>
          <cell r="AA786">
            <v>46135</v>
          </cell>
          <cell r="AM786" t="str">
            <v>OK</v>
          </cell>
          <cell r="AO786">
            <v>9.545185108024695</v>
          </cell>
          <cell r="AP786">
            <v>-4.454814891975305</v>
          </cell>
          <cell r="AQ786">
            <v>0</v>
          </cell>
          <cell r="AR786">
            <v>9.545185108024695</v>
          </cell>
          <cell r="AS786">
            <v>0</v>
          </cell>
          <cell r="AT786">
            <v>46135</v>
          </cell>
          <cell r="AU786">
            <v>-4.454814891975305</v>
          </cell>
          <cell r="AV786">
            <v>286.35555324074085</v>
          </cell>
          <cell r="AW786">
            <v>-4.454814891975305</v>
          </cell>
          <cell r="AY786">
            <v>291.46369178241002</v>
          </cell>
          <cell r="AZ786" t="str">
            <v>F18</v>
          </cell>
          <cell r="BA786">
            <v>5.38</v>
          </cell>
          <cell r="BB786" t="str">
            <v>NSFC</v>
          </cell>
          <cell r="BC786" t="str">
            <v>F18CK</v>
          </cell>
        </row>
        <row r="787">
          <cell r="A787" t="str">
            <v>567F3</v>
          </cell>
          <cell r="B787" t="str">
            <v>3</v>
          </cell>
          <cell r="C787" t="str">
            <v>06</v>
          </cell>
          <cell r="D787">
            <v>22</v>
          </cell>
          <cell r="E787" t="str">
            <v>567F3</v>
          </cell>
          <cell r="F787">
            <v>7.74</v>
          </cell>
          <cell r="G787">
            <v>6.55</v>
          </cell>
          <cell r="H787">
            <v>6.55</v>
          </cell>
          <cell r="I787" t="str">
            <v>FC</v>
          </cell>
          <cell r="J787" t="str">
            <v>ST</v>
          </cell>
          <cell r="K787">
            <v>14</v>
          </cell>
          <cell r="L787">
            <v>45705</v>
          </cell>
          <cell r="M787">
            <v>45705</v>
          </cell>
          <cell r="N787">
            <v>289</v>
          </cell>
          <cell r="O787" t="str">
            <v>NS</v>
          </cell>
          <cell r="P787" t="str">
            <v>NSF18CK3</v>
          </cell>
          <cell r="Q787">
            <v>46132</v>
          </cell>
          <cell r="R787" t="str">
            <v/>
          </cell>
          <cell r="S787" t="str">
            <v/>
          </cell>
          <cell r="T787" t="str">
            <v/>
          </cell>
          <cell r="U787">
            <v>63974</v>
          </cell>
          <cell r="V787">
            <v>68377</v>
          </cell>
          <cell r="W787">
            <v>46318</v>
          </cell>
          <cell r="X787" t="str">
            <v>Lokasi Produksi 567F3 ( pecahan 567F )</v>
          </cell>
          <cell r="Z787">
            <v>14</v>
          </cell>
          <cell r="AA787">
            <v>46132</v>
          </cell>
          <cell r="AM787" t="str">
            <v>OK</v>
          </cell>
          <cell r="AO787">
            <v>9.6451851080246946</v>
          </cell>
          <cell r="AP787">
            <v>-4.3548148919753054</v>
          </cell>
          <cell r="AQ787">
            <v>0</v>
          </cell>
          <cell r="AR787">
            <v>9.6451851080246946</v>
          </cell>
          <cell r="AS787">
            <v>0</v>
          </cell>
          <cell r="AT787">
            <v>46132</v>
          </cell>
          <cell r="AU787">
            <v>-4.3548148919753054</v>
          </cell>
          <cell r="AV787">
            <v>289.35555324074085</v>
          </cell>
          <cell r="AW787">
            <v>-4.3548148919753054</v>
          </cell>
          <cell r="AY787">
            <v>294.46369178241002</v>
          </cell>
          <cell r="AZ787" t="str">
            <v>F18</v>
          </cell>
          <cell r="BA787">
            <v>6.55</v>
          </cell>
          <cell r="BB787" t="str">
            <v>NSFC</v>
          </cell>
          <cell r="BC787" t="str">
            <v>F18CK</v>
          </cell>
        </row>
        <row r="788">
          <cell r="A788" t="str">
            <v>567FS1</v>
          </cell>
          <cell r="B788" t="str">
            <v>3</v>
          </cell>
          <cell r="C788" t="str">
            <v>06</v>
          </cell>
          <cell r="D788">
            <v>22</v>
          </cell>
          <cell r="E788" t="str">
            <v>567FS1</v>
          </cell>
          <cell r="F788">
            <v>1.24</v>
          </cell>
          <cell r="G788">
            <v>1.24</v>
          </cell>
          <cell r="H788">
            <v>1.24</v>
          </cell>
          <cell r="I788" t="str">
            <v>FC</v>
          </cell>
          <cell r="J788" t="str">
            <v>ST</v>
          </cell>
          <cell r="K788">
            <v>0</v>
          </cell>
          <cell r="L788">
            <v>45689</v>
          </cell>
          <cell r="M788">
            <v>45689</v>
          </cell>
          <cell r="N788">
            <v>305</v>
          </cell>
          <cell r="O788" t="str">
            <v>SK</v>
          </cell>
          <cell r="P788" t="str">
            <v/>
          </cell>
          <cell r="Q788">
            <v>45689</v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>Lokasi Produksi 567FS1 ( singkong )</v>
          </cell>
          <cell r="Z788">
            <v>0</v>
          </cell>
          <cell r="AA788">
            <v>45689</v>
          </cell>
          <cell r="AM788" t="str">
            <v>OK</v>
          </cell>
          <cell r="AO788">
            <v>10.178518441358028</v>
          </cell>
          <cell r="AP788">
            <v>10.178518441358028</v>
          </cell>
          <cell r="AQ788">
            <v>0</v>
          </cell>
          <cell r="AR788">
            <v>10.178518441358028</v>
          </cell>
          <cell r="AS788">
            <v>0</v>
          </cell>
          <cell r="AT788">
            <v>45689</v>
          </cell>
          <cell r="AU788">
            <v>10.178518441358028</v>
          </cell>
          <cell r="AV788">
            <v>305.35555324074085</v>
          </cell>
          <cell r="AW788">
            <v>10.178518441358028</v>
          </cell>
          <cell r="AY788">
            <v>310.46369178241002</v>
          </cell>
          <cell r="AZ788" t="str">
            <v>F18</v>
          </cell>
          <cell r="BA788">
            <v>0</v>
          </cell>
          <cell r="BB788" t="str">
            <v>SKFC</v>
          </cell>
          <cell r="BC788" t="str">
            <v>F18</v>
          </cell>
        </row>
        <row r="789">
          <cell r="A789" t="str">
            <v>567G</v>
          </cell>
          <cell r="B789" t="str">
            <v>3</v>
          </cell>
          <cell r="C789" t="str">
            <v>06</v>
          </cell>
          <cell r="D789">
            <v>22</v>
          </cell>
          <cell r="E789" t="str">
            <v>567G</v>
          </cell>
          <cell r="F789">
            <v>14.79</v>
          </cell>
          <cell r="G789">
            <v>11.89</v>
          </cell>
          <cell r="H789">
            <v>11.89</v>
          </cell>
          <cell r="I789" t="str">
            <v>SC</v>
          </cell>
          <cell r="J789" t="str">
            <v>FC</v>
          </cell>
          <cell r="K789">
            <v>8</v>
          </cell>
          <cell r="L789">
            <v>45843</v>
          </cell>
          <cell r="M789">
            <v>45843</v>
          </cell>
          <cell r="N789">
            <v>151</v>
          </cell>
          <cell r="O789" t="str">
            <v>NS</v>
          </cell>
          <cell r="P789" t="str">
            <v/>
          </cell>
          <cell r="Q789">
            <v>46087</v>
          </cell>
          <cell r="R789" t="str">
            <v/>
          </cell>
          <cell r="S789" t="str">
            <v/>
          </cell>
          <cell r="T789" t="str">
            <v/>
          </cell>
          <cell r="U789">
            <v>68621</v>
          </cell>
          <cell r="V789">
            <v>71859</v>
          </cell>
          <cell r="W789">
            <v>43023</v>
          </cell>
          <cell r="X789" t="str">
            <v>Lokasi Produksi 567G</v>
          </cell>
          <cell r="Z789">
            <v>8</v>
          </cell>
          <cell r="AA789">
            <v>46087</v>
          </cell>
          <cell r="AM789" t="str">
            <v>OK</v>
          </cell>
          <cell r="AO789">
            <v>5.045185108024695</v>
          </cell>
          <cell r="AP789">
            <v>-2.954814891975305</v>
          </cell>
          <cell r="AQ789">
            <v>0</v>
          </cell>
          <cell r="AR789">
            <v>5.045185108024695</v>
          </cell>
          <cell r="AS789">
            <v>0</v>
          </cell>
          <cell r="AT789">
            <v>46087</v>
          </cell>
          <cell r="AU789">
            <v>-2.954814891975305</v>
          </cell>
          <cell r="AV789">
            <v>151.35555324074085</v>
          </cell>
          <cell r="AW789">
            <v>-2.954814891975305</v>
          </cell>
          <cell r="AY789">
            <v>156.46369178241002</v>
          </cell>
          <cell r="AZ789" t="str">
            <v>F18</v>
          </cell>
          <cell r="BA789">
            <v>11.89</v>
          </cell>
          <cell r="BB789" t="str">
            <v>NSSC</v>
          </cell>
          <cell r="BC789" t="str">
            <v>F18</v>
          </cell>
        </row>
        <row r="790">
          <cell r="A790" t="str">
            <v>567GS</v>
          </cell>
          <cell r="B790" t="str">
            <v>3</v>
          </cell>
          <cell r="C790" t="str">
            <v>06</v>
          </cell>
          <cell r="D790">
            <v>22</v>
          </cell>
          <cell r="E790" t="str">
            <v>567GS</v>
          </cell>
          <cell r="F790">
            <v>0.92</v>
          </cell>
          <cell r="G790">
            <v>0.92</v>
          </cell>
          <cell r="H790">
            <v>0.92</v>
          </cell>
          <cell r="I790" t="str">
            <v>FC</v>
          </cell>
          <cell r="J790" t="str">
            <v>ST</v>
          </cell>
          <cell r="K790">
            <v>0</v>
          </cell>
          <cell r="L790">
            <v>45689</v>
          </cell>
          <cell r="M790">
            <v>45689</v>
          </cell>
          <cell r="N790">
            <v>305</v>
          </cell>
          <cell r="O790" t="str">
            <v>SK</v>
          </cell>
          <cell r="P790" t="str">
            <v/>
          </cell>
          <cell r="Q790">
            <v>45689</v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>
            <v>74237</v>
          </cell>
          <cell r="W790" t="str">
            <v/>
          </cell>
          <cell r="X790" t="str">
            <v>Lokasi Produksi 567GS ( singkong )</v>
          </cell>
          <cell r="Z790">
            <v>0</v>
          </cell>
          <cell r="AA790">
            <v>45689</v>
          </cell>
          <cell r="AM790" t="str">
            <v>OK</v>
          </cell>
          <cell r="AO790">
            <v>10.178518441358028</v>
          </cell>
          <cell r="AP790">
            <v>10.178518441358028</v>
          </cell>
          <cell r="AQ790">
            <v>0</v>
          </cell>
          <cell r="AR790">
            <v>10.178518441358028</v>
          </cell>
          <cell r="AS790">
            <v>0</v>
          </cell>
          <cell r="AT790">
            <v>45689</v>
          </cell>
          <cell r="AU790">
            <v>10.178518441358028</v>
          </cell>
          <cell r="AV790">
            <v>305.35555324074085</v>
          </cell>
          <cell r="AW790">
            <v>10.178518441358028</v>
          </cell>
          <cell r="AY790">
            <v>310.46369178241002</v>
          </cell>
          <cell r="AZ790" t="str">
            <v>F18</v>
          </cell>
          <cell r="BA790">
            <v>0</v>
          </cell>
          <cell r="BB790" t="str">
            <v>SKFC</v>
          </cell>
          <cell r="BC790" t="str">
            <v>F18</v>
          </cell>
        </row>
        <row r="791">
          <cell r="A791" t="str">
            <v>567H</v>
          </cell>
          <cell r="B791" t="str">
            <v>3</v>
          </cell>
          <cell r="C791" t="str">
            <v>06</v>
          </cell>
          <cell r="D791">
            <v>22</v>
          </cell>
          <cell r="E791" t="str">
            <v>567H</v>
          </cell>
          <cell r="F791">
            <v>10.14</v>
          </cell>
          <cell r="G791">
            <v>8.44</v>
          </cell>
          <cell r="H791">
            <v>8.44</v>
          </cell>
          <cell r="I791" t="str">
            <v>SC</v>
          </cell>
          <cell r="J791" t="str">
            <v>FC</v>
          </cell>
          <cell r="K791">
            <v>8</v>
          </cell>
          <cell r="L791">
            <v>45936</v>
          </cell>
          <cell r="M791">
            <v>45936</v>
          </cell>
          <cell r="N791">
            <v>58</v>
          </cell>
          <cell r="O791" t="str">
            <v>NS</v>
          </cell>
          <cell r="P791" t="str">
            <v/>
          </cell>
          <cell r="Q791">
            <v>46180</v>
          </cell>
          <cell r="R791" t="str">
            <v/>
          </cell>
          <cell r="S791" t="str">
            <v/>
          </cell>
          <cell r="T791" t="str">
            <v/>
          </cell>
          <cell r="U791">
            <v>69955</v>
          </cell>
          <cell r="V791">
            <v>70026</v>
          </cell>
          <cell r="W791">
            <v>43806</v>
          </cell>
          <cell r="X791" t="str">
            <v>Lokasi Produksi 567H</v>
          </cell>
          <cell r="Z791">
            <v>8</v>
          </cell>
          <cell r="AA791">
            <v>46180</v>
          </cell>
          <cell r="AM791" t="str">
            <v>OK</v>
          </cell>
          <cell r="AO791">
            <v>1.9451851080246949</v>
          </cell>
          <cell r="AP791">
            <v>-6.0548148919753046</v>
          </cell>
          <cell r="AQ791">
            <v>0</v>
          </cell>
          <cell r="AR791">
            <v>1.9451851080246949</v>
          </cell>
          <cell r="AS791">
            <v>0</v>
          </cell>
          <cell r="AT791">
            <v>46180</v>
          </cell>
          <cell r="AU791">
            <v>-6.0548148919753046</v>
          </cell>
          <cell r="AV791">
            <v>58.355553240740846</v>
          </cell>
          <cell r="AW791">
            <v>-6.0548148919753046</v>
          </cell>
          <cell r="AY791">
            <v>63.463691782410024</v>
          </cell>
          <cell r="AZ791" t="str">
            <v>F18</v>
          </cell>
          <cell r="BA791">
            <v>8.44</v>
          </cell>
          <cell r="BB791" t="str">
            <v>NSSC</v>
          </cell>
          <cell r="BC791" t="str">
            <v>F18</v>
          </cell>
        </row>
        <row r="792">
          <cell r="A792" t="str">
            <v>568A2</v>
          </cell>
          <cell r="B792" t="str">
            <v>3</v>
          </cell>
          <cell r="C792" t="str">
            <v>06</v>
          </cell>
          <cell r="D792">
            <v>22</v>
          </cell>
          <cell r="E792" t="str">
            <v>568A2</v>
          </cell>
          <cell r="F792">
            <v>14.86</v>
          </cell>
          <cell r="G792">
            <v>12.26</v>
          </cell>
          <cell r="H792">
            <v>12.26</v>
          </cell>
          <cell r="I792" t="str">
            <v>SC</v>
          </cell>
          <cell r="J792" t="str">
            <v>BB</v>
          </cell>
          <cell r="K792">
            <v>8</v>
          </cell>
          <cell r="L792">
            <v>45988</v>
          </cell>
          <cell r="M792">
            <v>45988</v>
          </cell>
          <cell r="N792">
            <v>6</v>
          </cell>
          <cell r="O792" t="str">
            <v>NS</v>
          </cell>
          <cell r="P792" t="str">
            <v/>
          </cell>
          <cell r="Q792">
            <v>46232</v>
          </cell>
          <cell r="R792" t="str">
            <v/>
          </cell>
          <cell r="S792" t="str">
            <v/>
          </cell>
          <cell r="T792" t="str">
            <v/>
          </cell>
          <cell r="U792">
            <v>69601</v>
          </cell>
          <cell r="V792">
            <v>70458</v>
          </cell>
          <cell r="W792">
            <v>45270</v>
          </cell>
          <cell r="X792" t="str">
            <v>Lokasi Produksi 568A2</v>
          </cell>
          <cell r="Z792">
            <v>8</v>
          </cell>
          <cell r="AA792">
            <v>46232</v>
          </cell>
          <cell r="AM792" t="str">
            <v>OK</v>
          </cell>
          <cell r="AO792">
            <v>0.21185177469136154</v>
          </cell>
          <cell r="AP792">
            <v>-7.788148225308638</v>
          </cell>
          <cell r="AQ792">
            <v>0</v>
          </cell>
          <cell r="AR792">
            <v>0.21185177469136154</v>
          </cell>
          <cell r="AS792">
            <v>0</v>
          </cell>
          <cell r="AT792">
            <v>46232</v>
          </cell>
          <cell r="AU792">
            <v>-7.788148225308638</v>
          </cell>
          <cell r="AV792">
            <v>6.3555532407408464</v>
          </cell>
          <cell r="AW792">
            <v>-7.788148225308638</v>
          </cell>
          <cell r="AY792">
            <v>11.463691782410024</v>
          </cell>
          <cell r="AZ792" t="str">
            <v>F18</v>
          </cell>
          <cell r="BA792">
            <v>12.26</v>
          </cell>
          <cell r="BB792" t="str">
            <v>NSSC</v>
          </cell>
          <cell r="BC792" t="str">
            <v>F18</v>
          </cell>
        </row>
        <row r="793">
          <cell r="A793" t="str">
            <v>568A3</v>
          </cell>
          <cell r="B793" t="str">
            <v>3</v>
          </cell>
          <cell r="C793" t="str">
            <v>06</v>
          </cell>
          <cell r="D793">
            <v>22</v>
          </cell>
          <cell r="E793" t="str">
            <v>568A3</v>
          </cell>
          <cell r="F793">
            <v>10.71</v>
          </cell>
          <cell r="G793">
            <v>8.42</v>
          </cell>
          <cell r="H793">
            <v>8.42</v>
          </cell>
          <cell r="I793" t="str">
            <v>BK</v>
          </cell>
          <cell r="J793" t="str">
            <v>BB</v>
          </cell>
          <cell r="K793">
            <v>0</v>
          </cell>
          <cell r="L793">
            <v>45900</v>
          </cell>
          <cell r="M793">
            <v>45900</v>
          </cell>
          <cell r="N793">
            <v>94</v>
          </cell>
          <cell r="O793" t="str">
            <v>NS</v>
          </cell>
          <cell r="P793" t="str">
            <v/>
          </cell>
          <cell r="Q793">
            <v>45900</v>
          </cell>
          <cell r="R793" t="str">
            <v/>
          </cell>
          <cell r="S793" t="str">
            <v/>
          </cell>
          <cell r="T793" t="str">
            <v/>
          </cell>
          <cell r="U793">
            <v>72634</v>
          </cell>
          <cell r="V793">
            <v>72773</v>
          </cell>
          <cell r="W793">
            <v>43069</v>
          </cell>
          <cell r="X793" t="str">
            <v>Lokasi Produksi 568A3 ( pecahan 568A1 )</v>
          </cell>
          <cell r="Z793">
            <v>0</v>
          </cell>
          <cell r="AA793">
            <v>45900</v>
          </cell>
          <cell r="AM793" t="str">
            <v>OK</v>
          </cell>
          <cell r="AO793">
            <v>3.1451851080246951</v>
          </cell>
          <cell r="AP793">
            <v>3.1451851080246951</v>
          </cell>
          <cell r="AQ793">
            <v>0</v>
          </cell>
          <cell r="AR793">
            <v>3.1451851080246951</v>
          </cell>
          <cell r="AS793">
            <v>0</v>
          </cell>
          <cell r="AT793">
            <v>45900</v>
          </cell>
          <cell r="AU793">
            <v>3.1451851080246951</v>
          </cell>
          <cell r="AV793">
            <v>94.355553240740846</v>
          </cell>
          <cell r="AW793">
            <v>3.1451851080246951</v>
          </cell>
          <cell r="AY793">
            <v>99.463691782410024</v>
          </cell>
          <cell r="AZ793" t="str">
            <v>F18</v>
          </cell>
          <cell r="BA793">
            <v>0</v>
          </cell>
          <cell r="BB793" t="str">
            <v>NSBK</v>
          </cell>
          <cell r="BC793" t="str">
            <v>F18</v>
          </cell>
        </row>
        <row r="794">
          <cell r="A794" t="str">
            <v>568A4</v>
          </cell>
          <cell r="B794" t="str">
            <v>3</v>
          </cell>
          <cell r="C794" t="str">
            <v>06</v>
          </cell>
          <cell r="D794">
            <v>22</v>
          </cell>
          <cell r="E794" t="str">
            <v>568A4</v>
          </cell>
          <cell r="F794">
            <v>13.34</v>
          </cell>
          <cell r="G794">
            <v>11.24</v>
          </cell>
          <cell r="H794">
            <v>11.24</v>
          </cell>
          <cell r="I794" t="str">
            <v>ST</v>
          </cell>
          <cell r="J794" t="str">
            <v>BK</v>
          </cell>
          <cell r="K794">
            <v>0</v>
          </cell>
          <cell r="L794">
            <v>45946</v>
          </cell>
          <cell r="M794">
            <v>45946</v>
          </cell>
          <cell r="N794">
            <v>48</v>
          </cell>
          <cell r="O794" t="str">
            <v>NS</v>
          </cell>
          <cell r="P794" t="str">
            <v/>
          </cell>
          <cell r="Q794">
            <v>45946</v>
          </cell>
          <cell r="R794" t="str">
            <v/>
          </cell>
          <cell r="S794" t="str">
            <v/>
          </cell>
          <cell r="T794" t="str">
            <v/>
          </cell>
          <cell r="U794">
            <v>69285</v>
          </cell>
          <cell r="V794">
            <v>74816</v>
          </cell>
          <cell r="W794">
            <v>43069</v>
          </cell>
          <cell r="X794" t="str">
            <v>Lokasi Produksi 568A4 ( pecahan 568A1 )</v>
          </cell>
          <cell r="Z794">
            <v>0</v>
          </cell>
          <cell r="AA794">
            <v>45946</v>
          </cell>
          <cell r="AM794" t="str">
            <v>OK</v>
          </cell>
          <cell r="AO794">
            <v>1.6118517746913616</v>
          </cell>
          <cell r="AP794">
            <v>1.6118517746913616</v>
          </cell>
          <cell r="AQ794">
            <v>0</v>
          </cell>
          <cell r="AR794">
            <v>1.6118517746913616</v>
          </cell>
          <cell r="AS794">
            <v>0</v>
          </cell>
          <cell r="AT794">
            <v>45946</v>
          </cell>
          <cell r="AU794">
            <v>1.6118517746913616</v>
          </cell>
          <cell r="AV794">
            <v>48.355553240740846</v>
          </cell>
          <cell r="AW794">
            <v>1.6118517746913616</v>
          </cell>
          <cell r="AY794">
            <v>53.463691782410024</v>
          </cell>
          <cell r="AZ794" t="str">
            <v>F18</v>
          </cell>
          <cell r="BA794">
            <v>0</v>
          </cell>
          <cell r="BB794" t="str">
            <v>NSST</v>
          </cell>
          <cell r="BC794" t="str">
            <v>F18</v>
          </cell>
        </row>
        <row r="795">
          <cell r="A795" t="str">
            <v>568B1</v>
          </cell>
          <cell r="B795" t="str">
            <v>3</v>
          </cell>
          <cell r="C795" t="str">
            <v>06</v>
          </cell>
          <cell r="D795">
            <v>22</v>
          </cell>
          <cell r="E795" t="str">
            <v>568B1</v>
          </cell>
          <cell r="F795">
            <v>14.7</v>
          </cell>
          <cell r="G795">
            <v>12.43</v>
          </cell>
          <cell r="H795">
            <v>12.43</v>
          </cell>
          <cell r="I795" t="str">
            <v>BB</v>
          </cell>
          <cell r="J795" t="str">
            <v>FC</v>
          </cell>
          <cell r="K795">
            <v>0</v>
          </cell>
          <cell r="L795">
            <v>45979</v>
          </cell>
          <cell r="M795">
            <v>45979</v>
          </cell>
          <cell r="N795">
            <v>15</v>
          </cell>
          <cell r="O795" t="str">
            <v>NS</v>
          </cell>
          <cell r="P795" t="str">
            <v/>
          </cell>
          <cell r="Q795">
            <v>45979</v>
          </cell>
          <cell r="R795" t="str">
            <v/>
          </cell>
          <cell r="S795" t="str">
            <v/>
          </cell>
          <cell r="T795" t="str">
            <v/>
          </cell>
          <cell r="U795">
            <v>69860</v>
          </cell>
          <cell r="V795">
            <v>71042</v>
          </cell>
          <cell r="W795">
            <v>43792</v>
          </cell>
          <cell r="X795" t="str">
            <v>Lokasi Produksi 568B1 ( pecahan 568B )</v>
          </cell>
          <cell r="Z795">
            <v>0</v>
          </cell>
          <cell r="AA795">
            <v>45979</v>
          </cell>
          <cell r="AM795" t="str">
            <v>OK</v>
          </cell>
          <cell r="AO795">
            <v>0.51185177469136156</v>
          </cell>
          <cell r="AP795">
            <v>0.51185177469136156</v>
          </cell>
          <cell r="AQ795">
            <v>0</v>
          </cell>
          <cell r="AR795">
            <v>0.51185177469136156</v>
          </cell>
          <cell r="AS795">
            <v>0</v>
          </cell>
          <cell r="AT795">
            <v>45979</v>
          </cell>
          <cell r="AU795">
            <v>0.51185177469136156</v>
          </cell>
          <cell r="AV795">
            <v>15.355553240740846</v>
          </cell>
          <cell r="AW795">
            <v>0.51185177469136156</v>
          </cell>
          <cell r="AY795">
            <v>20.463691782410024</v>
          </cell>
          <cell r="AZ795" t="str">
            <v>F18</v>
          </cell>
          <cell r="BA795">
            <v>0</v>
          </cell>
          <cell r="BB795" t="str">
            <v>NSBB</v>
          </cell>
          <cell r="BC795" t="str">
            <v>F18</v>
          </cell>
        </row>
        <row r="796">
          <cell r="A796" t="str">
            <v>568B3</v>
          </cell>
          <cell r="B796" t="str">
            <v>3</v>
          </cell>
          <cell r="C796" t="str">
            <v>06</v>
          </cell>
          <cell r="D796">
            <v>22</v>
          </cell>
          <cell r="E796" t="str">
            <v>568B3</v>
          </cell>
          <cell r="F796">
            <v>11.44</v>
          </cell>
          <cell r="G796">
            <v>9.83</v>
          </cell>
          <cell r="H796">
            <v>9.83</v>
          </cell>
          <cell r="I796" t="str">
            <v>SC</v>
          </cell>
          <cell r="J796" t="str">
            <v>FC</v>
          </cell>
          <cell r="K796">
            <v>8</v>
          </cell>
          <cell r="L796">
            <v>45937</v>
          </cell>
          <cell r="M796">
            <v>45937</v>
          </cell>
          <cell r="N796">
            <v>57</v>
          </cell>
          <cell r="O796" t="str">
            <v>NS</v>
          </cell>
          <cell r="P796" t="str">
            <v/>
          </cell>
          <cell r="Q796">
            <v>46181</v>
          </cell>
          <cell r="R796" t="str">
            <v/>
          </cell>
          <cell r="S796" t="str">
            <v/>
          </cell>
          <cell r="T796" t="str">
            <v/>
          </cell>
          <cell r="U796">
            <v>69916</v>
          </cell>
          <cell r="V796">
            <v>70460</v>
          </cell>
          <cell r="W796">
            <v>45311</v>
          </cell>
          <cell r="X796" t="str">
            <v>Lokasi Produksi 568B3 ( pecahan 568B2 )</v>
          </cell>
          <cell r="Z796">
            <v>8</v>
          </cell>
          <cell r="AA796">
            <v>46181</v>
          </cell>
          <cell r="AM796" t="str">
            <v>OK</v>
          </cell>
          <cell r="AO796">
            <v>1.9118517746913615</v>
          </cell>
          <cell r="AP796">
            <v>-6.0881482253086388</v>
          </cell>
          <cell r="AQ796">
            <v>0</v>
          </cell>
          <cell r="AR796">
            <v>1.9118517746913615</v>
          </cell>
          <cell r="AS796">
            <v>0</v>
          </cell>
          <cell r="AT796">
            <v>46181</v>
          </cell>
          <cell r="AU796">
            <v>-6.0881482253086388</v>
          </cell>
          <cell r="AV796">
            <v>57.355553240740846</v>
          </cell>
          <cell r="AW796">
            <v>-6.0881482253086388</v>
          </cell>
          <cell r="AY796">
            <v>62.463691782410024</v>
          </cell>
          <cell r="AZ796" t="str">
            <v>F18</v>
          </cell>
          <cell r="BA796">
            <v>9.83</v>
          </cell>
          <cell r="BB796" t="str">
            <v>NSSC</v>
          </cell>
          <cell r="BC796" t="str">
            <v>F18</v>
          </cell>
        </row>
        <row r="797">
          <cell r="A797" t="str">
            <v>568B4</v>
          </cell>
          <cell r="B797" t="str">
            <v>3</v>
          </cell>
          <cell r="C797" t="str">
            <v>06</v>
          </cell>
          <cell r="D797">
            <v>22</v>
          </cell>
          <cell r="E797" t="str">
            <v>568B4</v>
          </cell>
          <cell r="F797">
            <v>10.57</v>
          </cell>
          <cell r="G797">
            <v>8.9700000000000006</v>
          </cell>
          <cell r="H797">
            <v>8.9700000000000006</v>
          </cell>
          <cell r="I797" t="str">
            <v>SC</v>
          </cell>
          <cell r="J797" t="str">
            <v>FC</v>
          </cell>
          <cell r="K797">
            <v>8</v>
          </cell>
          <cell r="L797">
            <v>45973</v>
          </cell>
          <cell r="M797">
            <v>45973</v>
          </cell>
          <cell r="N797">
            <v>21</v>
          </cell>
          <cell r="O797" t="str">
            <v>NS</v>
          </cell>
          <cell r="P797" t="str">
            <v/>
          </cell>
          <cell r="Q797">
            <v>46217</v>
          </cell>
          <cell r="R797" t="str">
            <v/>
          </cell>
          <cell r="S797" t="str">
            <v/>
          </cell>
          <cell r="T797" t="str">
            <v/>
          </cell>
          <cell r="U797">
            <v>62962</v>
          </cell>
          <cell r="V797">
            <v>68088</v>
          </cell>
          <cell r="W797">
            <v>45311</v>
          </cell>
          <cell r="X797" t="str">
            <v>Lokasi Produksi 568B4 ( pecahan 568B2 )</v>
          </cell>
          <cell r="Z797">
            <v>8</v>
          </cell>
          <cell r="AA797">
            <v>46217</v>
          </cell>
          <cell r="AM797" t="str">
            <v>OK</v>
          </cell>
          <cell r="AO797">
            <v>0.71185177469136152</v>
          </cell>
          <cell r="AP797">
            <v>-7.2881482253086389</v>
          </cell>
          <cell r="AQ797">
            <v>0</v>
          </cell>
          <cell r="AR797">
            <v>0.71185177469136152</v>
          </cell>
          <cell r="AS797">
            <v>0</v>
          </cell>
          <cell r="AT797">
            <v>46217</v>
          </cell>
          <cell r="AU797">
            <v>-7.2881482253086389</v>
          </cell>
          <cell r="AV797">
            <v>21.355553240740846</v>
          </cell>
          <cell r="AW797">
            <v>-7.2881482253086389</v>
          </cell>
          <cell r="AY797">
            <v>26.463691782410024</v>
          </cell>
          <cell r="AZ797" t="str">
            <v>F18</v>
          </cell>
          <cell r="BA797">
            <v>8.9700000000000006</v>
          </cell>
          <cell r="BB797" t="str">
            <v>NSSC</v>
          </cell>
          <cell r="BC797" t="str">
            <v>F18</v>
          </cell>
        </row>
        <row r="798">
          <cell r="A798" t="str">
            <v>568C1</v>
          </cell>
          <cell r="B798" t="str">
            <v>3</v>
          </cell>
          <cell r="C798" t="str">
            <v>06</v>
          </cell>
          <cell r="D798">
            <v>22</v>
          </cell>
          <cell r="E798" t="str">
            <v>568C1</v>
          </cell>
          <cell r="F798">
            <v>7.24</v>
          </cell>
          <cell r="G798">
            <v>6.07</v>
          </cell>
          <cell r="H798">
            <v>6.07</v>
          </cell>
          <cell r="I798" t="str">
            <v>SC</v>
          </cell>
          <cell r="J798" t="str">
            <v>BB</v>
          </cell>
          <cell r="K798">
            <v>8</v>
          </cell>
          <cell r="L798">
            <v>45853</v>
          </cell>
          <cell r="M798">
            <v>45853</v>
          </cell>
          <cell r="N798">
            <v>141</v>
          </cell>
          <cell r="O798" t="str">
            <v>NS</v>
          </cell>
          <cell r="P798" t="str">
            <v/>
          </cell>
          <cell r="Q798">
            <v>46097</v>
          </cell>
          <cell r="R798" t="str">
            <v/>
          </cell>
          <cell r="S798" t="str">
            <v/>
          </cell>
          <cell r="T798" t="str">
            <v/>
          </cell>
          <cell r="U798">
            <v>69773</v>
          </cell>
          <cell r="V798">
            <v>71763</v>
          </cell>
          <cell r="W798">
            <v>43102</v>
          </cell>
          <cell r="X798" t="str">
            <v>Lokasi Produksi 568C1 ( pecahan 568C )</v>
          </cell>
          <cell r="Z798">
            <v>8</v>
          </cell>
          <cell r="AA798">
            <v>46097</v>
          </cell>
          <cell r="AM798" t="str">
            <v>OK</v>
          </cell>
          <cell r="AO798">
            <v>4.711851774691362</v>
          </cell>
          <cell r="AP798">
            <v>-3.288148225308638</v>
          </cell>
          <cell r="AQ798">
            <v>0</v>
          </cell>
          <cell r="AR798">
            <v>4.711851774691362</v>
          </cell>
          <cell r="AS798">
            <v>0</v>
          </cell>
          <cell r="AT798">
            <v>46097</v>
          </cell>
          <cell r="AU798">
            <v>-3.288148225308638</v>
          </cell>
          <cell r="AV798">
            <v>141.35555324074085</v>
          </cell>
          <cell r="AW798">
            <v>-3.288148225308638</v>
          </cell>
          <cell r="AY798">
            <v>146.46369178241002</v>
          </cell>
          <cell r="AZ798" t="str">
            <v>F18</v>
          </cell>
          <cell r="BA798">
            <v>6.07</v>
          </cell>
          <cell r="BB798" t="str">
            <v>NSSC</v>
          </cell>
          <cell r="BC798" t="str">
            <v>F18</v>
          </cell>
        </row>
        <row r="799">
          <cell r="A799" t="str">
            <v>568C2</v>
          </cell>
          <cell r="B799" t="str">
            <v>3</v>
          </cell>
          <cell r="C799" t="str">
            <v>06</v>
          </cell>
          <cell r="D799">
            <v>22</v>
          </cell>
          <cell r="E799" t="str">
            <v>568C2</v>
          </cell>
          <cell r="F799">
            <v>12.52</v>
          </cell>
          <cell r="G799">
            <v>10.6</v>
          </cell>
          <cell r="H799">
            <v>10.6</v>
          </cell>
          <cell r="I799" t="str">
            <v>SC</v>
          </cell>
          <cell r="J799" t="str">
            <v>FC</v>
          </cell>
          <cell r="K799">
            <v>8</v>
          </cell>
          <cell r="L799">
            <v>45924</v>
          </cell>
          <cell r="M799">
            <v>45924</v>
          </cell>
          <cell r="N799">
            <v>70</v>
          </cell>
          <cell r="O799" t="str">
            <v>NS</v>
          </cell>
          <cell r="P799" t="str">
            <v/>
          </cell>
          <cell r="Q799">
            <v>46168</v>
          </cell>
          <cell r="R799" t="str">
            <v/>
          </cell>
          <cell r="S799" t="str">
            <v/>
          </cell>
          <cell r="T799" t="str">
            <v/>
          </cell>
          <cell r="U799">
            <v>66075</v>
          </cell>
          <cell r="V799">
            <v>68604</v>
          </cell>
          <cell r="W799">
            <v>43102</v>
          </cell>
          <cell r="X799" t="str">
            <v>Lokasi Produksi 568C2 ( pecahan 568C )</v>
          </cell>
          <cell r="Z799">
            <v>8</v>
          </cell>
          <cell r="AA799">
            <v>46168</v>
          </cell>
          <cell r="AM799" t="str">
            <v>OK</v>
          </cell>
          <cell r="AO799">
            <v>2.3451851080246948</v>
          </cell>
          <cell r="AP799">
            <v>-5.6548148919753052</v>
          </cell>
          <cell r="AQ799">
            <v>0</v>
          </cell>
          <cell r="AR799">
            <v>2.3451851080246948</v>
          </cell>
          <cell r="AS799">
            <v>0</v>
          </cell>
          <cell r="AT799">
            <v>46168</v>
          </cell>
          <cell r="AU799">
            <v>-5.6548148919753052</v>
          </cell>
          <cell r="AV799">
            <v>70.355553240740846</v>
          </cell>
          <cell r="AW799">
            <v>-5.6548148919753052</v>
          </cell>
          <cell r="AY799">
            <v>75.463691782410024</v>
          </cell>
          <cell r="AZ799" t="str">
            <v>F18</v>
          </cell>
          <cell r="BA799">
            <v>10.6</v>
          </cell>
          <cell r="BB799" t="str">
            <v>NSSC</v>
          </cell>
          <cell r="BC799" t="str">
            <v>F18</v>
          </cell>
        </row>
        <row r="800">
          <cell r="A800" t="str">
            <v>568C3</v>
          </cell>
          <cell r="B800" t="str">
            <v>3</v>
          </cell>
          <cell r="C800" t="str">
            <v>06</v>
          </cell>
          <cell r="D800">
            <v>22</v>
          </cell>
          <cell r="E800" t="str">
            <v>568C3</v>
          </cell>
          <cell r="F800">
            <v>8.73</v>
          </cell>
          <cell r="G800">
            <v>7.22</v>
          </cell>
          <cell r="H800">
            <v>7.22</v>
          </cell>
          <cell r="I800" t="str">
            <v>SC</v>
          </cell>
          <cell r="J800" t="str">
            <v>BB</v>
          </cell>
          <cell r="K800">
            <v>8</v>
          </cell>
          <cell r="L800">
            <v>45863</v>
          </cell>
          <cell r="M800">
            <v>45863</v>
          </cell>
          <cell r="N800">
            <v>131</v>
          </cell>
          <cell r="O800" t="str">
            <v>NS</v>
          </cell>
          <cell r="P800" t="str">
            <v/>
          </cell>
          <cell r="Q800">
            <v>46107</v>
          </cell>
          <cell r="R800" t="str">
            <v/>
          </cell>
          <cell r="S800" t="str">
            <v/>
          </cell>
          <cell r="T800" t="str">
            <v/>
          </cell>
          <cell r="U800">
            <v>70390</v>
          </cell>
          <cell r="V800">
            <v>72023</v>
          </cell>
          <cell r="W800">
            <v>43102</v>
          </cell>
          <cell r="X800" t="str">
            <v>Lokasi Produksi 568C3 ( pecahan 568C )</v>
          </cell>
          <cell r="Z800">
            <v>8</v>
          </cell>
          <cell r="AA800">
            <v>46107</v>
          </cell>
          <cell r="AM800" t="str">
            <v>OK</v>
          </cell>
          <cell r="AO800">
            <v>4.378518441358028</v>
          </cell>
          <cell r="AP800">
            <v>-3.621481558641972</v>
          </cell>
          <cell r="AQ800">
            <v>0</v>
          </cell>
          <cell r="AR800">
            <v>4.378518441358028</v>
          </cell>
          <cell r="AS800">
            <v>0</v>
          </cell>
          <cell r="AT800">
            <v>46107</v>
          </cell>
          <cell r="AU800">
            <v>-3.621481558641972</v>
          </cell>
          <cell r="AV800">
            <v>131.35555324074085</v>
          </cell>
          <cell r="AW800">
            <v>-3.621481558641972</v>
          </cell>
          <cell r="AY800">
            <v>136.46369178241002</v>
          </cell>
          <cell r="AZ800" t="str">
            <v>F18</v>
          </cell>
          <cell r="BA800">
            <v>7.22</v>
          </cell>
          <cell r="BB800" t="str">
            <v>NSSC</v>
          </cell>
          <cell r="BC800" t="str">
            <v>F18</v>
          </cell>
        </row>
        <row r="801">
          <cell r="A801" t="str">
            <v>568CS</v>
          </cell>
          <cell r="B801" t="str">
            <v>3</v>
          </cell>
          <cell r="C801" t="str">
            <v>06</v>
          </cell>
          <cell r="D801">
            <v>22</v>
          </cell>
          <cell r="E801" t="str">
            <v>568CS</v>
          </cell>
          <cell r="F801">
            <v>0.23</v>
          </cell>
          <cell r="G801">
            <v>0.23</v>
          </cell>
          <cell r="H801">
            <v>0.23</v>
          </cell>
          <cell r="I801" t="str">
            <v>FC</v>
          </cell>
          <cell r="J801" t="str">
            <v>ST</v>
          </cell>
          <cell r="K801">
            <v>0</v>
          </cell>
          <cell r="L801">
            <v>45898</v>
          </cell>
          <cell r="M801">
            <v>45898</v>
          </cell>
          <cell r="N801">
            <v>96</v>
          </cell>
          <cell r="O801" t="str">
            <v>SK</v>
          </cell>
          <cell r="P801" t="str">
            <v/>
          </cell>
          <cell r="Q801">
            <v>45898</v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>
            <v>45353</v>
          </cell>
          <cell r="X801" t="str">
            <v>Lokasi Produksi 568CS ( singkong )</v>
          </cell>
          <cell r="Z801">
            <v>0</v>
          </cell>
          <cell r="AA801">
            <v>45898</v>
          </cell>
          <cell r="AM801" t="str">
            <v>OK</v>
          </cell>
          <cell r="AO801">
            <v>3.2118517746913615</v>
          </cell>
          <cell r="AP801">
            <v>3.2118517746913615</v>
          </cell>
          <cell r="AQ801">
            <v>0</v>
          </cell>
          <cell r="AR801">
            <v>3.2118517746913615</v>
          </cell>
          <cell r="AS801">
            <v>0</v>
          </cell>
          <cell r="AT801">
            <v>45898</v>
          </cell>
          <cell r="AU801">
            <v>3.2118517746913615</v>
          </cell>
          <cell r="AV801">
            <v>96.355553240740846</v>
          </cell>
          <cell r="AW801">
            <v>3.2118517746913615</v>
          </cell>
          <cell r="AY801">
            <v>101.46369178241002</v>
          </cell>
          <cell r="AZ801" t="str">
            <v>F18</v>
          </cell>
          <cell r="BA801">
            <v>0</v>
          </cell>
          <cell r="BB801" t="str">
            <v>SKFC</v>
          </cell>
          <cell r="BC801" t="str">
            <v>F18</v>
          </cell>
        </row>
        <row r="802">
          <cell r="A802" t="str">
            <v>568H1</v>
          </cell>
          <cell r="B802" t="str">
            <v>3</v>
          </cell>
          <cell r="C802" t="str">
            <v>06</v>
          </cell>
          <cell r="D802">
            <v>22</v>
          </cell>
          <cell r="E802" t="str">
            <v>568H1</v>
          </cell>
          <cell r="F802">
            <v>7.12</v>
          </cell>
          <cell r="G802">
            <v>5.01</v>
          </cell>
          <cell r="H802">
            <v>5.01</v>
          </cell>
          <cell r="I802" t="str">
            <v>Y2</v>
          </cell>
          <cell r="J802" t="str">
            <v>FC</v>
          </cell>
          <cell r="K802">
            <v>0</v>
          </cell>
          <cell r="L802">
            <v>45705</v>
          </cell>
          <cell r="M802">
            <v>45705</v>
          </cell>
          <cell r="N802">
            <v>289</v>
          </cell>
          <cell r="O802" t="str">
            <v>PS</v>
          </cell>
          <cell r="P802" t="str">
            <v/>
          </cell>
          <cell r="Q802">
            <v>45705</v>
          </cell>
          <cell r="R802" t="str">
            <v/>
          </cell>
          <cell r="S802" t="str">
            <v/>
          </cell>
          <cell r="T802" t="str">
            <v/>
          </cell>
          <cell r="U802">
            <v>12350</v>
          </cell>
          <cell r="V802">
            <v>54756</v>
          </cell>
          <cell r="W802">
            <v>45705</v>
          </cell>
          <cell r="X802" t="str">
            <v>Lokasi Produksi 568H1 ( pecahan 568H )</v>
          </cell>
          <cell r="Z802">
            <v>0</v>
          </cell>
          <cell r="AA802">
            <v>45705</v>
          </cell>
          <cell r="AM802" t="str">
            <v>OK</v>
          </cell>
          <cell r="AO802">
            <v>9.6451851080246946</v>
          </cell>
          <cell r="AP802">
            <v>9.6451851080246946</v>
          </cell>
          <cell r="AQ802">
            <v>0</v>
          </cell>
          <cell r="AR802">
            <v>9.6451851080246946</v>
          </cell>
          <cell r="AS802">
            <v>0</v>
          </cell>
          <cell r="AT802">
            <v>45705</v>
          </cell>
          <cell r="AU802">
            <v>9.6451851080246946</v>
          </cell>
          <cell r="AV802">
            <v>289.35555324074085</v>
          </cell>
          <cell r="AW802">
            <v>9.6451851080246946</v>
          </cell>
          <cell r="AY802">
            <v>294.46369178241002</v>
          </cell>
          <cell r="AZ802" t="str">
            <v>F18</v>
          </cell>
          <cell r="BA802">
            <v>0</v>
          </cell>
          <cell r="BB802" t="str">
            <v>PSY2</v>
          </cell>
          <cell r="BC802" t="str">
            <v>F18</v>
          </cell>
        </row>
        <row r="803">
          <cell r="A803" t="str">
            <v>568H2</v>
          </cell>
          <cell r="B803" t="str">
            <v>3</v>
          </cell>
          <cell r="C803" t="str">
            <v>06</v>
          </cell>
          <cell r="D803">
            <v>22</v>
          </cell>
          <cell r="E803" t="str">
            <v>568H2</v>
          </cell>
          <cell r="F803">
            <v>8.8000000000000007</v>
          </cell>
          <cell r="G803">
            <v>6.48</v>
          </cell>
          <cell r="H803">
            <v>6.48</v>
          </cell>
          <cell r="I803" t="str">
            <v>Y2</v>
          </cell>
          <cell r="J803" t="str">
            <v>Y1</v>
          </cell>
          <cell r="K803">
            <v>0</v>
          </cell>
          <cell r="L803">
            <v>45768</v>
          </cell>
          <cell r="M803">
            <v>45768</v>
          </cell>
          <cell r="N803">
            <v>226</v>
          </cell>
          <cell r="O803" t="str">
            <v>PS</v>
          </cell>
          <cell r="P803" t="str">
            <v/>
          </cell>
          <cell r="Q803">
            <v>45768</v>
          </cell>
          <cell r="R803" t="str">
            <v/>
          </cell>
          <cell r="S803" t="str">
            <v/>
          </cell>
          <cell r="T803" t="str">
            <v/>
          </cell>
          <cell r="U803">
            <v>16350</v>
          </cell>
          <cell r="V803">
            <v>74413</v>
          </cell>
          <cell r="W803">
            <v>45768</v>
          </cell>
          <cell r="X803" t="str">
            <v>Lokasi Produksi 568H2 ( pecahan 568H )</v>
          </cell>
          <cell r="Z803">
            <v>0</v>
          </cell>
          <cell r="AA803">
            <v>45768</v>
          </cell>
          <cell r="AM803" t="str">
            <v>OK</v>
          </cell>
          <cell r="AO803">
            <v>7.545185108024695</v>
          </cell>
          <cell r="AP803">
            <v>7.545185108024695</v>
          </cell>
          <cell r="AQ803">
            <v>0</v>
          </cell>
          <cell r="AR803">
            <v>7.545185108024695</v>
          </cell>
          <cell r="AS803">
            <v>0</v>
          </cell>
          <cell r="AT803">
            <v>45768</v>
          </cell>
          <cell r="AU803">
            <v>7.545185108024695</v>
          </cell>
          <cell r="AV803">
            <v>226.35555324074085</v>
          </cell>
          <cell r="AW803">
            <v>7.545185108024695</v>
          </cell>
          <cell r="AY803">
            <v>231.46369178241002</v>
          </cell>
          <cell r="AZ803" t="str">
            <v>F18</v>
          </cell>
          <cell r="BA803">
            <v>0</v>
          </cell>
          <cell r="BB803" t="str">
            <v>PSY2</v>
          </cell>
          <cell r="BC803" t="str">
            <v>F18</v>
          </cell>
        </row>
        <row r="804">
          <cell r="A804" t="str">
            <v>568H3</v>
          </cell>
          <cell r="B804" t="str">
            <v>3</v>
          </cell>
          <cell r="C804" t="str">
            <v>06</v>
          </cell>
          <cell r="D804">
            <v>22</v>
          </cell>
          <cell r="E804" t="str">
            <v>568H3</v>
          </cell>
          <cell r="F804">
            <v>8.7100000000000009</v>
          </cell>
          <cell r="G804">
            <v>6.44</v>
          </cell>
          <cell r="H804">
            <v>6.44</v>
          </cell>
          <cell r="I804" t="str">
            <v>Y2</v>
          </cell>
          <cell r="J804" t="str">
            <v>Y1</v>
          </cell>
          <cell r="K804">
            <v>0</v>
          </cell>
          <cell r="L804">
            <v>45768</v>
          </cell>
          <cell r="M804">
            <v>45768</v>
          </cell>
          <cell r="N804">
            <v>226</v>
          </cell>
          <cell r="O804" t="str">
            <v>PS</v>
          </cell>
          <cell r="P804" t="str">
            <v/>
          </cell>
          <cell r="Q804">
            <v>45768</v>
          </cell>
          <cell r="R804" t="str">
            <v/>
          </cell>
          <cell r="S804" t="str">
            <v/>
          </cell>
          <cell r="T804" t="str">
            <v/>
          </cell>
          <cell r="U804">
            <v>16200</v>
          </cell>
          <cell r="V804">
            <v>52143</v>
          </cell>
          <cell r="W804">
            <v>45768</v>
          </cell>
          <cell r="X804" t="str">
            <v>Lokasi Produksi 568H3 ( pecahan 568H )</v>
          </cell>
          <cell r="Z804">
            <v>0</v>
          </cell>
          <cell r="AA804">
            <v>45768</v>
          </cell>
          <cell r="AM804" t="str">
            <v>OK</v>
          </cell>
          <cell r="AO804">
            <v>7.545185108024695</v>
          </cell>
          <cell r="AP804">
            <v>7.545185108024695</v>
          </cell>
          <cell r="AQ804">
            <v>0</v>
          </cell>
          <cell r="AR804">
            <v>7.545185108024695</v>
          </cell>
          <cell r="AS804">
            <v>0</v>
          </cell>
          <cell r="AT804">
            <v>45768</v>
          </cell>
          <cell r="AU804">
            <v>7.545185108024695</v>
          </cell>
          <cell r="AV804">
            <v>226.35555324074085</v>
          </cell>
          <cell r="AW804">
            <v>7.545185108024695</v>
          </cell>
          <cell r="AY804">
            <v>231.46369178241002</v>
          </cell>
          <cell r="AZ804" t="str">
            <v>F18</v>
          </cell>
          <cell r="BA804">
            <v>0</v>
          </cell>
          <cell r="BB804" t="str">
            <v>PSY2</v>
          </cell>
          <cell r="BC804" t="str">
            <v>F18</v>
          </cell>
        </row>
        <row r="805">
          <cell r="A805" t="str">
            <v>568H4</v>
          </cell>
          <cell r="B805" t="str">
            <v>3</v>
          </cell>
          <cell r="C805" t="str">
            <v>06</v>
          </cell>
          <cell r="D805">
            <v>22</v>
          </cell>
          <cell r="E805" t="str">
            <v>568H4</v>
          </cell>
          <cell r="F805">
            <v>0.81</v>
          </cell>
          <cell r="G805">
            <v>0.81</v>
          </cell>
          <cell r="H805">
            <v>0.81</v>
          </cell>
          <cell r="I805" t="str">
            <v>FC</v>
          </cell>
          <cell r="J805" t="str">
            <v>ST</v>
          </cell>
          <cell r="K805">
            <v>0</v>
          </cell>
          <cell r="L805">
            <v>45898</v>
          </cell>
          <cell r="M805">
            <v>45898</v>
          </cell>
          <cell r="N805">
            <v>96</v>
          </cell>
          <cell r="O805" t="str">
            <v>SK</v>
          </cell>
          <cell r="P805" t="str">
            <v/>
          </cell>
          <cell r="Q805">
            <v>45898</v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>
            <v>45353</v>
          </cell>
          <cell r="X805" t="str">
            <v>Lokasi Produksi 568H4 ( singkong )</v>
          </cell>
          <cell r="Z805">
            <v>0</v>
          </cell>
          <cell r="AA805">
            <v>45898</v>
          </cell>
          <cell r="AM805" t="str">
            <v>OK</v>
          </cell>
          <cell r="AO805">
            <v>3.2118517746913615</v>
          </cell>
          <cell r="AP805">
            <v>3.2118517746913615</v>
          </cell>
          <cell r="AQ805">
            <v>0</v>
          </cell>
          <cell r="AR805">
            <v>3.2118517746913615</v>
          </cell>
          <cell r="AS805">
            <v>0</v>
          </cell>
          <cell r="AT805">
            <v>45898</v>
          </cell>
          <cell r="AU805">
            <v>3.2118517746913615</v>
          </cell>
          <cell r="AV805">
            <v>96.355553240740846</v>
          </cell>
          <cell r="AW805">
            <v>3.2118517746913615</v>
          </cell>
          <cell r="AY805">
            <v>101.46369178241002</v>
          </cell>
          <cell r="AZ805" t="str">
            <v>F18</v>
          </cell>
          <cell r="BA805">
            <v>0</v>
          </cell>
          <cell r="BB805" t="str">
            <v>SKFC</v>
          </cell>
          <cell r="BC805" t="str">
            <v>F18</v>
          </cell>
        </row>
        <row r="806">
          <cell r="A806" t="str">
            <v>568I</v>
          </cell>
          <cell r="B806" t="str">
            <v>3</v>
          </cell>
          <cell r="C806" t="str">
            <v>06</v>
          </cell>
          <cell r="D806">
            <v>22</v>
          </cell>
          <cell r="E806" t="str">
            <v>568I</v>
          </cell>
          <cell r="F806">
            <v>13</v>
          </cell>
          <cell r="G806">
            <v>10.18</v>
          </cell>
          <cell r="H806">
            <v>10.18</v>
          </cell>
          <cell r="I806" t="str">
            <v>BK</v>
          </cell>
          <cell r="J806" t="str">
            <v>SC</v>
          </cell>
          <cell r="K806">
            <v>0</v>
          </cell>
          <cell r="L806">
            <v>45940</v>
          </cell>
          <cell r="M806">
            <v>45940</v>
          </cell>
          <cell r="N806">
            <v>54</v>
          </cell>
          <cell r="O806" t="str">
            <v>NS</v>
          </cell>
          <cell r="P806" t="str">
            <v/>
          </cell>
          <cell r="Q806">
            <v>45940</v>
          </cell>
          <cell r="R806" t="str">
            <v/>
          </cell>
          <cell r="S806" t="str">
            <v/>
          </cell>
          <cell r="T806" t="str">
            <v/>
          </cell>
          <cell r="U806">
            <v>69457</v>
          </cell>
          <cell r="V806">
            <v>52514</v>
          </cell>
          <cell r="W806">
            <v>43466</v>
          </cell>
          <cell r="X806" t="str">
            <v>Lokasi Produksi 568I</v>
          </cell>
          <cell r="Z806">
            <v>0</v>
          </cell>
          <cell r="AA806">
            <v>45940</v>
          </cell>
          <cell r="AM806" t="str">
            <v>OK</v>
          </cell>
          <cell r="AO806">
            <v>1.8118517746913616</v>
          </cell>
          <cell r="AP806">
            <v>1.8118517746913616</v>
          </cell>
          <cell r="AQ806">
            <v>0</v>
          </cell>
          <cell r="AR806">
            <v>1.8118517746913616</v>
          </cell>
          <cell r="AS806">
            <v>0</v>
          </cell>
          <cell r="AT806">
            <v>45940</v>
          </cell>
          <cell r="AU806">
            <v>1.8118517746913616</v>
          </cell>
          <cell r="AV806">
            <v>54.355553240740846</v>
          </cell>
          <cell r="AW806">
            <v>1.8118517746913616</v>
          </cell>
          <cell r="AY806">
            <v>59.463691782410024</v>
          </cell>
          <cell r="AZ806" t="str">
            <v>F18</v>
          </cell>
          <cell r="BA806">
            <v>0</v>
          </cell>
          <cell r="BB806" t="str">
            <v>NSBK</v>
          </cell>
          <cell r="BC806" t="str">
            <v>F18</v>
          </cell>
        </row>
        <row r="807">
          <cell r="A807" t="str">
            <v>568IS</v>
          </cell>
          <cell r="B807" t="str">
            <v>3</v>
          </cell>
          <cell r="C807" t="str">
            <v>06</v>
          </cell>
          <cell r="D807">
            <v>22</v>
          </cell>
          <cell r="E807" t="str">
            <v>568IS</v>
          </cell>
          <cell r="F807">
            <v>3.08</v>
          </cell>
          <cell r="G807">
            <v>3.08</v>
          </cell>
          <cell r="H807">
            <v>3.08</v>
          </cell>
          <cell r="I807" t="str">
            <v>FC</v>
          </cell>
          <cell r="J807" t="str">
            <v>ST</v>
          </cell>
          <cell r="K807">
            <v>0</v>
          </cell>
          <cell r="L807">
            <v>45930</v>
          </cell>
          <cell r="M807">
            <v>45930</v>
          </cell>
          <cell r="N807">
            <v>64</v>
          </cell>
          <cell r="O807" t="str">
            <v>SK</v>
          </cell>
          <cell r="P807" t="str">
            <v/>
          </cell>
          <cell r="Q807">
            <v>45930</v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>Lokasi Produksi 568IS ( singkong )</v>
          </cell>
          <cell r="Z807">
            <v>0</v>
          </cell>
          <cell r="AA807">
            <v>45930</v>
          </cell>
          <cell r="AM807" t="str">
            <v>OK</v>
          </cell>
          <cell r="AO807">
            <v>2.1451851080246951</v>
          </cell>
          <cell r="AP807">
            <v>2.1451851080246951</v>
          </cell>
          <cell r="AQ807">
            <v>0</v>
          </cell>
          <cell r="AR807">
            <v>2.1451851080246951</v>
          </cell>
          <cell r="AS807">
            <v>0</v>
          </cell>
          <cell r="AT807">
            <v>45930</v>
          </cell>
          <cell r="AU807">
            <v>2.1451851080246951</v>
          </cell>
          <cell r="AV807">
            <v>64.355553240740846</v>
          </cell>
          <cell r="AW807">
            <v>2.1451851080246951</v>
          </cell>
          <cell r="AY807">
            <v>69.463691782410024</v>
          </cell>
          <cell r="AZ807" t="str">
            <v>F18</v>
          </cell>
          <cell r="BA807">
            <v>0</v>
          </cell>
          <cell r="BB807" t="str">
            <v>SKFC</v>
          </cell>
          <cell r="BC807" t="str">
            <v>F18</v>
          </cell>
        </row>
        <row r="808">
          <cell r="A808" t="str">
            <v>569A1</v>
          </cell>
          <cell r="B808" t="str">
            <v>3</v>
          </cell>
          <cell r="C808" t="str">
            <v>06</v>
          </cell>
          <cell r="D808">
            <v>22</v>
          </cell>
          <cell r="E808" t="str">
            <v>569A1</v>
          </cell>
          <cell r="F808">
            <v>10.96</v>
          </cell>
          <cell r="G808">
            <v>9.2200000000000006</v>
          </cell>
          <cell r="H808">
            <v>9.2200000000000006</v>
          </cell>
          <cell r="I808" t="str">
            <v>FC</v>
          </cell>
          <cell r="J808" t="str">
            <v>ST</v>
          </cell>
          <cell r="K808">
            <v>12</v>
          </cell>
          <cell r="L808">
            <v>45987</v>
          </cell>
          <cell r="M808">
            <v>45987</v>
          </cell>
          <cell r="N808">
            <v>7</v>
          </cell>
          <cell r="O808" t="str">
            <v>NS</v>
          </cell>
          <cell r="P808" t="str">
            <v>NSF18SS3</v>
          </cell>
          <cell r="Q808">
            <v>46353</v>
          </cell>
          <cell r="R808" t="str">
            <v/>
          </cell>
          <cell r="S808" t="str">
            <v/>
          </cell>
          <cell r="T808" t="str">
            <v/>
          </cell>
          <cell r="U808">
            <v>21545</v>
          </cell>
          <cell r="V808">
            <v>22450</v>
          </cell>
          <cell r="W808">
            <v>45752</v>
          </cell>
          <cell r="X808" t="str">
            <v>Lokasi Produksi 569A1 ( pecahan 569A )</v>
          </cell>
          <cell r="Z808">
            <v>12</v>
          </cell>
          <cell r="AA808">
            <v>46353</v>
          </cell>
          <cell r="AM808" t="str">
            <v>OK</v>
          </cell>
          <cell r="AO808">
            <v>0.24518510802469487</v>
          </cell>
          <cell r="AP808">
            <v>-11.754814891975306</v>
          </cell>
          <cell r="AQ808">
            <v>0</v>
          </cell>
          <cell r="AR808">
            <v>0.24518510802469487</v>
          </cell>
          <cell r="AS808">
            <v>0</v>
          </cell>
          <cell r="AT808">
            <v>46353</v>
          </cell>
          <cell r="AU808">
            <v>-11.754814891975306</v>
          </cell>
          <cell r="AV808">
            <v>7.3555532407408464</v>
          </cell>
          <cell r="AW808">
            <v>-11.754814891975306</v>
          </cell>
          <cell r="AY808">
            <v>12.463691782410024</v>
          </cell>
          <cell r="AZ808" t="str">
            <v>F18</v>
          </cell>
          <cell r="BA808">
            <v>9.2200000000000006</v>
          </cell>
          <cell r="BB808" t="str">
            <v>NSFC</v>
          </cell>
          <cell r="BC808" t="str">
            <v>F18SS</v>
          </cell>
        </row>
        <row r="809">
          <cell r="A809" t="str">
            <v>569A2</v>
          </cell>
          <cell r="B809" t="str">
            <v>3</v>
          </cell>
          <cell r="C809" t="str">
            <v>06</v>
          </cell>
          <cell r="D809">
            <v>22</v>
          </cell>
          <cell r="E809" t="str">
            <v>569A2</v>
          </cell>
          <cell r="F809">
            <v>11.35</v>
          </cell>
          <cell r="G809">
            <v>9.6</v>
          </cell>
          <cell r="H809">
            <v>9.6</v>
          </cell>
          <cell r="I809" t="str">
            <v>FC</v>
          </cell>
          <cell r="J809" t="str">
            <v>ST</v>
          </cell>
          <cell r="K809">
            <v>14</v>
          </cell>
          <cell r="L809">
            <v>45987</v>
          </cell>
          <cell r="M809">
            <v>45987</v>
          </cell>
          <cell r="N809">
            <v>7</v>
          </cell>
          <cell r="O809" t="str">
            <v>NS</v>
          </cell>
          <cell r="P809" t="str">
            <v>NSF18SK3</v>
          </cell>
          <cell r="Q809">
            <v>46414</v>
          </cell>
          <cell r="R809" t="str">
            <v/>
          </cell>
          <cell r="S809" t="str">
            <v/>
          </cell>
          <cell r="T809" t="str">
            <v/>
          </cell>
          <cell r="U809">
            <v>22689</v>
          </cell>
          <cell r="V809">
            <v>22818</v>
          </cell>
          <cell r="W809">
            <v>45752</v>
          </cell>
          <cell r="X809" t="str">
            <v>Lokasi Produksi 569A2 ( pecahan 569A )</v>
          </cell>
          <cell r="Z809">
            <v>14</v>
          </cell>
          <cell r="AA809">
            <v>46414</v>
          </cell>
          <cell r="AM809" t="str">
            <v>OK</v>
          </cell>
          <cell r="AO809">
            <v>0.24518510802469487</v>
          </cell>
          <cell r="AP809">
            <v>-13.754814891975306</v>
          </cell>
          <cell r="AQ809">
            <v>0</v>
          </cell>
          <cell r="AR809">
            <v>0.24518510802469487</v>
          </cell>
          <cell r="AS809">
            <v>0</v>
          </cell>
          <cell r="AT809">
            <v>46414</v>
          </cell>
          <cell r="AU809">
            <v>-13.754814891975306</v>
          </cell>
          <cell r="AV809">
            <v>7.3555532407408464</v>
          </cell>
          <cell r="AW809">
            <v>-13.754814891975306</v>
          </cell>
          <cell r="AY809">
            <v>12.463691782410024</v>
          </cell>
          <cell r="AZ809" t="str">
            <v>F18</v>
          </cell>
          <cell r="BA809">
            <v>9.6</v>
          </cell>
          <cell r="BB809" t="str">
            <v>NSFC</v>
          </cell>
          <cell r="BC809" t="str">
            <v>F18SK</v>
          </cell>
        </row>
        <row r="810">
          <cell r="A810" t="str">
            <v>569B1</v>
          </cell>
          <cell r="B810" t="str">
            <v>3</v>
          </cell>
          <cell r="C810" t="str">
            <v>06</v>
          </cell>
          <cell r="D810">
            <v>22</v>
          </cell>
          <cell r="E810" t="str">
            <v>569B1</v>
          </cell>
          <cell r="F810">
            <v>8.4600000000000009</v>
          </cell>
          <cell r="G810">
            <v>6.38</v>
          </cell>
          <cell r="H810">
            <v>6.38</v>
          </cell>
          <cell r="I810" t="str">
            <v>Y2</v>
          </cell>
          <cell r="J810" t="str">
            <v>Y1</v>
          </cell>
          <cell r="K810">
            <v>0</v>
          </cell>
          <cell r="L810">
            <v>45796</v>
          </cell>
          <cell r="M810">
            <v>45796</v>
          </cell>
          <cell r="N810">
            <v>198</v>
          </cell>
          <cell r="O810" t="str">
            <v>PS</v>
          </cell>
          <cell r="P810" t="str">
            <v/>
          </cell>
          <cell r="Q810">
            <v>45796</v>
          </cell>
          <cell r="R810" t="str">
            <v/>
          </cell>
          <cell r="S810" t="str">
            <v/>
          </cell>
          <cell r="T810" t="str">
            <v/>
          </cell>
          <cell r="U810">
            <v>16837</v>
          </cell>
          <cell r="V810">
            <v>53302</v>
          </cell>
          <cell r="W810">
            <v>45796</v>
          </cell>
          <cell r="X810" t="str">
            <v>Lokasi Produksi 569B1- (Pecahan lokasi 569B)</v>
          </cell>
          <cell r="Z810">
            <v>0</v>
          </cell>
          <cell r="AA810">
            <v>45796</v>
          </cell>
          <cell r="AM810" t="str">
            <v>OK</v>
          </cell>
          <cell r="AO810">
            <v>6.6118517746913614</v>
          </cell>
          <cell r="AP810">
            <v>6.6118517746913614</v>
          </cell>
          <cell r="AQ810">
            <v>0</v>
          </cell>
          <cell r="AR810">
            <v>6.6118517746913614</v>
          </cell>
          <cell r="AS810">
            <v>0</v>
          </cell>
          <cell r="AT810">
            <v>45796</v>
          </cell>
          <cell r="AU810">
            <v>6.6118517746913614</v>
          </cell>
          <cell r="AV810">
            <v>198.35555324074085</v>
          </cell>
          <cell r="AW810">
            <v>6.6118517746913614</v>
          </cell>
          <cell r="AY810">
            <v>203.46369178241002</v>
          </cell>
          <cell r="AZ810" t="str">
            <v>F18</v>
          </cell>
          <cell r="BA810">
            <v>0</v>
          </cell>
          <cell r="BB810" t="str">
            <v>PSY2</v>
          </cell>
          <cell r="BC810" t="str">
            <v>F18</v>
          </cell>
        </row>
        <row r="811">
          <cell r="A811" t="str">
            <v>569B2A</v>
          </cell>
          <cell r="B811" t="str">
            <v>3</v>
          </cell>
          <cell r="C811" t="str">
            <v>06</v>
          </cell>
          <cell r="D811">
            <v>22</v>
          </cell>
          <cell r="E811" t="str">
            <v>569B2A</v>
          </cell>
          <cell r="F811">
            <v>9.35</v>
          </cell>
          <cell r="G811">
            <v>7.52</v>
          </cell>
          <cell r="H811">
            <v>7.52</v>
          </cell>
          <cell r="I811" t="str">
            <v>Y1</v>
          </cell>
          <cell r="J811" t="str">
            <v>TU</v>
          </cell>
          <cell r="K811">
            <v>0</v>
          </cell>
          <cell r="L811">
            <v>45786</v>
          </cell>
          <cell r="M811">
            <v>45786</v>
          </cell>
          <cell r="N811">
            <v>208</v>
          </cell>
          <cell r="O811" t="str">
            <v>PS</v>
          </cell>
          <cell r="P811" t="str">
            <v/>
          </cell>
          <cell r="Q811">
            <v>45786</v>
          </cell>
          <cell r="R811" t="str">
            <v/>
          </cell>
          <cell r="S811" t="str">
            <v/>
          </cell>
          <cell r="T811" t="str">
            <v/>
          </cell>
          <cell r="U811">
            <v>17866</v>
          </cell>
          <cell r="V811" t="str">
            <v/>
          </cell>
          <cell r="W811" t="str">
            <v/>
          </cell>
          <cell r="X811" t="str">
            <v>Lokasi Produksi 569B2A ( pecahan 569B2 )</v>
          </cell>
          <cell r="Z811">
            <v>0</v>
          </cell>
          <cell r="AA811">
            <v>45786</v>
          </cell>
          <cell r="AM811" t="str">
            <v>OK</v>
          </cell>
          <cell r="AO811">
            <v>6.9451851080246945</v>
          </cell>
          <cell r="AP811">
            <v>6.9451851080246945</v>
          </cell>
          <cell r="AQ811">
            <v>0</v>
          </cell>
          <cell r="AR811">
            <v>6.9451851080246945</v>
          </cell>
          <cell r="AS811">
            <v>0</v>
          </cell>
          <cell r="AT811">
            <v>45786</v>
          </cell>
          <cell r="AU811">
            <v>6.9451851080246945</v>
          </cell>
          <cell r="AV811">
            <v>208.35555324074085</v>
          </cell>
          <cell r="AW811">
            <v>6.9451851080246945</v>
          </cell>
          <cell r="AY811">
            <v>213.46369178241002</v>
          </cell>
          <cell r="AZ811" t="str">
            <v>F18</v>
          </cell>
          <cell r="BA811">
            <v>0</v>
          </cell>
          <cell r="BB811" t="str">
            <v>PSY1</v>
          </cell>
          <cell r="BC811" t="str">
            <v>F18</v>
          </cell>
        </row>
        <row r="812">
          <cell r="A812" t="str">
            <v>569B2B</v>
          </cell>
          <cell r="B812" t="str">
            <v>3</v>
          </cell>
          <cell r="C812" t="str">
            <v>06</v>
          </cell>
          <cell r="D812">
            <v>22</v>
          </cell>
          <cell r="E812" t="str">
            <v>569B2B</v>
          </cell>
          <cell r="F812">
            <v>5.97</v>
          </cell>
          <cell r="G812">
            <v>4.74</v>
          </cell>
          <cell r="H812">
            <v>4.74</v>
          </cell>
          <cell r="I812" t="str">
            <v>Y1</v>
          </cell>
          <cell r="J812" t="str">
            <v>TU</v>
          </cell>
          <cell r="K812">
            <v>0</v>
          </cell>
          <cell r="L812">
            <v>45776</v>
          </cell>
          <cell r="M812">
            <v>45776</v>
          </cell>
          <cell r="N812">
            <v>218</v>
          </cell>
          <cell r="O812" t="str">
            <v>PS</v>
          </cell>
          <cell r="P812" t="str">
            <v/>
          </cell>
          <cell r="Q812">
            <v>45776</v>
          </cell>
          <cell r="R812" t="str">
            <v/>
          </cell>
          <cell r="S812" t="str">
            <v/>
          </cell>
          <cell r="T812" t="str">
            <v/>
          </cell>
          <cell r="U812">
            <v>11285</v>
          </cell>
          <cell r="V812" t="str">
            <v/>
          </cell>
          <cell r="W812" t="str">
            <v/>
          </cell>
          <cell r="X812" t="str">
            <v>Lokasi Produksi 569B2B ( pecahan 569B2 )</v>
          </cell>
          <cell r="Z812">
            <v>0</v>
          </cell>
          <cell r="AA812">
            <v>45776</v>
          </cell>
          <cell r="AM812" t="str">
            <v>OK</v>
          </cell>
          <cell r="AO812">
            <v>7.2785184413580284</v>
          </cell>
          <cell r="AP812">
            <v>7.2785184413580284</v>
          </cell>
          <cell r="AQ812">
            <v>0</v>
          </cell>
          <cell r="AR812">
            <v>7.2785184413580284</v>
          </cell>
          <cell r="AS812">
            <v>0</v>
          </cell>
          <cell r="AT812">
            <v>45776</v>
          </cell>
          <cell r="AU812">
            <v>7.2785184413580284</v>
          </cell>
          <cell r="AV812">
            <v>218.35555324074085</v>
          </cell>
          <cell r="AW812">
            <v>7.2785184413580284</v>
          </cell>
          <cell r="AY812">
            <v>223.46369178241002</v>
          </cell>
          <cell r="AZ812" t="str">
            <v>F18</v>
          </cell>
          <cell r="BA812">
            <v>0</v>
          </cell>
          <cell r="BB812" t="str">
            <v>PSY1</v>
          </cell>
          <cell r="BC812" t="str">
            <v>F18</v>
          </cell>
        </row>
        <row r="813">
          <cell r="A813" t="str">
            <v>569C1</v>
          </cell>
          <cell r="B813" t="str">
            <v>3</v>
          </cell>
          <cell r="C813" t="str">
            <v>06</v>
          </cell>
          <cell r="D813">
            <v>22</v>
          </cell>
          <cell r="E813" t="str">
            <v>569C1</v>
          </cell>
          <cell r="F813">
            <v>18.84</v>
          </cell>
          <cell r="G813">
            <v>15.78</v>
          </cell>
          <cell r="H813">
            <v>15.78</v>
          </cell>
          <cell r="I813" t="str">
            <v>FC</v>
          </cell>
          <cell r="J813" t="str">
            <v>ST</v>
          </cell>
          <cell r="K813">
            <v>10</v>
          </cell>
          <cell r="L813">
            <v>45842</v>
          </cell>
          <cell r="M813">
            <v>45842</v>
          </cell>
          <cell r="N813">
            <v>152</v>
          </cell>
          <cell r="O813" t="str">
            <v>NS</v>
          </cell>
          <cell r="P813" t="str">
            <v>NSF18SB3</v>
          </cell>
          <cell r="Q813">
            <v>46147</v>
          </cell>
          <cell r="R813" t="str">
            <v/>
          </cell>
          <cell r="S813" t="str">
            <v/>
          </cell>
          <cell r="T813" t="str">
            <v/>
          </cell>
          <cell r="U813">
            <v>71283</v>
          </cell>
          <cell r="V813">
            <v>72841</v>
          </cell>
          <cell r="W813">
            <v>43654</v>
          </cell>
          <cell r="X813" t="str">
            <v>Lokasi Produksi 569C1 ( Pecahan 569C )</v>
          </cell>
          <cell r="Z813">
            <v>10</v>
          </cell>
          <cell r="AA813">
            <v>46147</v>
          </cell>
          <cell r="AM813" t="str">
            <v>OK</v>
          </cell>
          <cell r="AO813">
            <v>5.0785184413580282</v>
          </cell>
          <cell r="AP813">
            <v>-4.9214815586419718</v>
          </cell>
          <cell r="AQ813">
            <v>0</v>
          </cell>
          <cell r="AR813">
            <v>5.0785184413580282</v>
          </cell>
          <cell r="AS813">
            <v>0</v>
          </cell>
          <cell r="AT813">
            <v>46147</v>
          </cell>
          <cell r="AU813">
            <v>-4.9214815586419718</v>
          </cell>
          <cell r="AV813">
            <v>152.35555324074085</v>
          </cell>
          <cell r="AW813">
            <v>-4.9214815586419718</v>
          </cell>
          <cell r="AY813">
            <v>157.46369178241002</v>
          </cell>
          <cell r="AZ813" t="str">
            <v>F18</v>
          </cell>
          <cell r="BA813">
            <v>15.78</v>
          </cell>
          <cell r="BB813" t="str">
            <v>NSFC</v>
          </cell>
          <cell r="BC813" t="str">
            <v>F18SB</v>
          </cell>
        </row>
        <row r="814">
          <cell r="A814" t="str">
            <v>569C2</v>
          </cell>
          <cell r="B814" t="str">
            <v>3</v>
          </cell>
          <cell r="C814" t="str">
            <v>06</v>
          </cell>
          <cell r="D814">
            <v>22</v>
          </cell>
          <cell r="E814" t="str">
            <v>569C2</v>
          </cell>
          <cell r="F814">
            <v>12.68</v>
          </cell>
          <cell r="G814">
            <v>10.62</v>
          </cell>
          <cell r="H814">
            <v>10.62</v>
          </cell>
          <cell r="I814" t="str">
            <v>FC</v>
          </cell>
          <cell r="J814" t="str">
            <v>ST</v>
          </cell>
          <cell r="K814">
            <v>14</v>
          </cell>
          <cell r="L814">
            <v>45829</v>
          </cell>
          <cell r="M814">
            <v>45829</v>
          </cell>
          <cell r="N814">
            <v>165</v>
          </cell>
          <cell r="O814" t="str">
            <v>NS</v>
          </cell>
          <cell r="P814" t="str">
            <v>NSF18CK3</v>
          </cell>
          <cell r="Q814">
            <v>46256</v>
          </cell>
          <cell r="R814" t="str">
            <v/>
          </cell>
          <cell r="S814" t="str">
            <v/>
          </cell>
          <cell r="T814" t="str">
            <v/>
          </cell>
          <cell r="U814">
            <v>53499</v>
          </cell>
          <cell r="V814">
            <v>49249</v>
          </cell>
          <cell r="W814" t="str">
            <v/>
          </cell>
          <cell r="X814" t="str">
            <v>Lokasi Produksi 569C2 ( Pecahan 569C )</v>
          </cell>
          <cell r="Z814">
            <v>14</v>
          </cell>
          <cell r="AA814">
            <v>46256</v>
          </cell>
          <cell r="AM814" t="str">
            <v>OK</v>
          </cell>
          <cell r="AO814">
            <v>5.5118517746913618</v>
          </cell>
          <cell r="AP814">
            <v>-8.4881482253086382</v>
          </cell>
          <cell r="AQ814">
            <v>0</v>
          </cell>
          <cell r="AR814">
            <v>5.5118517746913618</v>
          </cell>
          <cell r="AS814">
            <v>0</v>
          </cell>
          <cell r="AT814">
            <v>46256</v>
          </cell>
          <cell r="AU814">
            <v>-8.4881482253086382</v>
          </cell>
          <cell r="AV814">
            <v>165.35555324074085</v>
          </cell>
          <cell r="AW814">
            <v>-8.4881482253086382</v>
          </cell>
          <cell r="AY814">
            <v>170.46369178241002</v>
          </cell>
          <cell r="AZ814" t="str">
            <v>F18</v>
          </cell>
          <cell r="BA814">
            <v>10.62</v>
          </cell>
          <cell r="BB814" t="str">
            <v>NSFC</v>
          </cell>
          <cell r="BC814" t="str">
            <v>F18CK</v>
          </cell>
        </row>
        <row r="815">
          <cell r="A815" t="str">
            <v>569CS1</v>
          </cell>
          <cell r="B815" t="str">
            <v>3</v>
          </cell>
          <cell r="C815" t="str">
            <v>06</v>
          </cell>
          <cell r="D815">
            <v>22</v>
          </cell>
          <cell r="E815" t="str">
            <v>569CS1</v>
          </cell>
          <cell r="F815">
            <v>0.28999999999999998</v>
          </cell>
          <cell r="G815">
            <v>0.28999999999999998</v>
          </cell>
          <cell r="H815">
            <v>0.28999999999999998</v>
          </cell>
          <cell r="I815" t="str">
            <v>FC</v>
          </cell>
          <cell r="J815" t="str">
            <v>ST</v>
          </cell>
          <cell r="K815">
            <v>0</v>
          </cell>
          <cell r="L815">
            <v>45946</v>
          </cell>
          <cell r="M815">
            <v>45946</v>
          </cell>
          <cell r="N815">
            <v>48</v>
          </cell>
          <cell r="O815" t="str">
            <v>SK</v>
          </cell>
          <cell r="P815" t="str">
            <v/>
          </cell>
          <cell r="Q815">
            <v>45946</v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>Lokasi Produksi 569CS1 ( singkong )</v>
          </cell>
          <cell r="Z815">
            <v>0</v>
          </cell>
          <cell r="AA815">
            <v>45946</v>
          </cell>
          <cell r="AM815" t="str">
            <v>OK</v>
          </cell>
          <cell r="AO815">
            <v>1.6118517746913616</v>
          </cell>
          <cell r="AP815">
            <v>1.6118517746913616</v>
          </cell>
          <cell r="AQ815">
            <v>0</v>
          </cell>
          <cell r="AR815">
            <v>1.6118517746913616</v>
          </cell>
          <cell r="AS815">
            <v>0</v>
          </cell>
          <cell r="AT815">
            <v>45946</v>
          </cell>
          <cell r="AU815">
            <v>1.6118517746913616</v>
          </cell>
          <cell r="AV815">
            <v>48.355553240740846</v>
          </cell>
          <cell r="AW815">
            <v>1.6118517746913616</v>
          </cell>
          <cell r="AY815">
            <v>53.463691782410024</v>
          </cell>
          <cell r="AZ815" t="str">
            <v>F18</v>
          </cell>
          <cell r="BA815">
            <v>0</v>
          </cell>
          <cell r="BB815" t="str">
            <v>SKFC</v>
          </cell>
          <cell r="BC815" t="str">
            <v>F18</v>
          </cell>
        </row>
        <row r="816">
          <cell r="A816" t="str">
            <v>569D1</v>
          </cell>
          <cell r="B816" t="str">
            <v>3</v>
          </cell>
          <cell r="C816" t="str">
            <v>06</v>
          </cell>
          <cell r="D816">
            <v>22</v>
          </cell>
          <cell r="E816" t="str">
            <v>569D1</v>
          </cell>
          <cell r="F816">
            <v>10.54</v>
          </cell>
          <cell r="G816">
            <v>8.77</v>
          </cell>
          <cell r="H816">
            <v>8.77</v>
          </cell>
          <cell r="I816" t="str">
            <v>ST</v>
          </cell>
          <cell r="J816" t="str">
            <v>BK</v>
          </cell>
          <cell r="K816">
            <v>0</v>
          </cell>
          <cell r="L816">
            <v>45946</v>
          </cell>
          <cell r="M816">
            <v>45946</v>
          </cell>
          <cell r="N816">
            <v>48</v>
          </cell>
          <cell r="O816" t="str">
            <v>NS</v>
          </cell>
          <cell r="P816" t="str">
            <v/>
          </cell>
          <cell r="Q816">
            <v>45946</v>
          </cell>
          <cell r="R816" t="str">
            <v/>
          </cell>
          <cell r="S816" t="str">
            <v/>
          </cell>
          <cell r="T816" t="str">
            <v/>
          </cell>
          <cell r="U816">
            <v>69959</v>
          </cell>
          <cell r="V816">
            <v>52342</v>
          </cell>
          <cell r="W816">
            <v>43721</v>
          </cell>
          <cell r="X816" t="str">
            <v>Lokasi Produksi 569D1 ( pecahan 569D )</v>
          </cell>
          <cell r="Z816">
            <v>0</v>
          </cell>
          <cell r="AA816">
            <v>45946</v>
          </cell>
          <cell r="AM816" t="str">
            <v>OK</v>
          </cell>
          <cell r="AO816">
            <v>1.6118517746913616</v>
          </cell>
          <cell r="AP816">
            <v>1.6118517746913616</v>
          </cell>
          <cell r="AQ816">
            <v>0</v>
          </cell>
          <cell r="AR816">
            <v>1.6118517746913616</v>
          </cell>
          <cell r="AS816">
            <v>0</v>
          </cell>
          <cell r="AT816">
            <v>45946</v>
          </cell>
          <cell r="AU816">
            <v>1.6118517746913616</v>
          </cell>
          <cell r="AV816">
            <v>48.355553240740846</v>
          </cell>
          <cell r="AW816">
            <v>1.6118517746913616</v>
          </cell>
          <cell r="AY816">
            <v>53.463691782410024</v>
          </cell>
          <cell r="AZ816" t="str">
            <v>F18</v>
          </cell>
          <cell r="BA816">
            <v>0</v>
          </cell>
          <cell r="BB816" t="str">
            <v>NSST</v>
          </cell>
          <cell r="BC816" t="str">
            <v>F18</v>
          </cell>
        </row>
        <row r="817">
          <cell r="A817" t="str">
            <v>569D2</v>
          </cell>
          <cell r="B817" t="str">
            <v>3</v>
          </cell>
          <cell r="C817" t="str">
            <v>06</v>
          </cell>
          <cell r="D817">
            <v>22</v>
          </cell>
          <cell r="E817" t="str">
            <v>569D2</v>
          </cell>
          <cell r="F817">
            <v>8.06</v>
          </cell>
          <cell r="G817">
            <v>6.78</v>
          </cell>
          <cell r="H817">
            <v>6.78</v>
          </cell>
          <cell r="I817" t="str">
            <v>FC</v>
          </cell>
          <cell r="J817" t="str">
            <v>ST</v>
          </cell>
          <cell r="K817">
            <v>14</v>
          </cell>
          <cell r="L817">
            <v>45947</v>
          </cell>
          <cell r="M817">
            <v>45947</v>
          </cell>
          <cell r="N817">
            <v>47</v>
          </cell>
          <cell r="O817" t="str">
            <v>NS</v>
          </cell>
          <cell r="P817" t="str">
            <v>NSF18CK3</v>
          </cell>
          <cell r="Q817">
            <v>46374</v>
          </cell>
          <cell r="R817" t="str">
            <v/>
          </cell>
          <cell r="S817" t="str">
            <v/>
          </cell>
          <cell r="T817" t="str">
            <v/>
          </cell>
          <cell r="U817">
            <v>70013</v>
          </cell>
          <cell r="V817">
            <v>76238</v>
          </cell>
          <cell r="W817">
            <v>44382</v>
          </cell>
          <cell r="X817" t="str">
            <v>Lokasi Produksi 569D2 ( pecahan 569D )</v>
          </cell>
          <cell r="Z817">
            <v>14</v>
          </cell>
          <cell r="AA817">
            <v>46374</v>
          </cell>
          <cell r="AM817" t="str">
            <v>OK</v>
          </cell>
          <cell r="AO817">
            <v>1.5785184413580282</v>
          </cell>
          <cell r="AP817">
            <v>-12.421481558641972</v>
          </cell>
          <cell r="AQ817">
            <v>0</v>
          </cell>
          <cell r="AR817">
            <v>1.5785184413580282</v>
          </cell>
          <cell r="AS817">
            <v>0</v>
          </cell>
          <cell r="AT817">
            <v>46374</v>
          </cell>
          <cell r="AU817">
            <v>-12.421481558641972</v>
          </cell>
          <cell r="AV817">
            <v>47.355553240740846</v>
          </cell>
          <cell r="AW817">
            <v>-12.421481558641972</v>
          </cell>
          <cell r="AY817">
            <v>52.463691782410024</v>
          </cell>
          <cell r="AZ817" t="str">
            <v>F18</v>
          </cell>
          <cell r="BA817">
            <v>6.78</v>
          </cell>
          <cell r="BB817" t="str">
            <v>NSFC</v>
          </cell>
          <cell r="BC817" t="str">
            <v>F18CK</v>
          </cell>
        </row>
        <row r="818">
          <cell r="A818" t="str">
            <v>570A</v>
          </cell>
          <cell r="B818" t="str">
            <v>3</v>
          </cell>
          <cell r="C818" t="str">
            <v>06</v>
          </cell>
          <cell r="D818">
            <v>22</v>
          </cell>
          <cell r="E818" t="str">
            <v>570A</v>
          </cell>
          <cell r="F818">
            <v>14.18</v>
          </cell>
          <cell r="G818">
            <v>11.97</v>
          </cell>
          <cell r="H818">
            <v>11.97</v>
          </cell>
          <cell r="I818" t="str">
            <v>FC</v>
          </cell>
          <cell r="J818" t="str">
            <v>ST</v>
          </cell>
          <cell r="K818">
            <v>14</v>
          </cell>
          <cell r="L818">
            <v>45869</v>
          </cell>
          <cell r="M818">
            <v>45869</v>
          </cell>
          <cell r="N818">
            <v>125</v>
          </cell>
          <cell r="O818" t="str">
            <v>NS</v>
          </cell>
          <cell r="P818" t="str">
            <v>NSGP3CK3</v>
          </cell>
          <cell r="Q818">
            <v>46296</v>
          </cell>
          <cell r="R818" t="str">
            <v/>
          </cell>
          <cell r="S818" t="str">
            <v/>
          </cell>
          <cell r="T818" t="str">
            <v/>
          </cell>
          <cell r="U818">
            <v>70246</v>
          </cell>
          <cell r="V818">
            <v>54030</v>
          </cell>
          <cell r="W818" t="str">
            <v/>
          </cell>
          <cell r="X818" t="str">
            <v>Lokasi Produksi 570A</v>
          </cell>
          <cell r="Z818">
            <v>14</v>
          </cell>
          <cell r="AA818">
            <v>46296</v>
          </cell>
          <cell r="AM818" t="str">
            <v>OK</v>
          </cell>
          <cell r="AO818">
            <v>4.1785184413580279</v>
          </cell>
          <cell r="AP818">
            <v>-9.8214815586419721</v>
          </cell>
          <cell r="AQ818">
            <v>0</v>
          </cell>
          <cell r="AR818">
            <v>4.1785184413580279</v>
          </cell>
          <cell r="AS818">
            <v>0</v>
          </cell>
          <cell r="AT818">
            <v>46296</v>
          </cell>
          <cell r="AU818">
            <v>-9.8214815586419721</v>
          </cell>
          <cell r="AV818">
            <v>125.35555324074083</v>
          </cell>
          <cell r="AW818">
            <v>-9.8214815586419721</v>
          </cell>
          <cell r="AY818">
            <v>130.46369178241002</v>
          </cell>
          <cell r="AZ818" t="str">
            <v>GP3</v>
          </cell>
          <cell r="BA818">
            <v>11.97</v>
          </cell>
          <cell r="BB818" t="str">
            <v>NSFC</v>
          </cell>
          <cell r="BC818" t="str">
            <v>GP3CK</v>
          </cell>
        </row>
        <row r="819">
          <cell r="A819" t="str">
            <v>570AS1</v>
          </cell>
          <cell r="B819" t="str">
            <v>3</v>
          </cell>
          <cell r="C819" t="str">
            <v>06</v>
          </cell>
          <cell r="D819">
            <v>22</v>
          </cell>
          <cell r="E819" t="str">
            <v>570AS1</v>
          </cell>
          <cell r="F819">
            <v>2.31</v>
          </cell>
          <cell r="G819">
            <v>1.77</v>
          </cell>
          <cell r="H819">
            <v>1.77</v>
          </cell>
          <cell r="I819" t="str">
            <v>FC</v>
          </cell>
          <cell r="J819" t="str">
            <v>ST</v>
          </cell>
          <cell r="K819">
            <v>0</v>
          </cell>
          <cell r="L819">
            <v>45946</v>
          </cell>
          <cell r="M819">
            <v>45946</v>
          </cell>
          <cell r="N819">
            <v>48</v>
          </cell>
          <cell r="O819" t="str">
            <v>SK</v>
          </cell>
          <cell r="P819" t="str">
            <v/>
          </cell>
          <cell r="Q819">
            <v>45946</v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>Lokasi Produksi ( singkong )</v>
          </cell>
          <cell r="Z819">
            <v>0</v>
          </cell>
          <cell r="AA819">
            <v>45946</v>
          </cell>
          <cell r="AM819" t="str">
            <v>OK</v>
          </cell>
          <cell r="AO819">
            <v>1.6118517746913616</v>
          </cell>
          <cell r="AP819">
            <v>1.6118517746913616</v>
          </cell>
          <cell r="AQ819">
            <v>0</v>
          </cell>
          <cell r="AR819">
            <v>1.6118517746913616</v>
          </cell>
          <cell r="AS819">
            <v>0</v>
          </cell>
          <cell r="AT819">
            <v>45946</v>
          </cell>
          <cell r="AU819">
            <v>1.6118517746913616</v>
          </cell>
          <cell r="AV819">
            <v>48.355553240740846</v>
          </cell>
          <cell r="AW819">
            <v>1.6118517746913616</v>
          </cell>
          <cell r="AY819">
            <v>53.463691782410024</v>
          </cell>
          <cell r="AZ819" t="str">
            <v>F18</v>
          </cell>
          <cell r="BA819">
            <v>0</v>
          </cell>
          <cell r="BB819" t="str">
            <v>SKFC</v>
          </cell>
          <cell r="BC819" t="str">
            <v>F18</v>
          </cell>
        </row>
        <row r="820">
          <cell r="A820" t="str">
            <v>570B1</v>
          </cell>
          <cell r="B820" t="str">
            <v>3</v>
          </cell>
          <cell r="C820" t="str">
            <v>06</v>
          </cell>
          <cell r="D820">
            <v>22</v>
          </cell>
          <cell r="E820" t="str">
            <v>570B1</v>
          </cell>
          <cell r="F820">
            <v>11.11</v>
          </cell>
          <cell r="G820">
            <v>8.74</v>
          </cell>
          <cell r="H820">
            <v>8.74</v>
          </cell>
          <cell r="I820" t="str">
            <v>BK</v>
          </cell>
          <cell r="J820" t="str">
            <v>BB</v>
          </cell>
          <cell r="K820">
            <v>0</v>
          </cell>
          <cell r="L820">
            <v>45992</v>
          </cell>
          <cell r="M820">
            <v>45992</v>
          </cell>
          <cell r="N820">
            <v>2</v>
          </cell>
          <cell r="O820" t="str">
            <v>NS</v>
          </cell>
          <cell r="P820" t="str">
            <v/>
          </cell>
          <cell r="Q820">
            <v>45992</v>
          </cell>
          <cell r="R820" t="str">
            <v/>
          </cell>
          <cell r="S820" t="str">
            <v/>
          </cell>
          <cell r="T820" t="str">
            <v/>
          </cell>
          <cell r="U820">
            <v>69214</v>
          </cell>
          <cell r="V820">
            <v>74026</v>
          </cell>
          <cell r="W820">
            <v>44769</v>
          </cell>
          <cell r="X820" t="str">
            <v>Lokasi Produksi 570B1 ( pecahan 570B ) 8.98 Ha ( 60% )</v>
          </cell>
          <cell r="Z820">
            <v>0</v>
          </cell>
          <cell r="AA820">
            <v>45992</v>
          </cell>
          <cell r="AM820" t="str">
            <v>OK</v>
          </cell>
          <cell r="AO820">
            <v>7.8518441358028213E-2</v>
          </cell>
          <cell r="AP820">
            <v>7.8518441358028213E-2</v>
          </cell>
          <cell r="AQ820">
            <v>0</v>
          </cell>
          <cell r="AR820">
            <v>7.8518441358028213E-2</v>
          </cell>
          <cell r="AS820">
            <v>0</v>
          </cell>
          <cell r="AT820">
            <v>45992</v>
          </cell>
          <cell r="AU820">
            <v>7.8518441358028213E-2</v>
          </cell>
          <cell r="AV820">
            <v>2.3555532407408464</v>
          </cell>
          <cell r="AW820">
            <v>7.8518441358028213E-2</v>
          </cell>
          <cell r="AY820">
            <v>7.4636917824100237</v>
          </cell>
          <cell r="AZ820" t="str">
            <v>F18</v>
          </cell>
          <cell r="BA820">
            <v>0</v>
          </cell>
          <cell r="BB820" t="str">
            <v>NSBK</v>
          </cell>
          <cell r="BC820" t="str">
            <v>F18</v>
          </cell>
        </row>
        <row r="821">
          <cell r="A821" t="str">
            <v>570B2</v>
          </cell>
          <cell r="B821" t="str">
            <v>3</v>
          </cell>
          <cell r="C821" t="str">
            <v>06</v>
          </cell>
          <cell r="D821">
            <v>22</v>
          </cell>
          <cell r="E821" t="str">
            <v>570B2</v>
          </cell>
          <cell r="F821">
            <v>7.29</v>
          </cell>
          <cell r="G821">
            <v>5.83</v>
          </cell>
          <cell r="H821">
            <v>5.83</v>
          </cell>
          <cell r="I821" t="str">
            <v>SC</v>
          </cell>
          <cell r="J821" t="str">
            <v>FC</v>
          </cell>
          <cell r="K821">
            <v>8</v>
          </cell>
          <cell r="L821">
            <v>45677</v>
          </cell>
          <cell r="M821">
            <v>45677</v>
          </cell>
          <cell r="N821">
            <v>317</v>
          </cell>
          <cell r="O821" t="str">
            <v>NS</v>
          </cell>
          <cell r="P821" t="str">
            <v/>
          </cell>
          <cell r="Q821">
            <v>45921</v>
          </cell>
          <cell r="R821" t="str">
            <v/>
          </cell>
          <cell r="S821" t="str">
            <v/>
          </cell>
          <cell r="T821">
            <v>45901</v>
          </cell>
          <cell r="U821">
            <v>68720</v>
          </cell>
          <cell r="V821">
            <v>52604</v>
          </cell>
          <cell r="W821">
            <v>45051</v>
          </cell>
          <cell r="X821" t="str">
            <v>Lokasi Produksi 570B2 ( pecahan 570B ) 5.99 Ha ( 40% )</v>
          </cell>
          <cell r="Z821">
            <v>8</v>
          </cell>
          <cell r="AA821">
            <v>45921</v>
          </cell>
          <cell r="AM821" t="str">
            <v>OK</v>
          </cell>
          <cell r="AO821">
            <v>10.578518441358028</v>
          </cell>
          <cell r="AP821">
            <v>2.5785184413580282</v>
          </cell>
          <cell r="AQ821">
            <v>45901</v>
          </cell>
          <cell r="AR821">
            <v>7.4666666666666668</v>
          </cell>
          <cell r="AS821">
            <v>3.1118517746913614</v>
          </cell>
          <cell r="AT821">
            <v>45921</v>
          </cell>
          <cell r="AU821">
            <v>3.1118517746913614</v>
          </cell>
          <cell r="AV821">
            <v>224</v>
          </cell>
          <cell r="AW821">
            <v>3.1118517746913614</v>
          </cell>
          <cell r="AY821">
            <v>322.46369178241002</v>
          </cell>
          <cell r="AZ821" t="str">
            <v>F18</v>
          </cell>
          <cell r="BA821">
            <v>5.83</v>
          </cell>
          <cell r="BB821" t="str">
            <v>NSSC</v>
          </cell>
          <cell r="BC821" t="str">
            <v>F18</v>
          </cell>
        </row>
        <row r="822">
          <cell r="A822" t="str">
            <v>570C1</v>
          </cell>
          <cell r="B822" t="str">
            <v>3</v>
          </cell>
          <cell r="C822" t="str">
            <v>06</v>
          </cell>
          <cell r="D822">
            <v>22</v>
          </cell>
          <cell r="E822" t="str">
            <v>570C1</v>
          </cell>
          <cell r="F822">
            <v>6</v>
          </cell>
          <cell r="G822">
            <v>4.78</v>
          </cell>
          <cell r="H822">
            <v>4.78</v>
          </cell>
          <cell r="I822" t="str">
            <v>SC</v>
          </cell>
          <cell r="J822" t="str">
            <v>FC</v>
          </cell>
          <cell r="K822">
            <v>8</v>
          </cell>
          <cell r="L822">
            <v>45628</v>
          </cell>
          <cell r="M822">
            <v>45628</v>
          </cell>
          <cell r="N822">
            <v>366</v>
          </cell>
          <cell r="O822" t="str">
            <v>NS</v>
          </cell>
          <cell r="P822" t="str">
            <v/>
          </cell>
          <cell r="Q822">
            <v>45872</v>
          </cell>
          <cell r="R822" t="str">
            <v/>
          </cell>
          <cell r="S822" t="str">
            <v/>
          </cell>
          <cell r="T822">
            <v>45878</v>
          </cell>
          <cell r="U822">
            <v>73451</v>
          </cell>
          <cell r="V822">
            <v>52475</v>
          </cell>
          <cell r="W822">
            <v>44946</v>
          </cell>
          <cell r="X822" t="str">
            <v>Lokasi Produksi 570C1 ( pecahan 570C )</v>
          </cell>
          <cell r="Z822">
            <v>8</v>
          </cell>
          <cell r="AA822">
            <v>45872</v>
          </cell>
          <cell r="AM822" t="str">
            <v>OK</v>
          </cell>
          <cell r="AO822">
            <v>12.211851774691361</v>
          </cell>
          <cell r="AP822">
            <v>4.2118517746913611</v>
          </cell>
          <cell r="AQ822">
            <v>45878</v>
          </cell>
          <cell r="AR822">
            <v>8.3333333333333339</v>
          </cell>
          <cell r="AS822">
            <v>3.8785184413580271</v>
          </cell>
          <cell r="AT822">
            <v>45872</v>
          </cell>
          <cell r="AU822">
            <v>3.8785184413580271</v>
          </cell>
          <cell r="AV822">
            <v>250.00000000000003</v>
          </cell>
          <cell r="AW822">
            <v>3.8785184413580271</v>
          </cell>
          <cell r="AY822">
            <v>371.46369178241002</v>
          </cell>
          <cell r="AZ822" t="str">
            <v>F18</v>
          </cell>
          <cell r="BA822">
            <v>4.78</v>
          </cell>
          <cell r="BB822" t="str">
            <v>NSSC</v>
          </cell>
          <cell r="BC822" t="str">
            <v>F18</v>
          </cell>
        </row>
        <row r="823">
          <cell r="A823" t="str">
            <v>570C2</v>
          </cell>
          <cell r="B823" t="str">
            <v>3</v>
          </cell>
          <cell r="C823" t="str">
            <v>06</v>
          </cell>
          <cell r="D823">
            <v>22</v>
          </cell>
          <cell r="E823" t="str">
            <v>570C2</v>
          </cell>
          <cell r="F823">
            <v>10.59</v>
          </cell>
          <cell r="G823">
            <v>8.35</v>
          </cell>
          <cell r="H823">
            <v>8.35</v>
          </cell>
          <cell r="I823" t="str">
            <v>SC</v>
          </cell>
          <cell r="J823" t="str">
            <v>FC</v>
          </cell>
          <cell r="K823">
            <v>8</v>
          </cell>
          <cell r="L823">
            <v>45628</v>
          </cell>
          <cell r="M823">
            <v>45628</v>
          </cell>
          <cell r="N823">
            <v>366</v>
          </cell>
          <cell r="O823" t="str">
            <v>NS</v>
          </cell>
          <cell r="P823" t="str">
            <v/>
          </cell>
          <cell r="Q823">
            <v>45872</v>
          </cell>
          <cell r="R823" t="str">
            <v/>
          </cell>
          <cell r="S823" t="str">
            <v/>
          </cell>
          <cell r="T823">
            <v>45878</v>
          </cell>
          <cell r="U823">
            <v>71343</v>
          </cell>
          <cell r="V823">
            <v>52486</v>
          </cell>
          <cell r="W823">
            <v>44946</v>
          </cell>
          <cell r="X823" t="str">
            <v>Lokasi Produksi 570C2 ( pecahan 570C )</v>
          </cell>
          <cell r="Z823">
            <v>8</v>
          </cell>
          <cell r="AA823">
            <v>45872</v>
          </cell>
          <cell r="AM823" t="str">
            <v>OK</v>
          </cell>
          <cell r="AO823">
            <v>12.211851774691361</v>
          </cell>
          <cell r="AP823">
            <v>4.2118517746913611</v>
          </cell>
          <cell r="AQ823">
            <v>45878</v>
          </cell>
          <cell r="AR823">
            <v>8.3333333333333339</v>
          </cell>
          <cell r="AS823">
            <v>3.8785184413580271</v>
          </cell>
          <cell r="AT823">
            <v>45872</v>
          </cell>
          <cell r="AU823">
            <v>3.8785184413580271</v>
          </cell>
          <cell r="AV823">
            <v>250.00000000000003</v>
          </cell>
          <cell r="AW823">
            <v>3.8785184413580271</v>
          </cell>
          <cell r="AY823">
            <v>371.46369178241002</v>
          </cell>
          <cell r="AZ823" t="str">
            <v>F18</v>
          </cell>
          <cell r="BA823">
            <v>8.35</v>
          </cell>
          <cell r="BB823" t="str">
            <v>NSSC</v>
          </cell>
          <cell r="BC823" t="str">
            <v>F18</v>
          </cell>
        </row>
        <row r="824">
          <cell r="A824" t="str">
            <v>570E</v>
          </cell>
          <cell r="B824" t="str">
            <v>3</v>
          </cell>
          <cell r="C824" t="str">
            <v>06</v>
          </cell>
          <cell r="D824">
            <v>22</v>
          </cell>
          <cell r="E824" t="str">
            <v>570E</v>
          </cell>
          <cell r="F824">
            <v>14.96</v>
          </cell>
          <cell r="G824">
            <v>12.68</v>
          </cell>
          <cell r="H824">
            <v>12.68</v>
          </cell>
          <cell r="I824" t="str">
            <v>ST</v>
          </cell>
          <cell r="J824" t="str">
            <v>BK</v>
          </cell>
          <cell r="K824">
            <v>0</v>
          </cell>
          <cell r="L824">
            <v>45937</v>
          </cell>
          <cell r="M824">
            <v>45937</v>
          </cell>
          <cell r="N824">
            <v>57</v>
          </cell>
          <cell r="O824" t="str">
            <v>NS</v>
          </cell>
          <cell r="P824" t="str">
            <v/>
          </cell>
          <cell r="Q824">
            <v>45937</v>
          </cell>
          <cell r="R824" t="str">
            <v/>
          </cell>
          <cell r="S824" t="str">
            <v/>
          </cell>
          <cell r="T824" t="str">
            <v/>
          </cell>
          <cell r="U824">
            <v>72471</v>
          </cell>
          <cell r="V824">
            <v>52775</v>
          </cell>
          <cell r="W824" t="str">
            <v/>
          </cell>
          <cell r="X824" t="str">
            <v>Lokasi Produksi 570E</v>
          </cell>
          <cell r="Z824">
            <v>0</v>
          </cell>
          <cell r="AA824">
            <v>45937</v>
          </cell>
          <cell r="AM824" t="str">
            <v>OK</v>
          </cell>
          <cell r="AO824">
            <v>1.9118517746913615</v>
          </cell>
          <cell r="AP824">
            <v>1.9118517746913615</v>
          </cell>
          <cell r="AQ824">
            <v>0</v>
          </cell>
          <cell r="AR824">
            <v>1.9118517746913615</v>
          </cell>
          <cell r="AS824">
            <v>0</v>
          </cell>
          <cell r="AT824">
            <v>45937</v>
          </cell>
          <cell r="AU824">
            <v>1.9118517746913615</v>
          </cell>
          <cell r="AV824">
            <v>57.355553240740846</v>
          </cell>
          <cell r="AW824">
            <v>1.9118517746913615</v>
          </cell>
          <cell r="AY824">
            <v>62.463691782410024</v>
          </cell>
          <cell r="AZ824" t="str">
            <v>F18</v>
          </cell>
          <cell r="BA824">
            <v>0</v>
          </cell>
          <cell r="BB824" t="str">
            <v>NSST</v>
          </cell>
          <cell r="BC824" t="str">
            <v>F18</v>
          </cell>
        </row>
        <row r="825">
          <cell r="A825" t="str">
            <v>570F1</v>
          </cell>
          <cell r="B825" t="str">
            <v>3</v>
          </cell>
          <cell r="C825" t="str">
            <v>06</v>
          </cell>
          <cell r="D825">
            <v>22</v>
          </cell>
          <cell r="E825" t="str">
            <v>570F1</v>
          </cell>
          <cell r="F825">
            <v>7.54</v>
          </cell>
          <cell r="G825">
            <v>6.44</v>
          </cell>
          <cell r="H825">
            <v>6.44</v>
          </cell>
          <cell r="I825" t="str">
            <v>ST</v>
          </cell>
          <cell r="J825" t="str">
            <v>BK</v>
          </cell>
          <cell r="K825">
            <v>0</v>
          </cell>
          <cell r="L825">
            <v>45937</v>
          </cell>
          <cell r="M825">
            <v>45937</v>
          </cell>
          <cell r="N825">
            <v>57</v>
          </cell>
          <cell r="O825" t="str">
            <v>NS</v>
          </cell>
          <cell r="P825" t="str">
            <v/>
          </cell>
          <cell r="Q825">
            <v>45937</v>
          </cell>
          <cell r="R825" t="str">
            <v/>
          </cell>
          <cell r="S825" t="str">
            <v/>
          </cell>
          <cell r="T825" t="str">
            <v/>
          </cell>
          <cell r="U825">
            <v>72241</v>
          </cell>
          <cell r="V825">
            <v>51686</v>
          </cell>
          <cell r="W825">
            <v>44737</v>
          </cell>
          <cell r="X825" t="str">
            <v>Lokasi Produksi 570F1 ( pecahan 570F )</v>
          </cell>
          <cell r="Z825">
            <v>0</v>
          </cell>
          <cell r="AA825">
            <v>45937</v>
          </cell>
          <cell r="AM825" t="str">
            <v>OK</v>
          </cell>
          <cell r="AO825">
            <v>1.9118517746913615</v>
          </cell>
          <cell r="AP825">
            <v>1.9118517746913615</v>
          </cell>
          <cell r="AQ825">
            <v>0</v>
          </cell>
          <cell r="AR825">
            <v>1.9118517746913615</v>
          </cell>
          <cell r="AS825">
            <v>0</v>
          </cell>
          <cell r="AT825">
            <v>45937</v>
          </cell>
          <cell r="AU825">
            <v>1.9118517746913615</v>
          </cell>
          <cell r="AV825">
            <v>57.355553240740846</v>
          </cell>
          <cell r="AW825">
            <v>1.9118517746913615</v>
          </cell>
          <cell r="AY825">
            <v>62.463691782410024</v>
          </cell>
          <cell r="AZ825" t="str">
            <v>F18</v>
          </cell>
          <cell r="BA825">
            <v>0</v>
          </cell>
          <cell r="BB825" t="str">
            <v>NSST</v>
          </cell>
          <cell r="BC825" t="str">
            <v>F18</v>
          </cell>
        </row>
        <row r="826">
          <cell r="A826" t="str">
            <v>570F2</v>
          </cell>
          <cell r="B826" t="str">
            <v>3</v>
          </cell>
          <cell r="C826" t="str">
            <v>06</v>
          </cell>
          <cell r="D826">
            <v>22</v>
          </cell>
          <cell r="E826" t="str">
            <v>570F2</v>
          </cell>
          <cell r="F826">
            <v>11.92</v>
          </cell>
          <cell r="G826">
            <v>9.82</v>
          </cell>
          <cell r="H826">
            <v>9.82</v>
          </cell>
          <cell r="I826" t="str">
            <v>ST</v>
          </cell>
          <cell r="J826" t="str">
            <v>BK</v>
          </cell>
          <cell r="K826">
            <v>0</v>
          </cell>
          <cell r="L826">
            <v>45937</v>
          </cell>
          <cell r="M826">
            <v>45937</v>
          </cell>
          <cell r="N826">
            <v>57</v>
          </cell>
          <cell r="O826" t="str">
            <v>NS</v>
          </cell>
          <cell r="P826" t="str">
            <v/>
          </cell>
          <cell r="Q826">
            <v>45937</v>
          </cell>
          <cell r="R826" t="str">
            <v/>
          </cell>
          <cell r="S826" t="str">
            <v/>
          </cell>
          <cell r="T826" t="str">
            <v/>
          </cell>
          <cell r="U826">
            <v>70580</v>
          </cell>
          <cell r="V826">
            <v>48779</v>
          </cell>
          <cell r="W826">
            <v>44737</v>
          </cell>
          <cell r="X826" t="str">
            <v>Lokasi Produksi 570F2 ( pecahan 570F )</v>
          </cell>
          <cell r="Z826">
            <v>0</v>
          </cell>
          <cell r="AA826">
            <v>45937</v>
          </cell>
          <cell r="AM826" t="str">
            <v>OK</v>
          </cell>
          <cell r="AO826">
            <v>1.9118517746913615</v>
          </cell>
          <cell r="AP826">
            <v>1.9118517746913615</v>
          </cell>
          <cell r="AQ826">
            <v>0</v>
          </cell>
          <cell r="AR826">
            <v>1.9118517746913615</v>
          </cell>
          <cell r="AS826">
            <v>0</v>
          </cell>
          <cell r="AT826">
            <v>45937</v>
          </cell>
          <cell r="AU826">
            <v>1.9118517746913615</v>
          </cell>
          <cell r="AV826">
            <v>57.355553240740846</v>
          </cell>
          <cell r="AW826">
            <v>1.9118517746913615</v>
          </cell>
          <cell r="AY826">
            <v>62.463691782410024</v>
          </cell>
          <cell r="AZ826" t="str">
            <v>F18</v>
          </cell>
          <cell r="BA826">
            <v>0</v>
          </cell>
          <cell r="BB826" t="str">
            <v>NSST</v>
          </cell>
          <cell r="BC826" t="str">
            <v>F18</v>
          </cell>
        </row>
        <row r="827">
          <cell r="A827" t="str">
            <v>570G1</v>
          </cell>
          <cell r="B827" t="str">
            <v>3</v>
          </cell>
          <cell r="C827" t="str">
            <v>06</v>
          </cell>
          <cell r="D827">
            <v>22</v>
          </cell>
          <cell r="E827" t="str">
            <v>570G1</v>
          </cell>
          <cell r="F827">
            <v>9.6199999999999992</v>
          </cell>
          <cell r="G827">
            <v>8.1</v>
          </cell>
          <cell r="H827">
            <v>8.1</v>
          </cell>
          <cell r="I827" t="str">
            <v>ST</v>
          </cell>
          <cell r="J827" t="str">
            <v>BK</v>
          </cell>
          <cell r="K827">
            <v>0</v>
          </cell>
          <cell r="L827">
            <v>45962</v>
          </cell>
          <cell r="M827">
            <v>45962</v>
          </cell>
          <cell r="N827">
            <v>32</v>
          </cell>
          <cell r="O827" t="str">
            <v>NS</v>
          </cell>
          <cell r="P827" t="str">
            <v/>
          </cell>
          <cell r="Q827">
            <v>45962</v>
          </cell>
          <cell r="R827" t="str">
            <v/>
          </cell>
          <cell r="S827" t="str">
            <v/>
          </cell>
          <cell r="T827" t="str">
            <v/>
          </cell>
          <cell r="U827">
            <v>70354</v>
          </cell>
          <cell r="V827">
            <v>52222</v>
          </cell>
          <cell r="W827">
            <v>44805</v>
          </cell>
          <cell r="X827" t="str">
            <v>Lokasi Produksi 570G1 ( pecahan 570G )</v>
          </cell>
          <cell r="Z827">
            <v>0</v>
          </cell>
          <cell r="AA827">
            <v>45962</v>
          </cell>
          <cell r="AM827" t="str">
            <v>OK</v>
          </cell>
          <cell r="AO827">
            <v>1.0785184413580282</v>
          </cell>
          <cell r="AP827">
            <v>1.0785184413580282</v>
          </cell>
          <cell r="AQ827">
            <v>0</v>
          </cell>
          <cell r="AR827">
            <v>1.0785184413580282</v>
          </cell>
          <cell r="AS827">
            <v>0</v>
          </cell>
          <cell r="AT827">
            <v>45962</v>
          </cell>
          <cell r="AU827">
            <v>1.0785184413580282</v>
          </cell>
          <cell r="AV827">
            <v>32.355553240740846</v>
          </cell>
          <cell r="AW827">
            <v>1.0785184413580282</v>
          </cell>
          <cell r="AY827">
            <v>37.463691782410024</v>
          </cell>
          <cell r="AZ827" t="str">
            <v>F18</v>
          </cell>
          <cell r="BA827">
            <v>0</v>
          </cell>
          <cell r="BB827" t="str">
            <v>NSST</v>
          </cell>
          <cell r="BC827" t="str">
            <v>F18</v>
          </cell>
        </row>
        <row r="828">
          <cell r="A828" t="str">
            <v>570G2</v>
          </cell>
          <cell r="B828" t="str">
            <v>3</v>
          </cell>
          <cell r="C828" t="str">
            <v>06</v>
          </cell>
          <cell r="D828">
            <v>22</v>
          </cell>
          <cell r="E828" t="str">
            <v>570G2</v>
          </cell>
          <cell r="F828">
            <v>10.48</v>
          </cell>
          <cell r="G828">
            <v>8.39</v>
          </cell>
          <cell r="H828">
            <v>8.39</v>
          </cell>
          <cell r="I828" t="str">
            <v>ST</v>
          </cell>
          <cell r="J828" t="str">
            <v>BK</v>
          </cell>
          <cell r="K828">
            <v>0</v>
          </cell>
          <cell r="L828">
            <v>45962</v>
          </cell>
          <cell r="M828">
            <v>45962</v>
          </cell>
          <cell r="N828">
            <v>32</v>
          </cell>
          <cell r="O828" t="str">
            <v>NS</v>
          </cell>
          <cell r="P828" t="str">
            <v/>
          </cell>
          <cell r="Q828">
            <v>45962</v>
          </cell>
          <cell r="R828" t="str">
            <v/>
          </cell>
          <cell r="S828" t="str">
            <v/>
          </cell>
          <cell r="T828" t="str">
            <v/>
          </cell>
          <cell r="U828">
            <v>71213</v>
          </cell>
          <cell r="V828">
            <v>52158</v>
          </cell>
          <cell r="W828">
            <v>44805</v>
          </cell>
          <cell r="X828" t="str">
            <v>Lokasi Produksi 570G2 ( pecahan 570G )</v>
          </cell>
          <cell r="Z828">
            <v>0</v>
          </cell>
          <cell r="AA828">
            <v>45962</v>
          </cell>
          <cell r="AM828" t="str">
            <v>OK</v>
          </cell>
          <cell r="AO828">
            <v>1.0785184413580282</v>
          </cell>
          <cell r="AP828">
            <v>1.0785184413580282</v>
          </cell>
          <cell r="AQ828">
            <v>0</v>
          </cell>
          <cell r="AR828">
            <v>1.0785184413580282</v>
          </cell>
          <cell r="AS828">
            <v>0</v>
          </cell>
          <cell r="AT828">
            <v>45962</v>
          </cell>
          <cell r="AU828">
            <v>1.0785184413580282</v>
          </cell>
          <cell r="AV828">
            <v>32.355553240740846</v>
          </cell>
          <cell r="AW828">
            <v>1.0785184413580282</v>
          </cell>
          <cell r="AY828">
            <v>37.463691782410024</v>
          </cell>
          <cell r="AZ828" t="str">
            <v>F18</v>
          </cell>
          <cell r="BA828">
            <v>0</v>
          </cell>
          <cell r="BB828" t="str">
            <v>NSST</v>
          </cell>
          <cell r="BC828" t="str">
            <v>F18</v>
          </cell>
        </row>
        <row r="829">
          <cell r="A829" t="str">
            <v>570H1A</v>
          </cell>
          <cell r="B829" t="str">
            <v>3</v>
          </cell>
          <cell r="C829" t="str">
            <v>06</v>
          </cell>
          <cell r="D829">
            <v>22</v>
          </cell>
          <cell r="E829" t="str">
            <v>570H1A</v>
          </cell>
          <cell r="F829">
            <v>8.83</v>
          </cell>
          <cell r="G829">
            <v>6.64</v>
          </cell>
          <cell r="H829">
            <v>6.64</v>
          </cell>
          <cell r="I829" t="str">
            <v>Y1</v>
          </cell>
          <cell r="J829" t="str">
            <v>TU</v>
          </cell>
          <cell r="K829">
            <v>0</v>
          </cell>
          <cell r="L829">
            <v>45629</v>
          </cell>
          <cell r="M829">
            <v>45629</v>
          </cell>
          <cell r="N829">
            <v>365</v>
          </cell>
          <cell r="O829" t="str">
            <v>PS</v>
          </cell>
          <cell r="P829" t="str">
            <v/>
          </cell>
          <cell r="Q829">
            <v>45629</v>
          </cell>
          <cell r="R829" t="str">
            <v/>
          </cell>
          <cell r="S829" t="str">
            <v/>
          </cell>
          <cell r="T829" t="str">
            <v/>
          </cell>
          <cell r="U829">
            <v>17785</v>
          </cell>
          <cell r="V829" t="str">
            <v/>
          </cell>
          <cell r="W829">
            <v>45803</v>
          </cell>
          <cell r="X829" t="str">
            <v>Lokasi Produksi 570H1A ( pecahan 570H1 )</v>
          </cell>
          <cell r="Z829">
            <v>0</v>
          </cell>
          <cell r="AA829">
            <v>45629</v>
          </cell>
          <cell r="AM829" t="str">
            <v>OK</v>
          </cell>
          <cell r="AO829">
            <v>12.178518441358028</v>
          </cell>
          <cell r="AP829">
            <v>12.178518441358028</v>
          </cell>
          <cell r="AQ829">
            <v>0</v>
          </cell>
          <cell r="AR829">
            <v>12.178518441358028</v>
          </cell>
          <cell r="AS829">
            <v>0</v>
          </cell>
          <cell r="AT829">
            <v>45629</v>
          </cell>
          <cell r="AU829">
            <v>12.178518441358028</v>
          </cell>
          <cell r="AV829">
            <v>365.35555324074085</v>
          </cell>
          <cell r="AW829">
            <v>12.178518441358028</v>
          </cell>
          <cell r="AY829">
            <v>370.46369178241002</v>
          </cell>
          <cell r="AZ829" t="str">
            <v>F18</v>
          </cell>
          <cell r="BA829">
            <v>0</v>
          </cell>
          <cell r="BB829" t="str">
            <v>PSY1</v>
          </cell>
          <cell r="BC829" t="str">
            <v>F18</v>
          </cell>
        </row>
        <row r="830">
          <cell r="A830" t="str">
            <v>570H1B</v>
          </cell>
          <cell r="B830" t="str">
            <v>3</v>
          </cell>
          <cell r="C830" t="str">
            <v>06</v>
          </cell>
          <cell r="D830">
            <v>22</v>
          </cell>
          <cell r="E830" t="str">
            <v>570H1B</v>
          </cell>
          <cell r="F830">
            <v>9.81</v>
          </cell>
          <cell r="G830">
            <v>7.47</v>
          </cell>
          <cell r="H830">
            <v>7.47</v>
          </cell>
          <cell r="I830" t="str">
            <v>Y1</v>
          </cell>
          <cell r="J830" t="str">
            <v>TU</v>
          </cell>
          <cell r="K830">
            <v>0</v>
          </cell>
          <cell r="L830">
            <v>45640</v>
          </cell>
          <cell r="M830">
            <v>45640</v>
          </cell>
          <cell r="N830">
            <v>354</v>
          </cell>
          <cell r="O830" t="str">
            <v>PS</v>
          </cell>
          <cell r="P830" t="str">
            <v/>
          </cell>
          <cell r="Q830">
            <v>45640</v>
          </cell>
          <cell r="R830" t="str">
            <v/>
          </cell>
          <cell r="S830" t="str">
            <v/>
          </cell>
          <cell r="T830" t="str">
            <v/>
          </cell>
          <cell r="U830">
            <v>20050</v>
          </cell>
          <cell r="V830" t="str">
            <v/>
          </cell>
          <cell r="W830">
            <v>45803</v>
          </cell>
          <cell r="X830" t="str">
            <v>Lokasi Produksi 570H1B ( pecahan 570H1 )</v>
          </cell>
          <cell r="Z830">
            <v>0</v>
          </cell>
          <cell r="AA830">
            <v>45640</v>
          </cell>
          <cell r="AM830" t="str">
            <v>OK</v>
          </cell>
          <cell r="AO830">
            <v>11.811851774691361</v>
          </cell>
          <cell r="AP830">
            <v>11.811851774691361</v>
          </cell>
          <cell r="AQ830">
            <v>0</v>
          </cell>
          <cell r="AR830">
            <v>11.811851774691361</v>
          </cell>
          <cell r="AS830">
            <v>0</v>
          </cell>
          <cell r="AT830">
            <v>45640</v>
          </cell>
          <cell r="AU830">
            <v>11.811851774691361</v>
          </cell>
          <cell r="AV830">
            <v>354.35555324074085</v>
          </cell>
          <cell r="AW830">
            <v>11.811851774691361</v>
          </cell>
          <cell r="AY830">
            <v>359.46369178241002</v>
          </cell>
          <cell r="AZ830" t="str">
            <v>F18</v>
          </cell>
          <cell r="BA830">
            <v>0</v>
          </cell>
          <cell r="BB830" t="str">
            <v>PSY1</v>
          </cell>
          <cell r="BC830" t="str">
            <v>F18</v>
          </cell>
        </row>
        <row r="831">
          <cell r="A831" t="str">
            <v>570H2A</v>
          </cell>
          <cell r="B831" t="str">
            <v>3</v>
          </cell>
          <cell r="C831" t="str">
            <v>06</v>
          </cell>
          <cell r="D831">
            <v>22</v>
          </cell>
          <cell r="E831" t="str">
            <v>570H2A</v>
          </cell>
          <cell r="F831">
            <v>6.5</v>
          </cell>
          <cell r="G831">
            <v>5.01</v>
          </cell>
          <cell r="H831">
            <v>5.01</v>
          </cell>
          <cell r="I831" t="str">
            <v>Y2</v>
          </cell>
          <cell r="J831" t="str">
            <v>Y1</v>
          </cell>
          <cell r="K831">
            <v>0</v>
          </cell>
          <cell r="L831">
            <v>45751</v>
          </cell>
          <cell r="M831">
            <v>45751</v>
          </cell>
          <cell r="N831">
            <v>243</v>
          </cell>
          <cell r="O831" t="str">
            <v>PS</v>
          </cell>
          <cell r="P831" t="str">
            <v/>
          </cell>
          <cell r="Q831">
            <v>45751</v>
          </cell>
          <cell r="R831" t="str">
            <v/>
          </cell>
          <cell r="S831" t="str">
            <v/>
          </cell>
          <cell r="T831" t="str">
            <v/>
          </cell>
          <cell r="U831">
            <v>13398</v>
          </cell>
          <cell r="V831" t="str">
            <v/>
          </cell>
          <cell r="W831">
            <v>45751</v>
          </cell>
          <cell r="X831" t="str">
            <v>Lokasi Produksi 570H2A ( pecahan 570H2 )</v>
          </cell>
          <cell r="Z831">
            <v>0</v>
          </cell>
          <cell r="AA831">
            <v>45751</v>
          </cell>
          <cell r="AM831" t="str">
            <v>OK</v>
          </cell>
          <cell r="AO831">
            <v>8.1118517746913614</v>
          </cell>
          <cell r="AP831">
            <v>8.1118517746913614</v>
          </cell>
          <cell r="AQ831">
            <v>0</v>
          </cell>
          <cell r="AR831">
            <v>8.1118517746913614</v>
          </cell>
          <cell r="AS831">
            <v>0</v>
          </cell>
          <cell r="AT831">
            <v>45751</v>
          </cell>
          <cell r="AU831">
            <v>8.1118517746913614</v>
          </cell>
          <cell r="AV831">
            <v>243.35555324074085</v>
          </cell>
          <cell r="AW831">
            <v>8.1118517746913614</v>
          </cell>
          <cell r="AY831">
            <v>248.46369178241002</v>
          </cell>
          <cell r="AZ831" t="str">
            <v>F18</v>
          </cell>
          <cell r="BA831">
            <v>0</v>
          </cell>
          <cell r="BB831" t="str">
            <v>PSY2</v>
          </cell>
          <cell r="BC831" t="str">
            <v>F18</v>
          </cell>
        </row>
        <row r="832">
          <cell r="A832" t="str">
            <v>570H2B</v>
          </cell>
          <cell r="B832" t="str">
            <v>3</v>
          </cell>
          <cell r="C832" t="str">
            <v>06</v>
          </cell>
          <cell r="D832">
            <v>22</v>
          </cell>
          <cell r="E832" t="str">
            <v>570H2B</v>
          </cell>
          <cell r="F832">
            <v>4.8499999999999996</v>
          </cell>
          <cell r="G832">
            <v>3.62</v>
          </cell>
          <cell r="H832">
            <v>3.62</v>
          </cell>
          <cell r="I832" t="str">
            <v>Y2</v>
          </cell>
          <cell r="J832" t="str">
            <v>Y1</v>
          </cell>
          <cell r="K832">
            <v>0</v>
          </cell>
          <cell r="L832">
            <v>45751</v>
          </cell>
          <cell r="M832">
            <v>45751</v>
          </cell>
          <cell r="N832">
            <v>243</v>
          </cell>
          <cell r="O832" t="str">
            <v>PS</v>
          </cell>
          <cell r="P832" t="str">
            <v/>
          </cell>
          <cell r="Q832">
            <v>45751</v>
          </cell>
          <cell r="R832" t="str">
            <v/>
          </cell>
          <cell r="S832" t="str">
            <v/>
          </cell>
          <cell r="T832" t="str">
            <v/>
          </cell>
          <cell r="U832">
            <v>9763</v>
          </cell>
          <cell r="V832" t="str">
            <v/>
          </cell>
          <cell r="W832">
            <v>45751</v>
          </cell>
          <cell r="X832" t="str">
            <v>Lokasi Produksi 570H2B ( pecahan 570H2 )</v>
          </cell>
          <cell r="Z832">
            <v>0</v>
          </cell>
          <cell r="AA832">
            <v>45751</v>
          </cell>
          <cell r="AM832" t="str">
            <v>OK</v>
          </cell>
          <cell r="AO832">
            <v>8.1118517746913614</v>
          </cell>
          <cell r="AP832">
            <v>8.1118517746913614</v>
          </cell>
          <cell r="AQ832">
            <v>0</v>
          </cell>
          <cell r="AR832">
            <v>8.1118517746913614</v>
          </cell>
          <cell r="AS832">
            <v>0</v>
          </cell>
          <cell r="AT832">
            <v>45751</v>
          </cell>
          <cell r="AU832">
            <v>8.1118517746913614</v>
          </cell>
          <cell r="AV832">
            <v>243.35555324074085</v>
          </cell>
          <cell r="AW832">
            <v>8.1118517746913614</v>
          </cell>
          <cell r="AY832">
            <v>248.46369178241002</v>
          </cell>
          <cell r="AZ832" t="str">
            <v>F18</v>
          </cell>
          <cell r="BA832">
            <v>0</v>
          </cell>
          <cell r="BB832" t="str">
            <v>PSY2</v>
          </cell>
          <cell r="BC832" t="str">
            <v>F18</v>
          </cell>
        </row>
        <row r="833">
          <cell r="A833" t="str">
            <v>570KS</v>
          </cell>
          <cell r="B833" t="str">
            <v>3</v>
          </cell>
          <cell r="C833" t="str">
            <v>06</v>
          </cell>
          <cell r="D833">
            <v>22</v>
          </cell>
          <cell r="E833" t="str">
            <v>570KS</v>
          </cell>
          <cell r="F833">
            <v>3.87</v>
          </cell>
          <cell r="G833">
            <v>3.57</v>
          </cell>
          <cell r="H833">
            <v>3.57</v>
          </cell>
          <cell r="I833" t="str">
            <v>SM</v>
          </cell>
          <cell r="J833" t="str">
            <v>BM</v>
          </cell>
          <cell r="K833">
            <v>0</v>
          </cell>
          <cell r="L833">
            <v>42067</v>
          </cell>
          <cell r="M833">
            <v>42067</v>
          </cell>
          <cell r="N833">
            <v>3927</v>
          </cell>
          <cell r="O833" t="str">
            <v>KS</v>
          </cell>
          <cell r="P833" t="str">
            <v/>
          </cell>
          <cell r="Q833">
            <v>42067</v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>
            <v>42068</v>
          </cell>
          <cell r="X833" t="str">
            <v>Lokasi Produksi 570KS</v>
          </cell>
          <cell r="Z833">
            <v>0</v>
          </cell>
          <cell r="AA833">
            <v>42067</v>
          </cell>
          <cell r="AM833" t="str">
            <v>OK</v>
          </cell>
          <cell r="AO833">
            <v>130.91185177469137</v>
          </cell>
          <cell r="AP833">
            <v>130.91185177469137</v>
          </cell>
          <cell r="AQ833">
            <v>0</v>
          </cell>
          <cell r="AR833">
            <v>130.91185177469137</v>
          </cell>
          <cell r="AS833">
            <v>0</v>
          </cell>
          <cell r="AT833">
            <v>42067</v>
          </cell>
          <cell r="AU833">
            <v>130.91185177469137</v>
          </cell>
          <cell r="AV833">
            <v>3927.3555532407413</v>
          </cell>
          <cell r="AW833">
            <v>130.91185177469137</v>
          </cell>
          <cell r="AY833">
            <v>3932.46369178241</v>
          </cell>
          <cell r="AZ833" t="str">
            <v>F18</v>
          </cell>
          <cell r="BA833">
            <v>0</v>
          </cell>
          <cell r="BB833" t="str">
            <v>KSSM</v>
          </cell>
          <cell r="BC833" t="str">
            <v>F18</v>
          </cell>
        </row>
        <row r="834">
          <cell r="A834" t="str">
            <v>571A</v>
          </cell>
          <cell r="B834" t="str">
            <v>3</v>
          </cell>
          <cell r="C834" t="str">
            <v>06</v>
          </cell>
          <cell r="D834">
            <v>23</v>
          </cell>
          <cell r="E834" t="str">
            <v>571A</v>
          </cell>
          <cell r="F834">
            <v>7.33</v>
          </cell>
          <cell r="G834">
            <v>5.07</v>
          </cell>
          <cell r="H834">
            <v>5.07</v>
          </cell>
          <cell r="I834" t="str">
            <v>Y2</v>
          </cell>
          <cell r="J834" t="str">
            <v>Y1</v>
          </cell>
          <cell r="K834">
            <v>0</v>
          </cell>
          <cell r="L834">
            <v>45767</v>
          </cell>
          <cell r="M834">
            <v>45767</v>
          </cell>
          <cell r="N834">
            <v>227</v>
          </cell>
          <cell r="O834" t="str">
            <v>PS</v>
          </cell>
          <cell r="P834" t="str">
            <v/>
          </cell>
          <cell r="Q834">
            <v>45767</v>
          </cell>
          <cell r="R834" t="str">
            <v/>
          </cell>
          <cell r="S834" t="str">
            <v/>
          </cell>
          <cell r="T834" t="str">
            <v/>
          </cell>
          <cell r="U834">
            <v>14153</v>
          </cell>
          <cell r="V834">
            <v>52930</v>
          </cell>
          <cell r="W834">
            <v>45767</v>
          </cell>
          <cell r="X834" t="str">
            <v>Lokasi Produksi 571A</v>
          </cell>
          <cell r="Z834">
            <v>0</v>
          </cell>
          <cell r="AA834">
            <v>45767</v>
          </cell>
          <cell r="AM834" t="str">
            <v>OK</v>
          </cell>
          <cell r="AO834">
            <v>7.5785184413580282</v>
          </cell>
          <cell r="AP834">
            <v>7.5785184413580282</v>
          </cell>
          <cell r="AQ834">
            <v>0</v>
          </cell>
          <cell r="AR834">
            <v>7.5785184413580282</v>
          </cell>
          <cell r="AS834">
            <v>0</v>
          </cell>
          <cell r="AT834">
            <v>45767</v>
          </cell>
          <cell r="AU834">
            <v>7.5785184413580282</v>
          </cell>
          <cell r="AV834">
            <v>227.35555324074085</v>
          </cell>
          <cell r="AW834">
            <v>7.5785184413580282</v>
          </cell>
          <cell r="AY834">
            <v>232.46369178241002</v>
          </cell>
          <cell r="AZ834" t="str">
            <v>F18</v>
          </cell>
          <cell r="BA834">
            <v>0</v>
          </cell>
          <cell r="BB834" t="str">
            <v>PSY2</v>
          </cell>
          <cell r="BC834" t="str">
            <v>F18</v>
          </cell>
        </row>
        <row r="835">
          <cell r="A835" t="str">
            <v>571B1</v>
          </cell>
          <cell r="B835" t="str">
            <v>3</v>
          </cell>
          <cell r="C835" t="str">
            <v>06</v>
          </cell>
          <cell r="D835">
            <v>23</v>
          </cell>
          <cell r="E835" t="str">
            <v>571B1</v>
          </cell>
          <cell r="F835">
            <v>8.5</v>
          </cell>
          <cell r="G835">
            <v>6.08</v>
          </cell>
          <cell r="H835">
            <v>6.08</v>
          </cell>
          <cell r="I835" t="str">
            <v>Y2</v>
          </cell>
          <cell r="J835" t="str">
            <v>FC</v>
          </cell>
          <cell r="K835">
            <v>0</v>
          </cell>
          <cell r="L835">
            <v>45740</v>
          </cell>
          <cell r="M835">
            <v>45740</v>
          </cell>
          <cell r="N835">
            <v>254</v>
          </cell>
          <cell r="O835" t="str">
            <v>PS</v>
          </cell>
          <cell r="P835" t="str">
            <v/>
          </cell>
          <cell r="Q835">
            <v>45740</v>
          </cell>
          <cell r="R835" t="str">
            <v/>
          </cell>
          <cell r="S835" t="str">
            <v/>
          </cell>
          <cell r="T835" t="str">
            <v/>
          </cell>
          <cell r="U835">
            <v>14900</v>
          </cell>
          <cell r="V835">
            <v>74227</v>
          </cell>
          <cell r="W835">
            <v>45740</v>
          </cell>
          <cell r="X835" t="str">
            <v>Lokasi Produksi 571B1 ( pecahan 571B )</v>
          </cell>
          <cell r="Z835">
            <v>0</v>
          </cell>
          <cell r="AA835">
            <v>45740</v>
          </cell>
          <cell r="AM835" t="str">
            <v>OK</v>
          </cell>
          <cell r="AO835">
            <v>8.4785184413580286</v>
          </cell>
          <cell r="AP835">
            <v>8.4785184413580286</v>
          </cell>
          <cell r="AQ835">
            <v>0</v>
          </cell>
          <cell r="AR835">
            <v>8.4785184413580286</v>
          </cell>
          <cell r="AS835">
            <v>0</v>
          </cell>
          <cell r="AT835">
            <v>45740</v>
          </cell>
          <cell r="AU835">
            <v>8.4785184413580286</v>
          </cell>
          <cell r="AV835">
            <v>254.35555324074085</v>
          </cell>
          <cell r="AW835">
            <v>8.4785184413580286</v>
          </cell>
          <cell r="AY835">
            <v>259.46369178241002</v>
          </cell>
          <cell r="AZ835" t="str">
            <v>F18</v>
          </cell>
          <cell r="BA835">
            <v>0</v>
          </cell>
          <cell r="BB835" t="str">
            <v>PSY2</v>
          </cell>
          <cell r="BC835" t="str">
            <v>F18</v>
          </cell>
        </row>
        <row r="836">
          <cell r="A836" t="str">
            <v>571B2A</v>
          </cell>
          <cell r="B836" t="str">
            <v>3</v>
          </cell>
          <cell r="C836" t="str">
            <v>06</v>
          </cell>
          <cell r="D836">
            <v>23</v>
          </cell>
          <cell r="E836" t="str">
            <v>571B2A</v>
          </cell>
          <cell r="F836">
            <v>4.5</v>
          </cell>
          <cell r="G836">
            <v>3.38</v>
          </cell>
          <cell r="H836">
            <v>3.38</v>
          </cell>
          <cell r="I836" t="str">
            <v>Y2</v>
          </cell>
          <cell r="J836" t="str">
            <v>FC</v>
          </cell>
          <cell r="K836">
            <v>0</v>
          </cell>
          <cell r="L836">
            <v>45740</v>
          </cell>
          <cell r="M836">
            <v>45740</v>
          </cell>
          <cell r="N836">
            <v>254</v>
          </cell>
          <cell r="O836" t="str">
            <v>PS</v>
          </cell>
          <cell r="P836" t="str">
            <v/>
          </cell>
          <cell r="Q836">
            <v>45740</v>
          </cell>
          <cell r="R836" t="str">
            <v/>
          </cell>
          <cell r="S836" t="str">
            <v/>
          </cell>
          <cell r="T836" t="str">
            <v/>
          </cell>
          <cell r="U836">
            <v>8312</v>
          </cell>
          <cell r="V836" t="str">
            <v/>
          </cell>
          <cell r="W836">
            <v>45740</v>
          </cell>
          <cell r="X836" t="str">
            <v>Lokasi Produksi 571B2A ( pecahan 571B2 )</v>
          </cell>
          <cell r="Z836">
            <v>0</v>
          </cell>
          <cell r="AA836">
            <v>45740</v>
          </cell>
          <cell r="AM836" t="str">
            <v>OK</v>
          </cell>
          <cell r="AO836">
            <v>8.4785184413580286</v>
          </cell>
          <cell r="AP836">
            <v>8.4785184413580286</v>
          </cell>
          <cell r="AQ836">
            <v>0</v>
          </cell>
          <cell r="AR836">
            <v>8.4785184413580286</v>
          </cell>
          <cell r="AS836">
            <v>0</v>
          </cell>
          <cell r="AT836">
            <v>45740</v>
          </cell>
          <cell r="AU836">
            <v>8.4785184413580286</v>
          </cell>
          <cell r="AV836">
            <v>254.35555324074085</v>
          </cell>
          <cell r="AW836">
            <v>8.4785184413580286</v>
          </cell>
          <cell r="AY836">
            <v>259.46369178241002</v>
          </cell>
          <cell r="AZ836" t="str">
            <v>F18</v>
          </cell>
          <cell r="BA836">
            <v>0</v>
          </cell>
          <cell r="BB836" t="str">
            <v>PSY2</v>
          </cell>
          <cell r="BC836" t="str">
            <v>F18</v>
          </cell>
        </row>
        <row r="837">
          <cell r="A837" t="str">
            <v>571B2B</v>
          </cell>
          <cell r="B837" t="str">
            <v>3</v>
          </cell>
          <cell r="C837" t="str">
            <v>06</v>
          </cell>
          <cell r="D837">
            <v>23</v>
          </cell>
          <cell r="E837" t="str">
            <v>571B2B</v>
          </cell>
          <cell r="F837">
            <v>10.029999999999999</v>
          </cell>
          <cell r="G837">
            <v>7.44</v>
          </cell>
          <cell r="H837">
            <v>7.44</v>
          </cell>
          <cell r="I837" t="str">
            <v>Y2</v>
          </cell>
          <cell r="J837" t="str">
            <v>FC</v>
          </cell>
          <cell r="K837">
            <v>0</v>
          </cell>
          <cell r="L837">
            <v>45740</v>
          </cell>
          <cell r="M837">
            <v>45740</v>
          </cell>
          <cell r="N837">
            <v>254</v>
          </cell>
          <cell r="O837" t="str">
            <v>PS</v>
          </cell>
          <cell r="P837" t="str">
            <v/>
          </cell>
          <cell r="Q837">
            <v>45740</v>
          </cell>
          <cell r="R837" t="str">
            <v/>
          </cell>
          <cell r="S837" t="str">
            <v/>
          </cell>
          <cell r="T837" t="str">
            <v/>
          </cell>
          <cell r="U837">
            <v>18280</v>
          </cell>
          <cell r="V837" t="str">
            <v/>
          </cell>
          <cell r="W837">
            <v>45740</v>
          </cell>
          <cell r="X837" t="str">
            <v>Lokasi Produksi 571B2B ( pecahan 571B2 )</v>
          </cell>
          <cell r="Z837">
            <v>0</v>
          </cell>
          <cell r="AA837">
            <v>45740</v>
          </cell>
          <cell r="AM837" t="str">
            <v>OK</v>
          </cell>
          <cell r="AO837">
            <v>8.4785184413580286</v>
          </cell>
          <cell r="AP837">
            <v>8.4785184413580286</v>
          </cell>
          <cell r="AQ837">
            <v>0</v>
          </cell>
          <cell r="AR837">
            <v>8.4785184413580286</v>
          </cell>
          <cell r="AS837">
            <v>0</v>
          </cell>
          <cell r="AT837">
            <v>45740</v>
          </cell>
          <cell r="AU837">
            <v>8.4785184413580286</v>
          </cell>
          <cell r="AV837">
            <v>254.35555324074085</v>
          </cell>
          <cell r="AW837">
            <v>8.4785184413580286</v>
          </cell>
          <cell r="AY837">
            <v>259.46369178241002</v>
          </cell>
          <cell r="AZ837" t="str">
            <v>F18</v>
          </cell>
          <cell r="BA837">
            <v>0</v>
          </cell>
          <cell r="BB837" t="str">
            <v>PSY2</v>
          </cell>
          <cell r="BC837" t="str">
            <v>F18</v>
          </cell>
        </row>
        <row r="838">
          <cell r="A838" t="str">
            <v>571C1</v>
          </cell>
          <cell r="B838" t="str">
            <v>3</v>
          </cell>
          <cell r="C838" t="str">
            <v>06</v>
          </cell>
          <cell r="D838">
            <v>23</v>
          </cell>
          <cell r="E838" t="str">
            <v>571C1</v>
          </cell>
          <cell r="F838">
            <v>9.6199999999999992</v>
          </cell>
          <cell r="G838">
            <v>6.93</v>
          </cell>
          <cell r="H838">
            <v>6.93</v>
          </cell>
          <cell r="I838" t="str">
            <v>Y2</v>
          </cell>
          <cell r="J838" t="str">
            <v>FC</v>
          </cell>
          <cell r="K838">
            <v>0</v>
          </cell>
          <cell r="L838">
            <v>45670</v>
          </cell>
          <cell r="M838">
            <v>45670</v>
          </cell>
          <cell r="N838">
            <v>324</v>
          </cell>
          <cell r="O838" t="str">
            <v>PS</v>
          </cell>
          <cell r="P838" t="str">
            <v/>
          </cell>
          <cell r="Q838">
            <v>45670</v>
          </cell>
          <cell r="R838" t="str">
            <v/>
          </cell>
          <cell r="S838" t="str">
            <v/>
          </cell>
          <cell r="T838" t="str">
            <v/>
          </cell>
          <cell r="U838">
            <v>16632</v>
          </cell>
          <cell r="V838" t="str">
            <v/>
          </cell>
          <cell r="W838">
            <v>45670</v>
          </cell>
          <cell r="X838" t="str">
            <v>Lokasi Produksi 571C1 ( pecahan 571C )</v>
          </cell>
          <cell r="Z838">
            <v>0</v>
          </cell>
          <cell r="AA838">
            <v>45670</v>
          </cell>
          <cell r="AM838" t="str">
            <v>OK</v>
          </cell>
          <cell r="AO838">
            <v>10.811851774691361</v>
          </cell>
          <cell r="AP838">
            <v>10.811851774691361</v>
          </cell>
          <cell r="AQ838">
            <v>0</v>
          </cell>
          <cell r="AR838">
            <v>10.811851774691361</v>
          </cell>
          <cell r="AS838">
            <v>0</v>
          </cell>
          <cell r="AT838">
            <v>45670</v>
          </cell>
          <cell r="AU838">
            <v>10.811851774691361</v>
          </cell>
          <cell r="AV838">
            <v>324.35555324074085</v>
          </cell>
          <cell r="AW838">
            <v>10.811851774691361</v>
          </cell>
          <cell r="AY838">
            <v>329.46369178241002</v>
          </cell>
          <cell r="AZ838" t="str">
            <v>F18</v>
          </cell>
          <cell r="BA838">
            <v>0</v>
          </cell>
          <cell r="BB838" t="str">
            <v>PSY2</v>
          </cell>
          <cell r="BC838" t="str">
            <v>F18</v>
          </cell>
        </row>
        <row r="839">
          <cell r="A839" t="str">
            <v>571C2</v>
          </cell>
          <cell r="B839" t="str">
            <v>3</v>
          </cell>
          <cell r="C839" t="str">
            <v>06</v>
          </cell>
          <cell r="D839">
            <v>23</v>
          </cell>
          <cell r="E839" t="str">
            <v>571C2</v>
          </cell>
          <cell r="F839">
            <v>8.02</v>
          </cell>
          <cell r="G839">
            <v>5.4</v>
          </cell>
          <cell r="H839">
            <v>5.4</v>
          </cell>
          <cell r="I839" t="str">
            <v>Y2</v>
          </cell>
          <cell r="J839" t="str">
            <v>FC</v>
          </cell>
          <cell r="K839">
            <v>0</v>
          </cell>
          <cell r="L839">
            <v>45670</v>
          </cell>
          <cell r="M839">
            <v>45670</v>
          </cell>
          <cell r="N839">
            <v>324</v>
          </cell>
          <cell r="O839" t="str">
            <v>PS</v>
          </cell>
          <cell r="P839" t="str">
            <v/>
          </cell>
          <cell r="Q839">
            <v>45670</v>
          </cell>
          <cell r="R839" t="str">
            <v/>
          </cell>
          <cell r="S839" t="str">
            <v/>
          </cell>
          <cell r="T839" t="str">
            <v/>
          </cell>
          <cell r="U839">
            <v>12960</v>
          </cell>
          <cell r="V839" t="str">
            <v/>
          </cell>
          <cell r="W839">
            <v>45670</v>
          </cell>
          <cell r="X839" t="str">
            <v>Lokasi Produksi 571C2 ( pecahan 571C )</v>
          </cell>
          <cell r="Z839">
            <v>0</v>
          </cell>
          <cell r="AA839">
            <v>45670</v>
          </cell>
          <cell r="AM839" t="str">
            <v>OK</v>
          </cell>
          <cell r="AO839">
            <v>10.811851774691361</v>
          </cell>
          <cell r="AP839">
            <v>10.811851774691361</v>
          </cell>
          <cell r="AQ839">
            <v>0</v>
          </cell>
          <cell r="AR839">
            <v>10.811851774691361</v>
          </cell>
          <cell r="AS839">
            <v>0</v>
          </cell>
          <cell r="AT839">
            <v>45670</v>
          </cell>
          <cell r="AU839">
            <v>10.811851774691361</v>
          </cell>
          <cell r="AV839">
            <v>324.35555324074085</v>
          </cell>
          <cell r="AW839">
            <v>10.811851774691361</v>
          </cell>
          <cell r="AY839">
            <v>329.46369178241002</v>
          </cell>
          <cell r="AZ839" t="str">
            <v>F18</v>
          </cell>
          <cell r="BA839">
            <v>0</v>
          </cell>
          <cell r="BB839" t="str">
            <v>PSY2</v>
          </cell>
          <cell r="BC839" t="str">
            <v>F18</v>
          </cell>
        </row>
        <row r="840">
          <cell r="A840" t="str">
            <v>571E</v>
          </cell>
          <cell r="B840" t="str">
            <v>3</v>
          </cell>
          <cell r="C840" t="str">
            <v>06</v>
          </cell>
          <cell r="D840">
            <v>23</v>
          </cell>
          <cell r="E840" t="str">
            <v>571E</v>
          </cell>
          <cell r="F840">
            <v>13.56</v>
          </cell>
          <cell r="G840">
            <v>11.24</v>
          </cell>
          <cell r="H840">
            <v>11.24</v>
          </cell>
          <cell r="I840" t="str">
            <v>FC</v>
          </cell>
          <cell r="J840" t="str">
            <v>ST</v>
          </cell>
          <cell r="K840">
            <v>14</v>
          </cell>
          <cell r="L840">
            <v>45622</v>
          </cell>
          <cell r="M840">
            <v>45622</v>
          </cell>
          <cell r="N840">
            <v>372</v>
          </cell>
          <cell r="O840" t="str">
            <v>NS</v>
          </cell>
          <cell r="P840" t="str">
            <v>NSF18CK3</v>
          </cell>
          <cell r="Q840">
            <v>46049</v>
          </cell>
          <cell r="R840" t="str">
            <v/>
          </cell>
          <cell r="S840" t="str">
            <v/>
          </cell>
          <cell r="T840" t="str">
            <v/>
          </cell>
          <cell r="U840">
            <v>63478</v>
          </cell>
          <cell r="V840">
            <v>63193</v>
          </cell>
          <cell r="W840">
            <v>43520</v>
          </cell>
          <cell r="X840" t="str">
            <v>Lokasi Produksi 571E</v>
          </cell>
          <cell r="Z840">
            <v>14</v>
          </cell>
          <cell r="AA840">
            <v>46049</v>
          </cell>
          <cell r="AM840" t="str">
            <v>OK</v>
          </cell>
          <cell r="AO840">
            <v>12.411851774691362</v>
          </cell>
          <cell r="AP840">
            <v>-1.5881482253086379</v>
          </cell>
          <cell r="AQ840">
            <v>0</v>
          </cell>
          <cell r="AR840">
            <v>12.411851774691362</v>
          </cell>
          <cell r="AS840">
            <v>0</v>
          </cell>
          <cell r="AT840">
            <v>46049</v>
          </cell>
          <cell r="AU840">
            <v>-1.5881482253086379</v>
          </cell>
          <cell r="AV840">
            <v>372.35555324074085</v>
          </cell>
          <cell r="AW840">
            <v>-1.5881482253086379</v>
          </cell>
          <cell r="AY840">
            <v>377.46369178241002</v>
          </cell>
          <cell r="AZ840" t="str">
            <v>F18</v>
          </cell>
          <cell r="BA840">
            <v>11.24</v>
          </cell>
          <cell r="BB840" t="str">
            <v>NSFC</v>
          </cell>
          <cell r="BC840" t="str">
            <v>F18CK</v>
          </cell>
        </row>
        <row r="841">
          <cell r="A841" t="str">
            <v>572A1</v>
          </cell>
          <cell r="B841" t="str">
            <v>3</v>
          </cell>
          <cell r="C841" t="str">
            <v>06</v>
          </cell>
          <cell r="D841">
            <v>23</v>
          </cell>
          <cell r="E841" t="str">
            <v>572A1</v>
          </cell>
          <cell r="F841">
            <v>10.1</v>
          </cell>
          <cell r="G841">
            <v>7.97</v>
          </cell>
          <cell r="H841">
            <v>7.97</v>
          </cell>
          <cell r="I841" t="str">
            <v>BK</v>
          </cell>
          <cell r="J841" t="str">
            <v>SC</v>
          </cell>
          <cell r="K841">
            <v>0</v>
          </cell>
          <cell r="L841">
            <v>45943</v>
          </cell>
          <cell r="M841">
            <v>45943</v>
          </cell>
          <cell r="N841">
            <v>51</v>
          </cell>
          <cell r="O841" t="str">
            <v>NS</v>
          </cell>
          <cell r="P841" t="str">
            <v/>
          </cell>
          <cell r="Q841">
            <v>45943</v>
          </cell>
          <cell r="R841" t="str">
            <v/>
          </cell>
          <cell r="S841" t="str">
            <v/>
          </cell>
          <cell r="T841" t="str">
            <v/>
          </cell>
          <cell r="U841">
            <v>70598</v>
          </cell>
          <cell r="V841">
            <v>52115</v>
          </cell>
          <cell r="W841">
            <v>43433</v>
          </cell>
          <cell r="X841" t="str">
            <v>Lokasi Produksi 572A1 ( Pecahan 572A )</v>
          </cell>
          <cell r="Z841">
            <v>0</v>
          </cell>
          <cell r="AA841">
            <v>45943</v>
          </cell>
          <cell r="AM841" t="str">
            <v>OK</v>
          </cell>
          <cell r="AO841">
            <v>1.7118517746913615</v>
          </cell>
          <cell r="AP841">
            <v>1.7118517746913615</v>
          </cell>
          <cell r="AQ841">
            <v>0</v>
          </cell>
          <cell r="AR841">
            <v>1.7118517746913615</v>
          </cell>
          <cell r="AS841">
            <v>0</v>
          </cell>
          <cell r="AT841">
            <v>45943</v>
          </cell>
          <cell r="AU841">
            <v>1.7118517746913615</v>
          </cell>
          <cell r="AV841">
            <v>51.355553240740846</v>
          </cell>
          <cell r="AW841">
            <v>1.7118517746913615</v>
          </cell>
          <cell r="AY841">
            <v>56.463691782410024</v>
          </cell>
          <cell r="AZ841" t="str">
            <v>F18</v>
          </cell>
          <cell r="BA841">
            <v>0</v>
          </cell>
          <cell r="BB841" t="str">
            <v>NSBK</v>
          </cell>
          <cell r="BC841" t="str">
            <v>F18</v>
          </cell>
        </row>
        <row r="842">
          <cell r="A842" t="str">
            <v>572A2</v>
          </cell>
          <cell r="B842" t="str">
            <v>3</v>
          </cell>
          <cell r="C842" t="str">
            <v>06</v>
          </cell>
          <cell r="D842">
            <v>23</v>
          </cell>
          <cell r="E842" t="str">
            <v>572A2</v>
          </cell>
          <cell r="F842">
            <v>14.4</v>
          </cell>
          <cell r="G842">
            <v>11.26</v>
          </cell>
          <cell r="H842">
            <v>11.26</v>
          </cell>
          <cell r="I842" t="str">
            <v>SC</v>
          </cell>
          <cell r="J842" t="str">
            <v>FC</v>
          </cell>
          <cell r="K842">
            <v>8</v>
          </cell>
          <cell r="L842">
            <v>45650</v>
          </cell>
          <cell r="M842">
            <v>45650</v>
          </cell>
          <cell r="N842">
            <v>344</v>
          </cell>
          <cell r="O842" t="str">
            <v>NS</v>
          </cell>
          <cell r="P842" t="str">
            <v/>
          </cell>
          <cell r="Q842">
            <v>45894</v>
          </cell>
          <cell r="R842" t="str">
            <v/>
          </cell>
          <cell r="S842" t="str">
            <v/>
          </cell>
          <cell r="T842">
            <v>45881</v>
          </cell>
          <cell r="U842">
            <v>68410</v>
          </cell>
          <cell r="V842">
            <v>52596</v>
          </cell>
          <cell r="W842">
            <v>44095</v>
          </cell>
          <cell r="X842" t="str">
            <v>Lokasi Produksi 572A2 ( Pecahan 572A )</v>
          </cell>
          <cell r="Z842">
            <v>8</v>
          </cell>
          <cell r="AA842">
            <v>45894</v>
          </cell>
          <cell r="AM842" t="str">
            <v>OK</v>
          </cell>
          <cell r="AO842">
            <v>11.478518441358029</v>
          </cell>
          <cell r="AP842">
            <v>3.4785184413580286</v>
          </cell>
          <cell r="AQ842">
            <v>45881</v>
          </cell>
          <cell r="AR842">
            <v>7.7</v>
          </cell>
          <cell r="AS842">
            <v>3.7785184413580284</v>
          </cell>
          <cell r="AT842">
            <v>45894</v>
          </cell>
          <cell r="AU842">
            <v>3.7785184413580284</v>
          </cell>
          <cell r="AV842">
            <v>231</v>
          </cell>
          <cell r="AW842">
            <v>3.7785184413580284</v>
          </cell>
          <cell r="AY842">
            <v>349.46369178241002</v>
          </cell>
          <cell r="AZ842" t="str">
            <v>F18</v>
          </cell>
          <cell r="BA842">
            <v>11.26</v>
          </cell>
          <cell r="BB842" t="str">
            <v>NSSC</v>
          </cell>
          <cell r="BC842" t="str">
            <v>F18</v>
          </cell>
        </row>
        <row r="843">
          <cell r="A843" t="str">
            <v>572B1</v>
          </cell>
          <cell r="B843" t="str">
            <v>3</v>
          </cell>
          <cell r="C843" t="str">
            <v>06</v>
          </cell>
          <cell r="D843">
            <v>23</v>
          </cell>
          <cell r="E843" t="str">
            <v>572B1</v>
          </cell>
          <cell r="F843">
            <v>3.92</v>
          </cell>
          <cell r="G843">
            <v>3.22</v>
          </cell>
          <cell r="H843">
            <v>3.22</v>
          </cell>
          <cell r="I843" t="str">
            <v>SC</v>
          </cell>
          <cell r="J843" t="str">
            <v>FC</v>
          </cell>
          <cell r="K843">
            <v>8</v>
          </cell>
          <cell r="L843">
            <v>45838</v>
          </cell>
          <cell r="M843">
            <v>45838</v>
          </cell>
          <cell r="N843">
            <v>156</v>
          </cell>
          <cell r="O843" t="str">
            <v>NS</v>
          </cell>
          <cell r="P843" t="str">
            <v/>
          </cell>
          <cell r="Q843">
            <v>46082</v>
          </cell>
          <cell r="R843" t="str">
            <v/>
          </cell>
          <cell r="S843" t="str">
            <v/>
          </cell>
          <cell r="T843" t="str">
            <v/>
          </cell>
          <cell r="U843">
            <v>69518</v>
          </cell>
          <cell r="V843">
            <v>70493</v>
          </cell>
          <cell r="W843">
            <v>45332</v>
          </cell>
          <cell r="X843" t="str">
            <v>Lokasi Produksi 572B1 ( pecahan 572B )</v>
          </cell>
          <cell r="Z843">
            <v>8</v>
          </cell>
          <cell r="AA843">
            <v>46082</v>
          </cell>
          <cell r="AM843" t="str">
            <v>OK</v>
          </cell>
          <cell r="AO843">
            <v>5.211851774691362</v>
          </cell>
          <cell r="AP843">
            <v>-2.788148225308638</v>
          </cell>
          <cell r="AQ843">
            <v>0</v>
          </cell>
          <cell r="AR843">
            <v>5.211851774691362</v>
          </cell>
          <cell r="AS843">
            <v>0</v>
          </cell>
          <cell r="AT843">
            <v>46082</v>
          </cell>
          <cell r="AU843">
            <v>-2.788148225308638</v>
          </cell>
          <cell r="AV843">
            <v>156.35555324074085</v>
          </cell>
          <cell r="AW843">
            <v>-2.788148225308638</v>
          </cell>
          <cell r="AY843">
            <v>161.46369178241002</v>
          </cell>
          <cell r="AZ843" t="str">
            <v>F18</v>
          </cell>
          <cell r="BA843">
            <v>3.22</v>
          </cell>
          <cell r="BB843" t="str">
            <v>NSSC</v>
          </cell>
          <cell r="BC843" t="str">
            <v>F18</v>
          </cell>
        </row>
        <row r="844">
          <cell r="A844" t="str">
            <v>572B2</v>
          </cell>
          <cell r="B844" t="str">
            <v>3</v>
          </cell>
          <cell r="C844" t="str">
            <v>06</v>
          </cell>
          <cell r="D844">
            <v>23</v>
          </cell>
          <cell r="E844" t="str">
            <v>572B2</v>
          </cell>
          <cell r="F844">
            <v>16.170000000000002</v>
          </cell>
          <cell r="G844">
            <v>13.07</v>
          </cell>
          <cell r="H844">
            <v>13.07</v>
          </cell>
          <cell r="I844" t="str">
            <v>BB</v>
          </cell>
          <cell r="J844" t="str">
            <v>FC</v>
          </cell>
          <cell r="K844">
            <v>0</v>
          </cell>
          <cell r="L844">
            <v>45936</v>
          </cell>
          <cell r="M844">
            <v>45936</v>
          </cell>
          <cell r="N844">
            <v>58</v>
          </cell>
          <cell r="O844" t="str">
            <v>NS</v>
          </cell>
          <cell r="P844" t="str">
            <v/>
          </cell>
          <cell r="Q844">
            <v>45936</v>
          </cell>
          <cell r="R844" t="str">
            <v/>
          </cell>
          <cell r="S844" t="str">
            <v/>
          </cell>
          <cell r="T844" t="str">
            <v/>
          </cell>
          <cell r="U844">
            <v>63785</v>
          </cell>
          <cell r="V844">
            <v>67085</v>
          </cell>
          <cell r="W844">
            <v>45332</v>
          </cell>
          <cell r="X844" t="str">
            <v>Lokasi Produksi 572B2 ( pecahan 572B )</v>
          </cell>
          <cell r="Z844">
            <v>0</v>
          </cell>
          <cell r="AA844">
            <v>45936</v>
          </cell>
          <cell r="AM844" t="str">
            <v>OK</v>
          </cell>
          <cell r="AO844">
            <v>1.9451851080246949</v>
          </cell>
          <cell r="AP844">
            <v>1.9451851080246949</v>
          </cell>
          <cell r="AQ844">
            <v>0</v>
          </cell>
          <cell r="AR844">
            <v>1.9451851080246949</v>
          </cell>
          <cell r="AS844">
            <v>0</v>
          </cell>
          <cell r="AT844">
            <v>45936</v>
          </cell>
          <cell r="AU844">
            <v>1.9451851080246949</v>
          </cell>
          <cell r="AV844">
            <v>58.355553240740846</v>
          </cell>
          <cell r="AW844">
            <v>1.9451851080246949</v>
          </cell>
          <cell r="AY844">
            <v>63.463691782410024</v>
          </cell>
          <cell r="AZ844" t="str">
            <v>F18</v>
          </cell>
          <cell r="BA844">
            <v>0</v>
          </cell>
          <cell r="BB844" t="str">
            <v>NSBB</v>
          </cell>
          <cell r="BC844" t="str">
            <v>F18</v>
          </cell>
        </row>
        <row r="845">
          <cell r="A845" t="str">
            <v>572C</v>
          </cell>
          <cell r="B845" t="str">
            <v>3</v>
          </cell>
          <cell r="C845" t="str">
            <v>06</v>
          </cell>
          <cell r="D845">
            <v>23</v>
          </cell>
          <cell r="E845" t="str">
            <v>572C</v>
          </cell>
          <cell r="F845">
            <v>16.03</v>
          </cell>
          <cell r="G845">
            <v>13.44</v>
          </cell>
          <cell r="H845">
            <v>13.44</v>
          </cell>
          <cell r="I845" t="str">
            <v>FC</v>
          </cell>
          <cell r="J845" t="str">
            <v>ST</v>
          </cell>
          <cell r="K845">
            <v>14</v>
          </cell>
          <cell r="L845">
            <v>45678</v>
          </cell>
          <cell r="M845">
            <v>45678</v>
          </cell>
          <cell r="N845">
            <v>316</v>
          </cell>
          <cell r="O845" t="str">
            <v>NS</v>
          </cell>
          <cell r="P845" t="str">
            <v>NSF18SK3</v>
          </cell>
          <cell r="Q845">
            <v>46105</v>
          </cell>
          <cell r="R845" t="str">
            <v/>
          </cell>
          <cell r="S845" t="str">
            <v/>
          </cell>
          <cell r="T845" t="str">
            <v/>
          </cell>
          <cell r="U845">
            <v>70532</v>
          </cell>
          <cell r="V845">
            <v>68803</v>
          </cell>
          <cell r="W845">
            <v>43592</v>
          </cell>
          <cell r="X845" t="str">
            <v>Lokasi Produksi 572C</v>
          </cell>
          <cell r="Z845">
            <v>14</v>
          </cell>
          <cell r="AA845">
            <v>46105</v>
          </cell>
          <cell r="AM845" t="str">
            <v>OK</v>
          </cell>
          <cell r="AO845">
            <v>10.545185108024695</v>
          </cell>
          <cell r="AP845">
            <v>-3.454814891975305</v>
          </cell>
          <cell r="AQ845">
            <v>0</v>
          </cell>
          <cell r="AR845">
            <v>10.545185108024695</v>
          </cell>
          <cell r="AS845">
            <v>0</v>
          </cell>
          <cell r="AT845">
            <v>46105</v>
          </cell>
          <cell r="AU845">
            <v>-3.454814891975305</v>
          </cell>
          <cell r="AV845">
            <v>316.35555324074085</v>
          </cell>
          <cell r="AW845">
            <v>-3.454814891975305</v>
          </cell>
          <cell r="AY845">
            <v>321.46369178241002</v>
          </cell>
          <cell r="AZ845" t="str">
            <v>F18</v>
          </cell>
          <cell r="BA845">
            <v>13.44</v>
          </cell>
          <cell r="BB845" t="str">
            <v>NSFC</v>
          </cell>
          <cell r="BC845" t="str">
            <v>F18SK</v>
          </cell>
        </row>
        <row r="846">
          <cell r="A846" t="str">
            <v>572D1</v>
          </cell>
          <cell r="B846" t="str">
            <v>3</v>
          </cell>
          <cell r="C846" t="str">
            <v>06</v>
          </cell>
          <cell r="D846">
            <v>23</v>
          </cell>
          <cell r="E846" t="str">
            <v>572D1</v>
          </cell>
          <cell r="F846">
            <v>10.07</v>
          </cell>
          <cell r="G846">
            <v>8.48</v>
          </cell>
          <cell r="H846">
            <v>8.48</v>
          </cell>
          <cell r="I846" t="str">
            <v>ST</v>
          </cell>
          <cell r="J846" t="str">
            <v>BK</v>
          </cell>
          <cell r="K846">
            <v>0</v>
          </cell>
          <cell r="L846">
            <v>45930</v>
          </cell>
          <cell r="M846">
            <v>45930</v>
          </cell>
          <cell r="N846">
            <v>64</v>
          </cell>
          <cell r="O846" t="str">
            <v>NS</v>
          </cell>
          <cell r="P846" t="str">
            <v/>
          </cell>
          <cell r="Q846">
            <v>45930</v>
          </cell>
          <cell r="R846" t="str">
            <v/>
          </cell>
          <cell r="S846" t="str">
            <v/>
          </cell>
          <cell r="T846" t="str">
            <v/>
          </cell>
          <cell r="U846">
            <v>70014</v>
          </cell>
          <cell r="V846">
            <v>52592</v>
          </cell>
          <cell r="W846">
            <v>43837</v>
          </cell>
          <cell r="X846" t="str">
            <v>Lokasi Produksi 572D1 ( pecahan 572D )</v>
          </cell>
          <cell r="Z846">
            <v>0</v>
          </cell>
          <cell r="AA846">
            <v>45930</v>
          </cell>
          <cell r="AM846" t="str">
            <v>OK</v>
          </cell>
          <cell r="AO846">
            <v>2.1451851080246951</v>
          </cell>
          <cell r="AP846">
            <v>2.1451851080246951</v>
          </cell>
          <cell r="AQ846">
            <v>0</v>
          </cell>
          <cell r="AR846">
            <v>2.1451851080246951</v>
          </cell>
          <cell r="AS846">
            <v>0</v>
          </cell>
          <cell r="AT846">
            <v>45930</v>
          </cell>
          <cell r="AU846">
            <v>2.1451851080246951</v>
          </cell>
          <cell r="AV846">
            <v>64.355553240740846</v>
          </cell>
          <cell r="AW846">
            <v>2.1451851080246951</v>
          </cell>
          <cell r="AY846">
            <v>69.463691782410024</v>
          </cell>
          <cell r="AZ846" t="str">
            <v>F18</v>
          </cell>
          <cell r="BA846">
            <v>0</v>
          </cell>
          <cell r="BB846" t="str">
            <v>NSST</v>
          </cell>
          <cell r="BC846" t="str">
            <v>F18</v>
          </cell>
        </row>
        <row r="847">
          <cell r="A847" t="str">
            <v>572D2A</v>
          </cell>
          <cell r="B847" t="str">
            <v>3</v>
          </cell>
          <cell r="C847" t="str">
            <v>06</v>
          </cell>
          <cell r="D847">
            <v>23</v>
          </cell>
          <cell r="E847" t="str">
            <v>572D2A</v>
          </cell>
          <cell r="F847">
            <v>6.37</v>
          </cell>
          <cell r="G847">
            <v>5.4</v>
          </cell>
          <cell r="H847">
            <v>5.4</v>
          </cell>
          <cell r="I847" t="str">
            <v>FC</v>
          </cell>
          <cell r="J847" t="str">
            <v>ST</v>
          </cell>
          <cell r="K847">
            <v>10</v>
          </cell>
          <cell r="L847">
            <v>45909</v>
          </cell>
          <cell r="M847">
            <v>45909</v>
          </cell>
          <cell r="N847">
            <v>85</v>
          </cell>
          <cell r="O847" t="str">
            <v>NS</v>
          </cell>
          <cell r="P847" t="str">
            <v>NSF18SB3</v>
          </cell>
          <cell r="Q847">
            <v>46214</v>
          </cell>
          <cell r="R847" t="str">
            <v/>
          </cell>
          <cell r="S847" t="str">
            <v/>
          </cell>
          <cell r="T847" t="str">
            <v/>
          </cell>
          <cell r="U847">
            <v>72198</v>
          </cell>
          <cell r="V847" t="str">
            <v/>
          </cell>
          <cell r="W847">
            <v>45702</v>
          </cell>
          <cell r="X847" t="str">
            <v>Lokasi Produksi 572D2A ( pecahan 572D2 )</v>
          </cell>
          <cell r="Z847">
            <v>10</v>
          </cell>
          <cell r="AA847">
            <v>46214</v>
          </cell>
          <cell r="AM847" t="str">
            <v>OK</v>
          </cell>
          <cell r="AO847">
            <v>2.8451851080246948</v>
          </cell>
          <cell r="AP847">
            <v>-7.1548148919753052</v>
          </cell>
          <cell r="AQ847">
            <v>0</v>
          </cell>
          <cell r="AR847">
            <v>2.8451851080246948</v>
          </cell>
          <cell r="AS847">
            <v>0</v>
          </cell>
          <cell r="AT847">
            <v>46214</v>
          </cell>
          <cell r="AU847">
            <v>-7.1548148919753052</v>
          </cell>
          <cell r="AV847">
            <v>85.355553240740846</v>
          </cell>
          <cell r="AW847">
            <v>-7.1548148919753052</v>
          </cell>
          <cell r="AY847">
            <v>90.463691782410024</v>
          </cell>
          <cell r="AZ847" t="str">
            <v>F18</v>
          </cell>
          <cell r="BA847">
            <v>5.4</v>
          </cell>
          <cell r="BB847" t="str">
            <v>NSFC</v>
          </cell>
          <cell r="BC847" t="str">
            <v>F18SB</v>
          </cell>
        </row>
        <row r="848">
          <cell r="A848" t="str">
            <v>572D2B</v>
          </cell>
          <cell r="B848" t="str">
            <v>3</v>
          </cell>
          <cell r="C848" t="str">
            <v>06</v>
          </cell>
          <cell r="D848">
            <v>23</v>
          </cell>
          <cell r="E848" t="str">
            <v>572D2B</v>
          </cell>
          <cell r="F848">
            <v>7.62</v>
          </cell>
          <cell r="G848">
            <v>6.41</v>
          </cell>
          <cell r="H848">
            <v>6.41</v>
          </cell>
          <cell r="I848" t="str">
            <v>FC</v>
          </cell>
          <cell r="J848" t="str">
            <v>ST</v>
          </cell>
          <cell r="K848">
            <v>12</v>
          </cell>
          <cell r="L848">
            <v>45906</v>
          </cell>
          <cell r="M848">
            <v>45906</v>
          </cell>
          <cell r="N848">
            <v>88</v>
          </cell>
          <cell r="O848" t="str">
            <v>NS</v>
          </cell>
          <cell r="P848" t="str">
            <v>NSF18SS3</v>
          </cell>
          <cell r="Q848">
            <v>46272</v>
          </cell>
          <cell r="R848" t="str">
            <v/>
          </cell>
          <cell r="S848" t="str">
            <v/>
          </cell>
          <cell r="T848" t="str">
            <v/>
          </cell>
          <cell r="U848">
            <v>72625</v>
          </cell>
          <cell r="V848" t="str">
            <v/>
          </cell>
          <cell r="W848">
            <v>45787</v>
          </cell>
          <cell r="X848" t="str">
            <v>Lokasi Produksi 572D2B ( pecahan 572D2 )</v>
          </cell>
          <cell r="Z848">
            <v>12</v>
          </cell>
          <cell r="AA848">
            <v>46272</v>
          </cell>
          <cell r="AM848" t="str">
            <v>OK</v>
          </cell>
          <cell r="AO848">
            <v>2.9451851080246949</v>
          </cell>
          <cell r="AP848">
            <v>-9.0548148919753046</v>
          </cell>
          <cell r="AQ848">
            <v>0</v>
          </cell>
          <cell r="AR848">
            <v>2.9451851080246949</v>
          </cell>
          <cell r="AS848">
            <v>0</v>
          </cell>
          <cell r="AT848">
            <v>46272</v>
          </cell>
          <cell r="AU848">
            <v>-9.0548148919753046</v>
          </cell>
          <cell r="AV848">
            <v>88.355553240740846</v>
          </cell>
          <cell r="AW848">
            <v>-9.0548148919753046</v>
          </cell>
          <cell r="AY848">
            <v>93.463691782410024</v>
          </cell>
          <cell r="AZ848" t="str">
            <v>F18</v>
          </cell>
          <cell r="BA848">
            <v>6.41</v>
          </cell>
          <cell r="BB848" t="str">
            <v>NSFC</v>
          </cell>
          <cell r="BC848" t="str">
            <v>F18SS</v>
          </cell>
        </row>
        <row r="849">
          <cell r="A849" t="str">
            <v>572E</v>
          </cell>
          <cell r="B849" t="str">
            <v>3</v>
          </cell>
          <cell r="C849" t="str">
            <v>06</v>
          </cell>
          <cell r="D849">
            <v>23</v>
          </cell>
          <cell r="E849" t="str">
            <v>572E</v>
          </cell>
          <cell r="F849">
            <v>9.73</v>
          </cell>
          <cell r="G849">
            <v>7.57</v>
          </cell>
          <cell r="H849">
            <v>7.57</v>
          </cell>
          <cell r="I849" t="str">
            <v>BK</v>
          </cell>
          <cell r="J849" t="str">
            <v>BB</v>
          </cell>
          <cell r="K849">
            <v>0</v>
          </cell>
          <cell r="L849">
            <v>45992</v>
          </cell>
          <cell r="M849">
            <v>45992</v>
          </cell>
          <cell r="N849">
            <v>2</v>
          </cell>
          <cell r="O849" t="str">
            <v>NS</v>
          </cell>
          <cell r="P849" t="str">
            <v/>
          </cell>
          <cell r="Q849">
            <v>45992</v>
          </cell>
          <cell r="R849" t="str">
            <v/>
          </cell>
          <cell r="S849" t="str">
            <v/>
          </cell>
          <cell r="T849" t="str">
            <v/>
          </cell>
          <cell r="U849">
            <v>69672</v>
          </cell>
          <cell r="V849">
            <v>73442</v>
          </cell>
          <cell r="W849">
            <v>43837</v>
          </cell>
          <cell r="X849" t="str">
            <v>Lokasi Produksi 572E</v>
          </cell>
          <cell r="Z849">
            <v>0</v>
          </cell>
          <cell r="AA849">
            <v>45992</v>
          </cell>
          <cell r="AM849" t="str">
            <v>OK</v>
          </cell>
          <cell r="AO849">
            <v>7.8518441358028213E-2</v>
          </cell>
          <cell r="AP849">
            <v>7.8518441358028213E-2</v>
          </cell>
          <cell r="AQ849">
            <v>0</v>
          </cell>
          <cell r="AR849">
            <v>7.8518441358028213E-2</v>
          </cell>
          <cell r="AS849">
            <v>0</v>
          </cell>
          <cell r="AT849">
            <v>45992</v>
          </cell>
          <cell r="AU849">
            <v>7.8518441358028213E-2</v>
          </cell>
          <cell r="AV849">
            <v>2.3555532407408464</v>
          </cell>
          <cell r="AW849">
            <v>7.8518441358028213E-2</v>
          </cell>
          <cell r="AY849">
            <v>7.4636917824100237</v>
          </cell>
          <cell r="AZ849" t="str">
            <v>F18</v>
          </cell>
          <cell r="BA849">
            <v>0</v>
          </cell>
          <cell r="BB849" t="str">
            <v>NSBK</v>
          </cell>
          <cell r="BC849" t="str">
            <v>F18</v>
          </cell>
        </row>
        <row r="850">
          <cell r="A850" t="str">
            <v>572F1</v>
          </cell>
          <cell r="B850" t="str">
            <v>3</v>
          </cell>
          <cell r="C850" t="str">
            <v>06</v>
          </cell>
          <cell r="D850">
            <v>23</v>
          </cell>
          <cell r="E850" t="str">
            <v>572F1</v>
          </cell>
          <cell r="F850">
            <v>5.73</v>
          </cell>
          <cell r="G850">
            <v>4.2699999999999996</v>
          </cell>
          <cell r="H850">
            <v>4.2699999999999996</v>
          </cell>
          <cell r="I850" t="str">
            <v>Y2</v>
          </cell>
          <cell r="J850" t="str">
            <v>Y1</v>
          </cell>
          <cell r="K850">
            <v>0</v>
          </cell>
          <cell r="L850">
            <v>45777</v>
          </cell>
          <cell r="M850">
            <v>45777</v>
          </cell>
          <cell r="N850">
            <v>217</v>
          </cell>
          <cell r="O850" t="str">
            <v>PS</v>
          </cell>
          <cell r="P850" t="str">
            <v/>
          </cell>
          <cell r="Q850">
            <v>45777</v>
          </cell>
          <cell r="R850" t="str">
            <v/>
          </cell>
          <cell r="S850" t="str">
            <v/>
          </cell>
          <cell r="T850" t="str">
            <v/>
          </cell>
          <cell r="U850">
            <v>11665</v>
          </cell>
          <cell r="V850" t="str">
            <v/>
          </cell>
          <cell r="W850">
            <v>45777</v>
          </cell>
          <cell r="X850" t="str">
            <v>Lokasi Produksi 572F1 ( pecahan 572F )</v>
          </cell>
          <cell r="Z850">
            <v>0</v>
          </cell>
          <cell r="AA850">
            <v>45777</v>
          </cell>
          <cell r="AM850" t="str">
            <v>OK</v>
          </cell>
          <cell r="AO850">
            <v>7.2451851080246952</v>
          </cell>
          <cell r="AP850">
            <v>7.2451851080246952</v>
          </cell>
          <cell r="AQ850">
            <v>0</v>
          </cell>
          <cell r="AR850">
            <v>7.2451851080246952</v>
          </cell>
          <cell r="AS850">
            <v>0</v>
          </cell>
          <cell r="AT850">
            <v>45777</v>
          </cell>
          <cell r="AU850">
            <v>7.2451851080246952</v>
          </cell>
          <cell r="AV850">
            <v>217.35555324074085</v>
          </cell>
          <cell r="AW850">
            <v>7.2451851080246952</v>
          </cell>
          <cell r="AY850">
            <v>222.46369178241002</v>
          </cell>
          <cell r="AZ850" t="str">
            <v>F18</v>
          </cell>
          <cell r="BA850">
            <v>0</v>
          </cell>
          <cell r="BB850" t="str">
            <v>PSY2</v>
          </cell>
          <cell r="BC850" t="str">
            <v>F18</v>
          </cell>
        </row>
        <row r="851">
          <cell r="A851" t="str">
            <v>572F2</v>
          </cell>
          <cell r="B851" t="str">
            <v>3</v>
          </cell>
          <cell r="C851" t="str">
            <v>06</v>
          </cell>
          <cell r="D851">
            <v>23</v>
          </cell>
          <cell r="E851" t="str">
            <v>572F2</v>
          </cell>
          <cell r="F851">
            <v>6.41</v>
          </cell>
          <cell r="G851">
            <v>4.72</v>
          </cell>
          <cell r="H851">
            <v>4.72</v>
          </cell>
          <cell r="I851" t="str">
            <v>Y2</v>
          </cell>
          <cell r="J851" t="str">
            <v>Y1</v>
          </cell>
          <cell r="K851">
            <v>0</v>
          </cell>
          <cell r="L851">
            <v>45777</v>
          </cell>
          <cell r="M851">
            <v>45777</v>
          </cell>
          <cell r="N851">
            <v>217</v>
          </cell>
          <cell r="O851" t="str">
            <v>PS</v>
          </cell>
          <cell r="P851" t="str">
            <v/>
          </cell>
          <cell r="Q851">
            <v>45777</v>
          </cell>
          <cell r="R851" t="str">
            <v/>
          </cell>
          <cell r="S851" t="str">
            <v/>
          </cell>
          <cell r="T851" t="str">
            <v/>
          </cell>
          <cell r="U851">
            <v>12998</v>
          </cell>
          <cell r="V851" t="str">
            <v/>
          </cell>
          <cell r="W851">
            <v>45777</v>
          </cell>
          <cell r="X851" t="str">
            <v>Lokasi Produksi 572F2 ( pecahan 572F )</v>
          </cell>
          <cell r="Z851">
            <v>0</v>
          </cell>
          <cell r="AA851">
            <v>45777</v>
          </cell>
          <cell r="AM851" t="str">
            <v>OK</v>
          </cell>
          <cell r="AO851">
            <v>7.2451851080246952</v>
          </cell>
          <cell r="AP851">
            <v>7.2451851080246952</v>
          </cell>
          <cell r="AQ851">
            <v>0</v>
          </cell>
          <cell r="AR851">
            <v>7.2451851080246952</v>
          </cell>
          <cell r="AS851">
            <v>0</v>
          </cell>
          <cell r="AT851">
            <v>45777</v>
          </cell>
          <cell r="AU851">
            <v>7.2451851080246952</v>
          </cell>
          <cell r="AV851">
            <v>217.35555324074085</v>
          </cell>
          <cell r="AW851">
            <v>7.2451851080246952</v>
          </cell>
          <cell r="AY851">
            <v>222.46369178241002</v>
          </cell>
          <cell r="AZ851" t="str">
            <v>F18</v>
          </cell>
          <cell r="BA851">
            <v>0</v>
          </cell>
          <cell r="BB851" t="str">
            <v>PSY2</v>
          </cell>
          <cell r="BC851" t="str">
            <v>F18</v>
          </cell>
        </row>
        <row r="852">
          <cell r="A852" t="str">
            <v>573A1</v>
          </cell>
          <cell r="B852" t="str">
            <v>3</v>
          </cell>
          <cell r="C852" t="str">
            <v>06</v>
          </cell>
          <cell r="D852">
            <v>23</v>
          </cell>
          <cell r="E852" t="str">
            <v>573A1</v>
          </cell>
          <cell r="F852">
            <v>11.41</v>
          </cell>
          <cell r="G852">
            <v>9.5500000000000007</v>
          </cell>
          <cell r="H852">
            <v>9.5500000000000007</v>
          </cell>
          <cell r="I852" t="str">
            <v>FC</v>
          </cell>
          <cell r="J852" t="str">
            <v>ST</v>
          </cell>
          <cell r="K852">
            <v>14</v>
          </cell>
          <cell r="L852">
            <v>45638</v>
          </cell>
          <cell r="M852">
            <v>45638</v>
          </cell>
          <cell r="N852">
            <v>356</v>
          </cell>
          <cell r="O852" t="str">
            <v>NS</v>
          </cell>
          <cell r="P852" t="str">
            <v>NSF18CK3</v>
          </cell>
          <cell r="Q852">
            <v>46065</v>
          </cell>
          <cell r="R852" t="str">
            <v/>
          </cell>
          <cell r="S852" t="str">
            <v/>
          </cell>
          <cell r="T852" t="str">
            <v/>
          </cell>
          <cell r="U852">
            <v>64923</v>
          </cell>
          <cell r="V852">
            <v>65422</v>
          </cell>
          <cell r="W852">
            <v>44470</v>
          </cell>
          <cell r="X852" t="str">
            <v>Lokasi Produksi 573A1 ( pecahan 573A )</v>
          </cell>
          <cell r="Z852">
            <v>14</v>
          </cell>
          <cell r="AA852">
            <v>46065</v>
          </cell>
          <cell r="AM852" t="str">
            <v>OK</v>
          </cell>
          <cell r="AO852">
            <v>11.878518441358029</v>
          </cell>
          <cell r="AP852">
            <v>-2.1214815586419711</v>
          </cell>
          <cell r="AQ852">
            <v>0</v>
          </cell>
          <cell r="AR852">
            <v>11.878518441358029</v>
          </cell>
          <cell r="AS852">
            <v>0</v>
          </cell>
          <cell r="AT852">
            <v>46065</v>
          </cell>
          <cell r="AU852">
            <v>-2.1214815586419711</v>
          </cell>
          <cell r="AV852">
            <v>356.35555324074085</v>
          </cell>
          <cell r="AW852">
            <v>-2.1214815586419711</v>
          </cell>
          <cell r="AY852">
            <v>361.46369178241002</v>
          </cell>
          <cell r="AZ852" t="str">
            <v>F18</v>
          </cell>
          <cell r="BA852">
            <v>9.5500000000000007</v>
          </cell>
          <cell r="BB852" t="str">
            <v>NSFC</v>
          </cell>
          <cell r="BC852" t="str">
            <v>F18CK</v>
          </cell>
        </row>
        <row r="853">
          <cell r="A853" t="str">
            <v>573A2A</v>
          </cell>
          <cell r="B853" t="str">
            <v>3</v>
          </cell>
          <cell r="C853" t="str">
            <v>06</v>
          </cell>
          <cell r="D853">
            <v>23</v>
          </cell>
          <cell r="E853" t="str">
            <v>573A2A</v>
          </cell>
          <cell r="F853">
            <v>1.55</v>
          </cell>
          <cell r="G853">
            <v>1.26</v>
          </cell>
          <cell r="H853">
            <v>1.26</v>
          </cell>
          <cell r="I853" t="str">
            <v>Y1</v>
          </cell>
          <cell r="J853" t="str">
            <v>TU</v>
          </cell>
          <cell r="K853">
            <v>0</v>
          </cell>
          <cell r="L853">
            <v>45653</v>
          </cell>
          <cell r="M853">
            <v>45653</v>
          </cell>
          <cell r="N853">
            <v>341</v>
          </cell>
          <cell r="O853" t="str">
            <v>PS</v>
          </cell>
          <cell r="P853" t="str">
            <v/>
          </cell>
          <cell r="Q853">
            <v>45653</v>
          </cell>
          <cell r="R853" t="str">
            <v/>
          </cell>
          <cell r="S853" t="str">
            <v/>
          </cell>
          <cell r="T853" t="str">
            <v/>
          </cell>
          <cell r="U853">
            <v>3184</v>
          </cell>
          <cell r="V853" t="str">
            <v/>
          </cell>
          <cell r="W853" t="str">
            <v/>
          </cell>
          <cell r="X853" t="str">
            <v>Lokasi Produksi 573A2A ( pecahan 573A2 )</v>
          </cell>
          <cell r="Z853">
            <v>0</v>
          </cell>
          <cell r="AA853">
            <v>45653</v>
          </cell>
          <cell r="AM853" t="str">
            <v>OK</v>
          </cell>
          <cell r="AO853">
            <v>11.378518441358029</v>
          </cell>
          <cell r="AP853">
            <v>11.378518441358029</v>
          </cell>
          <cell r="AQ853">
            <v>0</v>
          </cell>
          <cell r="AR853">
            <v>11.378518441358029</v>
          </cell>
          <cell r="AS853">
            <v>0</v>
          </cell>
          <cell r="AT853">
            <v>45653</v>
          </cell>
          <cell r="AU853">
            <v>11.378518441358029</v>
          </cell>
          <cell r="AV853">
            <v>341.35555324074085</v>
          </cell>
          <cell r="AW853">
            <v>11.378518441358029</v>
          </cell>
          <cell r="AY853">
            <v>346.46369178241002</v>
          </cell>
          <cell r="AZ853" t="str">
            <v>F18</v>
          </cell>
          <cell r="BA853">
            <v>0</v>
          </cell>
          <cell r="BB853" t="str">
            <v>PSY1</v>
          </cell>
          <cell r="BC853" t="str">
            <v>F18</v>
          </cell>
        </row>
        <row r="854">
          <cell r="A854" t="str">
            <v>573A2B</v>
          </cell>
          <cell r="B854" t="str">
            <v>3</v>
          </cell>
          <cell r="C854" t="str">
            <v>06</v>
          </cell>
          <cell r="D854">
            <v>23</v>
          </cell>
          <cell r="E854" t="str">
            <v>573A2B</v>
          </cell>
          <cell r="F854">
            <v>7.7</v>
          </cell>
          <cell r="G854">
            <v>5.91</v>
          </cell>
          <cell r="H854">
            <v>5.91</v>
          </cell>
          <cell r="I854" t="str">
            <v>Y1</v>
          </cell>
          <cell r="J854" t="str">
            <v>TU</v>
          </cell>
          <cell r="K854">
            <v>0</v>
          </cell>
          <cell r="L854">
            <v>45663</v>
          </cell>
          <cell r="M854">
            <v>45663</v>
          </cell>
          <cell r="N854">
            <v>331</v>
          </cell>
          <cell r="O854" t="str">
            <v>PS</v>
          </cell>
          <cell r="P854" t="str">
            <v/>
          </cell>
          <cell r="Q854">
            <v>45663</v>
          </cell>
          <cell r="R854" t="str">
            <v/>
          </cell>
          <cell r="S854" t="str">
            <v/>
          </cell>
          <cell r="T854" t="str">
            <v/>
          </cell>
          <cell r="U854">
            <v>16287</v>
          </cell>
          <cell r="V854" t="str">
            <v/>
          </cell>
          <cell r="W854" t="str">
            <v/>
          </cell>
          <cell r="X854" t="str">
            <v>Lokasi Produksi 573A2B ( pecahan 573A2 )</v>
          </cell>
          <cell r="Z854">
            <v>0</v>
          </cell>
          <cell r="AA854">
            <v>45663</v>
          </cell>
          <cell r="AM854" t="str">
            <v>OK</v>
          </cell>
          <cell r="AO854">
            <v>11.045185108024695</v>
          </cell>
          <cell r="AP854">
            <v>11.045185108024695</v>
          </cell>
          <cell r="AQ854">
            <v>0</v>
          </cell>
          <cell r="AR854">
            <v>11.045185108024695</v>
          </cell>
          <cell r="AS854">
            <v>0</v>
          </cell>
          <cell r="AT854">
            <v>45663</v>
          </cell>
          <cell r="AU854">
            <v>11.045185108024695</v>
          </cell>
          <cell r="AV854">
            <v>331.35555324074085</v>
          </cell>
          <cell r="AW854">
            <v>11.045185108024695</v>
          </cell>
          <cell r="AY854">
            <v>336.46369178241002</v>
          </cell>
          <cell r="AZ854" t="str">
            <v>F18</v>
          </cell>
          <cell r="BA854">
            <v>0</v>
          </cell>
          <cell r="BB854" t="str">
            <v>PSY1</v>
          </cell>
          <cell r="BC854" t="str">
            <v>F18</v>
          </cell>
        </row>
        <row r="855">
          <cell r="A855" t="str">
            <v>573B1</v>
          </cell>
          <cell r="B855" t="str">
            <v>3</v>
          </cell>
          <cell r="C855" t="str">
            <v>06</v>
          </cell>
          <cell r="D855">
            <v>23</v>
          </cell>
          <cell r="E855" t="str">
            <v>573B1</v>
          </cell>
          <cell r="F855">
            <v>11.82</v>
          </cell>
          <cell r="G855">
            <v>10</v>
          </cell>
          <cell r="H855">
            <v>10</v>
          </cell>
          <cell r="I855" t="str">
            <v>FC</v>
          </cell>
          <cell r="J855" t="str">
            <v>ST</v>
          </cell>
          <cell r="K855">
            <v>14</v>
          </cell>
          <cell r="L855">
            <v>45643</v>
          </cell>
          <cell r="M855">
            <v>45643</v>
          </cell>
          <cell r="N855">
            <v>351</v>
          </cell>
          <cell r="O855" t="str">
            <v>NS</v>
          </cell>
          <cell r="P855" t="str">
            <v>NSF18CK3</v>
          </cell>
          <cell r="Q855">
            <v>46070</v>
          </cell>
          <cell r="R855" t="str">
            <v/>
          </cell>
          <cell r="S855" t="str">
            <v/>
          </cell>
          <cell r="T855" t="str">
            <v/>
          </cell>
          <cell r="U855">
            <v>66177</v>
          </cell>
          <cell r="V855">
            <v>63489</v>
          </cell>
          <cell r="W855" t="str">
            <v/>
          </cell>
          <cell r="X855" t="str">
            <v>Lokasi Produksi 573B1 ( pecahan 573B )</v>
          </cell>
          <cell r="Z855">
            <v>14</v>
          </cell>
          <cell r="AA855">
            <v>46070</v>
          </cell>
          <cell r="AM855" t="str">
            <v>OK</v>
          </cell>
          <cell r="AO855">
            <v>11.711851774691361</v>
          </cell>
          <cell r="AP855">
            <v>-2.2881482253086389</v>
          </cell>
          <cell r="AQ855">
            <v>0</v>
          </cell>
          <cell r="AR855">
            <v>11.711851774691361</v>
          </cell>
          <cell r="AS855">
            <v>0</v>
          </cell>
          <cell r="AT855">
            <v>46070</v>
          </cell>
          <cell r="AU855">
            <v>-2.2881482253086389</v>
          </cell>
          <cell r="AV855">
            <v>351.35555324074085</v>
          </cell>
          <cell r="AW855">
            <v>-2.2881482253086389</v>
          </cell>
          <cell r="AY855">
            <v>356.46369178241002</v>
          </cell>
          <cell r="AZ855" t="str">
            <v>F18</v>
          </cell>
          <cell r="BA855">
            <v>10</v>
          </cell>
          <cell r="BB855" t="str">
            <v>NSFC</v>
          </cell>
          <cell r="BC855" t="str">
            <v>F18CK</v>
          </cell>
        </row>
        <row r="856">
          <cell r="A856" t="str">
            <v>573B2</v>
          </cell>
          <cell r="B856" t="str">
            <v>3</v>
          </cell>
          <cell r="C856" t="str">
            <v>06</v>
          </cell>
          <cell r="D856">
            <v>23</v>
          </cell>
          <cell r="E856" t="str">
            <v>573B2</v>
          </cell>
          <cell r="F856">
            <v>10.23</v>
          </cell>
          <cell r="G856">
            <v>8.6300000000000008</v>
          </cell>
          <cell r="H856">
            <v>8.6300000000000008</v>
          </cell>
          <cell r="I856" t="str">
            <v>FC</v>
          </cell>
          <cell r="J856" t="str">
            <v>ST</v>
          </cell>
          <cell r="K856">
            <v>14</v>
          </cell>
          <cell r="L856">
            <v>45652</v>
          </cell>
          <cell r="M856">
            <v>45652</v>
          </cell>
          <cell r="N856">
            <v>342</v>
          </cell>
          <cell r="O856" t="str">
            <v>NS</v>
          </cell>
          <cell r="P856" t="str">
            <v>NSF18CK3</v>
          </cell>
          <cell r="Q856">
            <v>46079</v>
          </cell>
          <cell r="R856" t="str">
            <v/>
          </cell>
          <cell r="S856" t="str">
            <v/>
          </cell>
          <cell r="T856" t="str">
            <v/>
          </cell>
          <cell r="U856">
            <v>65739</v>
          </cell>
          <cell r="V856">
            <v>60924</v>
          </cell>
          <cell r="W856">
            <v>44250</v>
          </cell>
          <cell r="X856" t="str">
            <v>Lokasi Produksi 573B2 ( pecahan 573B )</v>
          </cell>
          <cell r="Z856">
            <v>14</v>
          </cell>
          <cell r="AA856">
            <v>46079</v>
          </cell>
          <cell r="AM856" t="str">
            <v>OK</v>
          </cell>
          <cell r="AO856">
            <v>11.411851774691362</v>
          </cell>
          <cell r="AP856">
            <v>-2.5881482253086379</v>
          </cell>
          <cell r="AQ856">
            <v>0</v>
          </cell>
          <cell r="AR856">
            <v>11.411851774691362</v>
          </cell>
          <cell r="AS856">
            <v>0</v>
          </cell>
          <cell r="AT856">
            <v>46079</v>
          </cell>
          <cell r="AU856">
            <v>-2.5881482253086379</v>
          </cell>
          <cell r="AV856">
            <v>342.35555324074085</v>
          </cell>
          <cell r="AW856">
            <v>-2.5881482253086379</v>
          </cell>
          <cell r="AY856">
            <v>347.46369178241002</v>
          </cell>
          <cell r="AZ856" t="str">
            <v>F18</v>
          </cell>
          <cell r="BA856">
            <v>8.6300000000000008</v>
          </cell>
          <cell r="BB856" t="str">
            <v>NSFC</v>
          </cell>
          <cell r="BC856" t="str">
            <v>F18CK</v>
          </cell>
        </row>
        <row r="857">
          <cell r="A857" t="str">
            <v>573C1</v>
          </cell>
          <cell r="B857" t="str">
            <v>3</v>
          </cell>
          <cell r="C857" t="str">
            <v>06</v>
          </cell>
          <cell r="D857">
            <v>23</v>
          </cell>
          <cell r="E857" t="str">
            <v>573C1</v>
          </cell>
          <cell r="F857">
            <v>9.51</v>
          </cell>
          <cell r="G857">
            <v>7.15</v>
          </cell>
          <cell r="H857">
            <v>7.15</v>
          </cell>
          <cell r="I857" t="str">
            <v>BK</v>
          </cell>
          <cell r="J857" t="str">
            <v/>
          </cell>
          <cell r="K857">
            <v>0</v>
          </cell>
          <cell r="L857">
            <v>45873</v>
          </cell>
          <cell r="M857">
            <v>45873</v>
          </cell>
          <cell r="N857">
            <v>121</v>
          </cell>
          <cell r="O857" t="str">
            <v>NS</v>
          </cell>
          <cell r="P857" t="str">
            <v/>
          </cell>
          <cell r="Q857">
            <v>45873</v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>
            <v>45930</v>
          </cell>
          <cell r="X857" t="str">
            <v>Lokasi Produksi 573C1 ( pecahan 573C )</v>
          </cell>
          <cell r="Z857">
            <v>0</v>
          </cell>
          <cell r="AA857">
            <v>45873</v>
          </cell>
          <cell r="AM857" t="str">
            <v>OK</v>
          </cell>
          <cell r="AO857">
            <v>4.045185108024695</v>
          </cell>
          <cell r="AP857">
            <v>4.045185108024695</v>
          </cell>
          <cell r="AQ857">
            <v>0</v>
          </cell>
          <cell r="AR857">
            <v>4.045185108024695</v>
          </cell>
          <cell r="AS857">
            <v>0</v>
          </cell>
          <cell r="AT857">
            <v>45873</v>
          </cell>
          <cell r="AU857">
            <v>4.045185108024695</v>
          </cell>
          <cell r="AV857">
            <v>121.35555324074085</v>
          </cell>
          <cell r="AW857">
            <v>4.045185108024695</v>
          </cell>
          <cell r="AY857">
            <v>126.46369178241002</v>
          </cell>
          <cell r="AZ857" t="str">
            <v>F18</v>
          </cell>
          <cell r="BA857">
            <v>0</v>
          </cell>
          <cell r="BB857" t="str">
            <v>NSBK</v>
          </cell>
          <cell r="BC857" t="str">
            <v>F18</v>
          </cell>
        </row>
        <row r="858">
          <cell r="A858" t="str">
            <v>573C2</v>
          </cell>
          <cell r="B858" t="str">
            <v>3</v>
          </cell>
          <cell r="C858" t="str">
            <v>06</v>
          </cell>
          <cell r="D858">
            <v>23</v>
          </cell>
          <cell r="E858" t="str">
            <v>573C2</v>
          </cell>
          <cell r="F858">
            <v>6.69</v>
          </cell>
          <cell r="G858">
            <v>5.46</v>
          </cell>
          <cell r="H858">
            <v>5.46</v>
          </cell>
          <cell r="I858" t="str">
            <v>BK</v>
          </cell>
          <cell r="J858" t="str">
            <v/>
          </cell>
          <cell r="K858">
            <v>0</v>
          </cell>
          <cell r="L858">
            <v>45873</v>
          </cell>
          <cell r="M858">
            <v>45873</v>
          </cell>
          <cell r="N858">
            <v>121</v>
          </cell>
          <cell r="O858" t="str">
            <v>NS</v>
          </cell>
          <cell r="P858" t="str">
            <v/>
          </cell>
          <cell r="Q858">
            <v>45873</v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>
            <v>45937</v>
          </cell>
          <cell r="X858" t="str">
            <v>Lokasi Produksi 573C2 ( pecahan 573C )</v>
          </cell>
          <cell r="Z858">
            <v>0</v>
          </cell>
          <cell r="AA858">
            <v>45873</v>
          </cell>
          <cell r="AM858" t="str">
            <v>OK</v>
          </cell>
          <cell r="AO858">
            <v>4.045185108024695</v>
          </cell>
          <cell r="AP858">
            <v>4.045185108024695</v>
          </cell>
          <cell r="AQ858">
            <v>0</v>
          </cell>
          <cell r="AR858">
            <v>4.045185108024695</v>
          </cell>
          <cell r="AS858">
            <v>0</v>
          </cell>
          <cell r="AT858">
            <v>45873</v>
          </cell>
          <cell r="AU858">
            <v>4.045185108024695</v>
          </cell>
          <cell r="AV858">
            <v>121.35555324074085</v>
          </cell>
          <cell r="AW858">
            <v>4.045185108024695</v>
          </cell>
          <cell r="AY858">
            <v>126.46369178241002</v>
          </cell>
          <cell r="AZ858" t="str">
            <v>F18</v>
          </cell>
          <cell r="BA858">
            <v>0</v>
          </cell>
          <cell r="BB858" t="str">
            <v>NSBK</v>
          </cell>
          <cell r="BC858" t="str">
            <v>F18</v>
          </cell>
        </row>
        <row r="859">
          <cell r="A859" t="str">
            <v>573CS</v>
          </cell>
          <cell r="B859" t="str">
            <v>3</v>
          </cell>
          <cell r="C859" t="str">
            <v>06</v>
          </cell>
          <cell r="D859">
            <v>23</v>
          </cell>
          <cell r="E859" t="str">
            <v>573CS</v>
          </cell>
          <cell r="F859">
            <v>0.54</v>
          </cell>
          <cell r="G859">
            <v>0.54</v>
          </cell>
          <cell r="H859">
            <v>0.54</v>
          </cell>
          <cell r="I859" t="str">
            <v>FC</v>
          </cell>
          <cell r="J859" t="str">
            <v>ST</v>
          </cell>
          <cell r="K859">
            <v>0</v>
          </cell>
          <cell r="L859">
            <v>45934</v>
          </cell>
          <cell r="M859">
            <v>45934</v>
          </cell>
          <cell r="N859">
            <v>60</v>
          </cell>
          <cell r="O859" t="str">
            <v>SK</v>
          </cell>
          <cell r="P859" t="str">
            <v/>
          </cell>
          <cell r="Q859">
            <v>45934</v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>Lokasi Produksi 573CS ( singkong )</v>
          </cell>
          <cell r="Z859">
            <v>0</v>
          </cell>
          <cell r="AA859">
            <v>45934</v>
          </cell>
          <cell r="AM859" t="str">
            <v>OK</v>
          </cell>
          <cell r="AO859">
            <v>2.0118517746913613</v>
          </cell>
          <cell r="AP859">
            <v>2.0118517746913613</v>
          </cell>
          <cell r="AQ859">
            <v>0</v>
          </cell>
          <cell r="AR859">
            <v>2.0118517746913613</v>
          </cell>
          <cell r="AS859">
            <v>0</v>
          </cell>
          <cell r="AT859">
            <v>45934</v>
          </cell>
          <cell r="AU859">
            <v>2.0118517746913613</v>
          </cell>
          <cell r="AV859">
            <v>60.355553240740839</v>
          </cell>
          <cell r="AW859">
            <v>2.0118517746913613</v>
          </cell>
          <cell r="AY859">
            <v>65.463691782410024</v>
          </cell>
          <cell r="AZ859" t="str">
            <v>F18</v>
          </cell>
          <cell r="BA859">
            <v>0</v>
          </cell>
          <cell r="BB859" t="str">
            <v>SKFC</v>
          </cell>
          <cell r="BC859" t="str">
            <v>F18</v>
          </cell>
        </row>
        <row r="860">
          <cell r="A860" t="str">
            <v>573D</v>
          </cell>
          <cell r="B860" t="str">
            <v>3</v>
          </cell>
          <cell r="C860" t="str">
            <v>06</v>
          </cell>
          <cell r="D860">
            <v>23</v>
          </cell>
          <cell r="E860" t="str">
            <v>573D</v>
          </cell>
          <cell r="F860">
            <v>16.82</v>
          </cell>
          <cell r="G860">
            <v>13.88</v>
          </cell>
          <cell r="H860">
            <v>13.88</v>
          </cell>
          <cell r="I860" t="str">
            <v>FC</v>
          </cell>
          <cell r="J860" t="str">
            <v>ST</v>
          </cell>
          <cell r="K860">
            <v>14</v>
          </cell>
          <cell r="L860">
            <v>45867</v>
          </cell>
          <cell r="M860">
            <v>45867</v>
          </cell>
          <cell r="N860">
            <v>127</v>
          </cell>
          <cell r="O860" t="str">
            <v>NS</v>
          </cell>
          <cell r="P860" t="str">
            <v>NSF18CK3</v>
          </cell>
          <cell r="Q860">
            <v>46294</v>
          </cell>
          <cell r="R860" t="str">
            <v/>
          </cell>
          <cell r="S860" t="str">
            <v/>
          </cell>
          <cell r="T860" t="str">
            <v/>
          </cell>
          <cell r="U860">
            <v>69617</v>
          </cell>
          <cell r="V860">
            <v>53093</v>
          </cell>
          <cell r="W860" t="str">
            <v/>
          </cell>
          <cell r="X860" t="str">
            <v>Lokasi Produksi 573D</v>
          </cell>
          <cell r="Z860">
            <v>14</v>
          </cell>
          <cell r="AA860">
            <v>46294</v>
          </cell>
          <cell r="AM860" t="str">
            <v>OK</v>
          </cell>
          <cell r="AO860">
            <v>4.2451851080246952</v>
          </cell>
          <cell r="AP860">
            <v>-9.7548148919753039</v>
          </cell>
          <cell r="AQ860">
            <v>0</v>
          </cell>
          <cell r="AR860">
            <v>4.2451851080246952</v>
          </cell>
          <cell r="AS860">
            <v>0</v>
          </cell>
          <cell r="AT860">
            <v>46294</v>
          </cell>
          <cell r="AU860">
            <v>-9.7548148919753039</v>
          </cell>
          <cell r="AV860">
            <v>127.35555324074086</v>
          </cell>
          <cell r="AW860">
            <v>-9.7548148919753039</v>
          </cell>
          <cell r="AY860">
            <v>132.46369178241002</v>
          </cell>
          <cell r="AZ860" t="str">
            <v>F18</v>
          </cell>
          <cell r="BA860">
            <v>13.88</v>
          </cell>
          <cell r="BB860" t="str">
            <v>NSFC</v>
          </cell>
          <cell r="BC860" t="str">
            <v>F18CK</v>
          </cell>
        </row>
        <row r="861">
          <cell r="A861" t="str">
            <v>573DS</v>
          </cell>
          <cell r="B861" t="str">
            <v>3</v>
          </cell>
          <cell r="C861" t="str">
            <v>06</v>
          </cell>
          <cell r="D861">
            <v>23</v>
          </cell>
          <cell r="E861" t="str">
            <v>573DS</v>
          </cell>
          <cell r="F861">
            <v>0.61</v>
          </cell>
          <cell r="G861">
            <v>0.61</v>
          </cell>
          <cell r="H861">
            <v>0.61</v>
          </cell>
          <cell r="I861" t="str">
            <v>FC</v>
          </cell>
          <cell r="J861" t="str">
            <v>ST</v>
          </cell>
          <cell r="K861">
            <v>0</v>
          </cell>
          <cell r="L861">
            <v>45935</v>
          </cell>
          <cell r="M861">
            <v>45935</v>
          </cell>
          <cell r="N861">
            <v>59</v>
          </cell>
          <cell r="O861" t="str">
            <v>SK</v>
          </cell>
          <cell r="P861" t="str">
            <v/>
          </cell>
          <cell r="Q861">
            <v>45935</v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>Lokasi Produksi 573DS ( singkong )</v>
          </cell>
          <cell r="Z861">
            <v>0</v>
          </cell>
          <cell r="AA861">
            <v>45935</v>
          </cell>
          <cell r="AM861" t="str">
            <v>OK</v>
          </cell>
          <cell r="AO861">
            <v>1.9785184413580281</v>
          </cell>
          <cell r="AP861">
            <v>1.9785184413580281</v>
          </cell>
          <cell r="AQ861">
            <v>0</v>
          </cell>
          <cell r="AR861">
            <v>1.9785184413580281</v>
          </cell>
          <cell r="AS861">
            <v>0</v>
          </cell>
          <cell r="AT861">
            <v>45935</v>
          </cell>
          <cell r="AU861">
            <v>1.9785184413580281</v>
          </cell>
          <cell r="AV861">
            <v>59.355553240740846</v>
          </cell>
          <cell r="AW861">
            <v>1.9785184413580281</v>
          </cell>
          <cell r="AY861">
            <v>64.463691782410024</v>
          </cell>
          <cell r="AZ861" t="str">
            <v>F18</v>
          </cell>
          <cell r="BA861">
            <v>0</v>
          </cell>
          <cell r="BB861" t="str">
            <v>SKFC</v>
          </cell>
          <cell r="BC861" t="str">
            <v>F18</v>
          </cell>
        </row>
        <row r="862">
          <cell r="A862" t="str">
            <v>573E1</v>
          </cell>
          <cell r="B862" t="str">
            <v>3</v>
          </cell>
          <cell r="C862" t="str">
            <v>06</v>
          </cell>
          <cell r="D862">
            <v>23</v>
          </cell>
          <cell r="E862" t="str">
            <v>573E1</v>
          </cell>
          <cell r="F862">
            <v>12.78</v>
          </cell>
          <cell r="G862">
            <v>9.27</v>
          </cell>
          <cell r="H862">
            <v>9.27</v>
          </cell>
          <cell r="I862" t="str">
            <v>Y2</v>
          </cell>
          <cell r="J862" t="str">
            <v>FC</v>
          </cell>
          <cell r="K862">
            <v>0</v>
          </cell>
          <cell r="L862">
            <v>45502</v>
          </cell>
          <cell r="M862">
            <v>45502</v>
          </cell>
          <cell r="N862">
            <v>492</v>
          </cell>
          <cell r="O862" t="str">
            <v>PS</v>
          </cell>
          <cell r="P862" t="str">
            <v/>
          </cell>
          <cell r="Q862">
            <v>45502</v>
          </cell>
          <cell r="R862" t="str">
            <v/>
          </cell>
          <cell r="S862" t="str">
            <v/>
          </cell>
          <cell r="T862" t="str">
            <v/>
          </cell>
          <cell r="U862">
            <v>23220</v>
          </cell>
          <cell r="V862">
            <v>56585</v>
          </cell>
          <cell r="W862">
            <v>45653</v>
          </cell>
          <cell r="X862" t="str">
            <v>Lokasi Produksi 573E1 ( pecahan 573E )</v>
          </cell>
          <cell r="Z862">
            <v>0</v>
          </cell>
          <cell r="AA862">
            <v>45502</v>
          </cell>
          <cell r="AM862" t="str">
            <v>OK</v>
          </cell>
          <cell r="AO862">
            <v>16.41185177469136</v>
          </cell>
          <cell r="AP862">
            <v>16.41185177469136</v>
          </cell>
          <cell r="AQ862">
            <v>0</v>
          </cell>
          <cell r="AR862">
            <v>16.41185177469136</v>
          </cell>
          <cell r="AS862">
            <v>0</v>
          </cell>
          <cell r="AT862">
            <v>45502</v>
          </cell>
          <cell r="AU862">
            <v>16.41185177469136</v>
          </cell>
          <cell r="AV862">
            <v>492.35555324074079</v>
          </cell>
          <cell r="AW862">
            <v>16.41185177469136</v>
          </cell>
          <cell r="AY862">
            <v>497.46369178241002</v>
          </cell>
          <cell r="AZ862" t="str">
            <v>F18</v>
          </cell>
          <cell r="BA862">
            <v>0</v>
          </cell>
          <cell r="BB862" t="str">
            <v>PSY2</v>
          </cell>
          <cell r="BC862" t="str">
            <v>F18</v>
          </cell>
        </row>
        <row r="863">
          <cell r="A863" t="str">
            <v>573E2</v>
          </cell>
          <cell r="B863" t="str">
            <v>3</v>
          </cell>
          <cell r="C863" t="str">
            <v>06</v>
          </cell>
          <cell r="D863">
            <v>23</v>
          </cell>
          <cell r="E863" t="str">
            <v>573E2</v>
          </cell>
          <cell r="F863">
            <v>11.16</v>
          </cell>
          <cell r="G863">
            <v>7.81</v>
          </cell>
          <cell r="H863">
            <v>7.81</v>
          </cell>
          <cell r="I863" t="str">
            <v>Y2</v>
          </cell>
          <cell r="J863" t="str">
            <v>FC</v>
          </cell>
          <cell r="K863">
            <v>0</v>
          </cell>
          <cell r="L863">
            <v>45604</v>
          </cell>
          <cell r="M863">
            <v>45604</v>
          </cell>
          <cell r="N863">
            <v>390</v>
          </cell>
          <cell r="O863" t="str">
            <v>PS</v>
          </cell>
          <cell r="P863" t="str">
            <v/>
          </cell>
          <cell r="Q863">
            <v>45604</v>
          </cell>
          <cell r="R863" t="str">
            <v/>
          </cell>
          <cell r="S863" t="str">
            <v/>
          </cell>
          <cell r="T863" t="str">
            <v/>
          </cell>
          <cell r="U863">
            <v>18744</v>
          </cell>
          <cell r="V863">
            <v>55554</v>
          </cell>
          <cell r="W863">
            <v>45604</v>
          </cell>
          <cell r="X863" t="str">
            <v>Lokasi Produksi 573E2 ( pecahan 573E )</v>
          </cell>
          <cell r="Z863">
            <v>0</v>
          </cell>
          <cell r="AA863">
            <v>45604</v>
          </cell>
          <cell r="AM863" t="str">
            <v>OK</v>
          </cell>
          <cell r="AO863">
            <v>13.011851774691362</v>
          </cell>
          <cell r="AP863">
            <v>13.011851774691362</v>
          </cell>
          <cell r="AQ863">
            <v>0</v>
          </cell>
          <cell r="AR863">
            <v>13.011851774691362</v>
          </cell>
          <cell r="AS863">
            <v>0</v>
          </cell>
          <cell r="AT863">
            <v>45604</v>
          </cell>
          <cell r="AU863">
            <v>13.011851774691362</v>
          </cell>
          <cell r="AV863">
            <v>390.35555324074085</v>
          </cell>
          <cell r="AW863">
            <v>13.011851774691362</v>
          </cell>
          <cell r="AY863">
            <v>395.46369178241002</v>
          </cell>
          <cell r="AZ863" t="str">
            <v>F18</v>
          </cell>
          <cell r="BA863">
            <v>0</v>
          </cell>
          <cell r="BB863" t="str">
            <v>PSY2</v>
          </cell>
          <cell r="BC863" t="str">
            <v>F18</v>
          </cell>
        </row>
        <row r="864">
          <cell r="A864" t="str">
            <v>573E2S</v>
          </cell>
          <cell r="B864" t="str">
            <v>3</v>
          </cell>
          <cell r="C864" t="str">
            <v>06</v>
          </cell>
          <cell r="D864">
            <v>23</v>
          </cell>
          <cell r="E864" t="str">
            <v>573E2S</v>
          </cell>
          <cell r="F864">
            <v>0.7</v>
          </cell>
          <cell r="G864">
            <v>0.7</v>
          </cell>
          <cell r="H864">
            <v>0.7</v>
          </cell>
          <cell r="I864" t="str">
            <v>FC</v>
          </cell>
          <cell r="J864" t="str">
            <v>ST</v>
          </cell>
          <cell r="K864">
            <v>0</v>
          </cell>
          <cell r="L864">
            <v>45939</v>
          </cell>
          <cell r="M864">
            <v>45939</v>
          </cell>
          <cell r="N864">
            <v>55</v>
          </cell>
          <cell r="O864" t="str">
            <v>SK</v>
          </cell>
          <cell r="P864" t="str">
            <v/>
          </cell>
          <cell r="Q864">
            <v>45939</v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>Lokasi Produksi 573E2S ( singkong )</v>
          </cell>
          <cell r="Z864">
            <v>0</v>
          </cell>
          <cell r="AA864">
            <v>45939</v>
          </cell>
          <cell r="AM864" t="str">
            <v>OK</v>
          </cell>
          <cell r="AO864">
            <v>1.8451851080246948</v>
          </cell>
          <cell r="AP864">
            <v>1.8451851080246948</v>
          </cell>
          <cell r="AQ864">
            <v>0</v>
          </cell>
          <cell r="AR864">
            <v>1.8451851080246948</v>
          </cell>
          <cell r="AS864">
            <v>0</v>
          </cell>
          <cell r="AT864">
            <v>45939</v>
          </cell>
          <cell r="AU864">
            <v>1.8451851080246948</v>
          </cell>
          <cell r="AV864">
            <v>55.355553240740846</v>
          </cell>
          <cell r="AW864">
            <v>1.8451851080246948</v>
          </cell>
          <cell r="AY864">
            <v>60.463691782410024</v>
          </cell>
          <cell r="AZ864" t="str">
            <v>F18</v>
          </cell>
          <cell r="BA864">
            <v>0</v>
          </cell>
          <cell r="BB864" t="str">
            <v>SKFC</v>
          </cell>
          <cell r="BC864" t="str">
            <v>F18</v>
          </cell>
        </row>
        <row r="865">
          <cell r="A865" t="str">
            <v>573F2</v>
          </cell>
          <cell r="B865" t="str">
            <v>3</v>
          </cell>
          <cell r="C865" t="str">
            <v>06</v>
          </cell>
          <cell r="D865">
            <v>23</v>
          </cell>
          <cell r="E865" t="str">
            <v>573F2</v>
          </cell>
          <cell r="F865">
            <v>9.39</v>
          </cell>
          <cell r="G865">
            <v>6.86</v>
          </cell>
          <cell r="H865">
            <v>6.86</v>
          </cell>
          <cell r="I865" t="str">
            <v>Y2</v>
          </cell>
          <cell r="J865" t="str">
            <v>FC</v>
          </cell>
          <cell r="K865">
            <v>0</v>
          </cell>
          <cell r="L865">
            <v>45593</v>
          </cell>
          <cell r="M865">
            <v>45593</v>
          </cell>
          <cell r="N865">
            <v>401</v>
          </cell>
          <cell r="O865" t="str">
            <v>PS</v>
          </cell>
          <cell r="P865" t="str">
            <v/>
          </cell>
          <cell r="Q865">
            <v>45593</v>
          </cell>
          <cell r="R865" t="str">
            <v/>
          </cell>
          <cell r="S865" t="str">
            <v/>
          </cell>
          <cell r="T865" t="str">
            <v/>
          </cell>
          <cell r="U865">
            <v>16464</v>
          </cell>
          <cell r="V865">
            <v>56541</v>
          </cell>
          <cell r="W865">
            <v>45768</v>
          </cell>
          <cell r="X865" t="str">
            <v>Lokasi Produksi 573F2 ( pecahan 573F )</v>
          </cell>
          <cell r="Z865">
            <v>0</v>
          </cell>
          <cell r="AA865">
            <v>45593</v>
          </cell>
          <cell r="AM865" t="str">
            <v>OK</v>
          </cell>
          <cell r="AO865">
            <v>13.378518441358029</v>
          </cell>
          <cell r="AP865">
            <v>13.378518441358029</v>
          </cell>
          <cell r="AQ865">
            <v>0</v>
          </cell>
          <cell r="AR865">
            <v>13.378518441358029</v>
          </cell>
          <cell r="AS865">
            <v>0</v>
          </cell>
          <cell r="AT865">
            <v>45593</v>
          </cell>
          <cell r="AU865">
            <v>13.378518441358029</v>
          </cell>
          <cell r="AV865">
            <v>401.35555324074085</v>
          </cell>
          <cell r="AW865">
            <v>13.378518441358029</v>
          </cell>
          <cell r="AY865">
            <v>406.46369178241002</v>
          </cell>
          <cell r="AZ865" t="str">
            <v>F18</v>
          </cell>
          <cell r="BA865">
            <v>0</v>
          </cell>
          <cell r="BB865" t="str">
            <v>PSY2</v>
          </cell>
          <cell r="BC865" t="str">
            <v>F18</v>
          </cell>
        </row>
        <row r="866">
          <cell r="A866" t="str">
            <v>573F3</v>
          </cell>
          <cell r="B866" t="str">
            <v>3</v>
          </cell>
          <cell r="C866" t="str">
            <v>06</v>
          </cell>
          <cell r="D866">
            <v>23</v>
          </cell>
          <cell r="E866" t="str">
            <v>573F3</v>
          </cell>
          <cell r="F866">
            <v>9.1199999999999992</v>
          </cell>
          <cell r="G866">
            <v>6.55</v>
          </cell>
          <cell r="H866">
            <v>6.55</v>
          </cell>
          <cell r="I866" t="str">
            <v>SR</v>
          </cell>
          <cell r="J866" t="str">
            <v>SC</v>
          </cell>
          <cell r="K866">
            <v>0</v>
          </cell>
          <cell r="L866">
            <v>45653</v>
          </cell>
          <cell r="M866">
            <v>45653</v>
          </cell>
          <cell r="N866">
            <v>341</v>
          </cell>
          <cell r="O866" t="str">
            <v>PS</v>
          </cell>
          <cell r="P866" t="str">
            <v/>
          </cell>
          <cell r="Q866">
            <v>45653</v>
          </cell>
          <cell r="R866" t="str">
            <v/>
          </cell>
          <cell r="S866" t="str">
            <v/>
          </cell>
          <cell r="T866" t="str">
            <v/>
          </cell>
          <cell r="U866">
            <v>17685</v>
          </cell>
          <cell r="V866" t="str">
            <v/>
          </cell>
          <cell r="W866">
            <v>45653</v>
          </cell>
          <cell r="X866" t="str">
            <v>Lokasi Produksi 573F3 ( pecahan 573F1 )</v>
          </cell>
          <cell r="Z866">
            <v>0</v>
          </cell>
          <cell r="AA866">
            <v>45653</v>
          </cell>
          <cell r="AM866" t="str">
            <v>OK</v>
          </cell>
          <cell r="AO866">
            <v>11.378518441358029</v>
          </cell>
          <cell r="AP866">
            <v>11.378518441358029</v>
          </cell>
          <cell r="AQ866">
            <v>0</v>
          </cell>
          <cell r="AR866">
            <v>11.378518441358029</v>
          </cell>
          <cell r="AS866">
            <v>0</v>
          </cell>
          <cell r="AT866">
            <v>45653</v>
          </cell>
          <cell r="AU866">
            <v>11.378518441358029</v>
          </cell>
          <cell r="AV866">
            <v>341.35555324074085</v>
          </cell>
          <cell r="AW866">
            <v>11.378518441358029</v>
          </cell>
          <cell r="AY866">
            <v>346.46369178241002</v>
          </cell>
          <cell r="AZ866" t="str">
            <v>F18</v>
          </cell>
          <cell r="BA866">
            <v>0</v>
          </cell>
          <cell r="BB866" t="str">
            <v>PSSR</v>
          </cell>
          <cell r="BC866" t="str">
            <v>F18</v>
          </cell>
        </row>
        <row r="867">
          <cell r="A867" t="str">
            <v>573F4</v>
          </cell>
          <cell r="B867" t="str">
            <v>3</v>
          </cell>
          <cell r="C867" t="str">
            <v>06</v>
          </cell>
          <cell r="D867">
            <v>23</v>
          </cell>
          <cell r="E867" t="str">
            <v>573F4</v>
          </cell>
          <cell r="F867">
            <v>9.07</v>
          </cell>
          <cell r="G867">
            <v>6.31</v>
          </cell>
          <cell r="H867">
            <v>6.31</v>
          </cell>
          <cell r="I867" t="str">
            <v>SR</v>
          </cell>
          <cell r="J867" t="str">
            <v>SC</v>
          </cell>
          <cell r="K867">
            <v>0</v>
          </cell>
          <cell r="L867">
            <v>45625</v>
          </cell>
          <cell r="M867">
            <v>45625</v>
          </cell>
          <cell r="N867">
            <v>369</v>
          </cell>
          <cell r="O867" t="str">
            <v>PS</v>
          </cell>
          <cell r="P867" t="str">
            <v/>
          </cell>
          <cell r="Q867">
            <v>45625</v>
          </cell>
          <cell r="R867" t="str">
            <v/>
          </cell>
          <cell r="S867" t="str">
            <v/>
          </cell>
          <cell r="T867" t="str">
            <v/>
          </cell>
          <cell r="U867">
            <v>17037</v>
          </cell>
          <cell r="V867" t="str">
            <v/>
          </cell>
          <cell r="W867">
            <v>45625</v>
          </cell>
          <cell r="X867" t="str">
            <v>Lokasi Produksi 573F4 ( pecahan 573F1 )</v>
          </cell>
          <cell r="Z867">
            <v>0</v>
          </cell>
          <cell r="AA867">
            <v>45625</v>
          </cell>
          <cell r="AM867" t="str">
            <v>OK</v>
          </cell>
          <cell r="AO867">
            <v>12.311851774691361</v>
          </cell>
          <cell r="AP867">
            <v>12.311851774691361</v>
          </cell>
          <cell r="AQ867">
            <v>0</v>
          </cell>
          <cell r="AR867">
            <v>12.311851774691361</v>
          </cell>
          <cell r="AS867">
            <v>0</v>
          </cell>
          <cell r="AT867">
            <v>45625</v>
          </cell>
          <cell r="AU867">
            <v>12.311851774691361</v>
          </cell>
          <cell r="AV867">
            <v>369.35555324074085</v>
          </cell>
          <cell r="AW867">
            <v>12.311851774691361</v>
          </cell>
          <cell r="AY867">
            <v>374.46369178241002</v>
          </cell>
          <cell r="AZ867" t="str">
            <v>F18</v>
          </cell>
          <cell r="BA867">
            <v>0</v>
          </cell>
          <cell r="BB867" t="str">
            <v>PSSR</v>
          </cell>
          <cell r="BC867" t="str">
            <v>F18</v>
          </cell>
        </row>
        <row r="868">
          <cell r="A868" t="str">
            <v>573G1</v>
          </cell>
          <cell r="B868" t="str">
            <v>3</v>
          </cell>
          <cell r="C868" t="str">
            <v>06</v>
          </cell>
          <cell r="D868">
            <v>23</v>
          </cell>
          <cell r="E868" t="str">
            <v>573G1</v>
          </cell>
          <cell r="F868">
            <v>8.43</v>
          </cell>
          <cell r="G868">
            <v>6.65</v>
          </cell>
          <cell r="H868">
            <v>6.65</v>
          </cell>
          <cell r="I868" t="str">
            <v>SC</v>
          </cell>
          <cell r="J868" t="str">
            <v>BB</v>
          </cell>
          <cell r="K868">
            <v>8</v>
          </cell>
          <cell r="L868">
            <v>45654</v>
          </cell>
          <cell r="M868">
            <v>45654</v>
          </cell>
          <cell r="N868">
            <v>340</v>
          </cell>
          <cell r="O868" t="str">
            <v>NS</v>
          </cell>
          <cell r="P868" t="str">
            <v/>
          </cell>
          <cell r="Q868">
            <v>45898</v>
          </cell>
          <cell r="R868" t="str">
            <v/>
          </cell>
          <cell r="S868" t="str">
            <v/>
          </cell>
          <cell r="T868">
            <v>45885</v>
          </cell>
          <cell r="U868">
            <v>68794</v>
          </cell>
          <cell r="V868">
            <v>53256</v>
          </cell>
          <cell r="W868">
            <v>45010</v>
          </cell>
          <cell r="X868" t="str">
            <v>Lokasi Produksi 573G1 ( pecahan 573G )</v>
          </cell>
          <cell r="Z868">
            <v>8</v>
          </cell>
          <cell r="AA868">
            <v>45898</v>
          </cell>
          <cell r="AM868" t="str">
            <v>OK</v>
          </cell>
          <cell r="AO868">
            <v>11.345185108024696</v>
          </cell>
          <cell r="AP868">
            <v>3.3451851080246957</v>
          </cell>
          <cell r="AQ868">
            <v>45885</v>
          </cell>
          <cell r="AR868">
            <v>7.7</v>
          </cell>
          <cell r="AS868">
            <v>3.6451851080246955</v>
          </cell>
          <cell r="AT868">
            <v>45898</v>
          </cell>
          <cell r="AU868">
            <v>3.6451851080246955</v>
          </cell>
          <cell r="AV868">
            <v>231</v>
          </cell>
          <cell r="AW868">
            <v>3.6451851080246955</v>
          </cell>
          <cell r="AY868">
            <v>345.46369178241002</v>
          </cell>
          <cell r="AZ868" t="str">
            <v>F18</v>
          </cell>
          <cell r="BA868">
            <v>6.65</v>
          </cell>
          <cell r="BB868" t="str">
            <v>NSSC</v>
          </cell>
          <cell r="BC868" t="str">
            <v>F18</v>
          </cell>
        </row>
        <row r="869">
          <cell r="A869" t="str">
            <v>573G2</v>
          </cell>
          <cell r="B869" t="str">
            <v>3</v>
          </cell>
          <cell r="C869" t="str">
            <v>06</v>
          </cell>
          <cell r="D869">
            <v>23</v>
          </cell>
          <cell r="E869" t="str">
            <v>573G2</v>
          </cell>
          <cell r="F869">
            <v>7.22</v>
          </cell>
          <cell r="G869">
            <v>5.77</v>
          </cell>
          <cell r="H869">
            <v>5.77</v>
          </cell>
          <cell r="I869" t="str">
            <v>SC</v>
          </cell>
          <cell r="J869" t="str">
            <v>BB</v>
          </cell>
          <cell r="K869">
            <v>8</v>
          </cell>
          <cell r="L869">
            <v>45688</v>
          </cell>
          <cell r="M869">
            <v>45688</v>
          </cell>
          <cell r="N869">
            <v>306</v>
          </cell>
          <cell r="O869" t="str">
            <v>NS</v>
          </cell>
          <cell r="P869" t="str">
            <v/>
          </cell>
          <cell r="Q869">
            <v>45932</v>
          </cell>
          <cell r="R869" t="str">
            <v/>
          </cell>
          <cell r="S869" t="str">
            <v/>
          </cell>
          <cell r="T869">
            <v>45922</v>
          </cell>
          <cell r="U869">
            <v>71889</v>
          </cell>
          <cell r="V869">
            <v>52675</v>
          </cell>
          <cell r="W869">
            <v>44095</v>
          </cell>
          <cell r="X869" t="str">
            <v>Lokasi Produksi 573G2 ( pecahan 573G )</v>
          </cell>
          <cell r="Z869">
            <v>8</v>
          </cell>
          <cell r="AA869">
            <v>45932</v>
          </cell>
          <cell r="AM869" t="str">
            <v>OK</v>
          </cell>
          <cell r="AO869">
            <v>10.211851774691361</v>
          </cell>
          <cell r="AP869">
            <v>2.2118517746913611</v>
          </cell>
          <cell r="AQ869">
            <v>45922</v>
          </cell>
          <cell r="AR869">
            <v>7.8</v>
          </cell>
          <cell r="AS869">
            <v>2.4118517746913612</v>
          </cell>
          <cell r="AT869">
            <v>45932</v>
          </cell>
          <cell r="AU869">
            <v>2.4118517746913612</v>
          </cell>
          <cell r="AV869">
            <v>234</v>
          </cell>
          <cell r="AW869">
            <v>2.4118517746913612</v>
          </cell>
          <cell r="AY869">
            <v>311.46369178241002</v>
          </cell>
          <cell r="AZ869" t="str">
            <v>F18</v>
          </cell>
          <cell r="BA869">
            <v>5.77</v>
          </cell>
          <cell r="BB869" t="str">
            <v>NSSC</v>
          </cell>
          <cell r="BC869" t="str">
            <v>F18</v>
          </cell>
        </row>
        <row r="870">
          <cell r="A870" t="str">
            <v>574A1A</v>
          </cell>
          <cell r="B870" t="str">
            <v>3</v>
          </cell>
          <cell r="C870" t="str">
            <v>06</v>
          </cell>
          <cell r="D870">
            <v>23</v>
          </cell>
          <cell r="E870" t="str">
            <v>574A1A</v>
          </cell>
          <cell r="F870">
            <v>6.38</v>
          </cell>
          <cell r="G870">
            <v>5.31</v>
          </cell>
          <cell r="H870">
            <v>5.31</v>
          </cell>
          <cell r="I870" t="str">
            <v>Y1</v>
          </cell>
          <cell r="J870" t="str">
            <v>TU</v>
          </cell>
          <cell r="K870">
            <v>0</v>
          </cell>
          <cell r="L870">
            <v>45847</v>
          </cell>
          <cell r="M870">
            <v>45847</v>
          </cell>
          <cell r="N870">
            <v>147</v>
          </cell>
          <cell r="O870" t="str">
            <v>PS</v>
          </cell>
          <cell r="P870" t="str">
            <v/>
          </cell>
          <cell r="Q870">
            <v>45847</v>
          </cell>
          <cell r="R870" t="str">
            <v/>
          </cell>
          <cell r="S870" t="str">
            <v/>
          </cell>
          <cell r="T870" t="str">
            <v/>
          </cell>
          <cell r="U870">
            <v>12854</v>
          </cell>
          <cell r="V870" t="str">
            <v/>
          </cell>
          <cell r="W870">
            <v>46068</v>
          </cell>
          <cell r="X870" t="str">
            <v>Lokasi Produksi 574A1A ( pecahan 574A1 )</v>
          </cell>
          <cell r="Z870">
            <v>0</v>
          </cell>
          <cell r="AA870">
            <v>45847</v>
          </cell>
          <cell r="AM870" t="str">
            <v>OK</v>
          </cell>
          <cell r="AO870">
            <v>4.9118517746913612</v>
          </cell>
          <cell r="AP870">
            <v>4.9118517746913612</v>
          </cell>
          <cell r="AQ870">
            <v>0</v>
          </cell>
          <cell r="AR870">
            <v>4.9118517746913612</v>
          </cell>
          <cell r="AS870">
            <v>0</v>
          </cell>
          <cell r="AT870">
            <v>45847</v>
          </cell>
          <cell r="AU870">
            <v>4.9118517746913612</v>
          </cell>
          <cell r="AV870">
            <v>147.35555324074085</v>
          </cell>
          <cell r="AW870">
            <v>4.9118517746913612</v>
          </cell>
          <cell r="AY870">
            <v>152.46369178241002</v>
          </cell>
          <cell r="AZ870" t="str">
            <v>F18</v>
          </cell>
          <cell r="BA870">
            <v>0</v>
          </cell>
          <cell r="BB870" t="str">
            <v>PSY1</v>
          </cell>
          <cell r="BC870" t="str">
            <v>F18</v>
          </cell>
        </row>
        <row r="871">
          <cell r="A871" t="str">
            <v>574A1B</v>
          </cell>
          <cell r="B871" t="str">
            <v>3</v>
          </cell>
          <cell r="C871" t="str">
            <v>06</v>
          </cell>
          <cell r="D871">
            <v>23</v>
          </cell>
          <cell r="E871" t="str">
            <v>574A1B</v>
          </cell>
          <cell r="F871">
            <v>7.28</v>
          </cell>
          <cell r="G871">
            <v>5.94</v>
          </cell>
          <cell r="H871">
            <v>5.94</v>
          </cell>
          <cell r="I871" t="str">
            <v>Y1</v>
          </cell>
          <cell r="J871" t="str">
            <v>TU</v>
          </cell>
          <cell r="K871">
            <v>0</v>
          </cell>
          <cell r="L871">
            <v>45858</v>
          </cell>
          <cell r="M871">
            <v>45858</v>
          </cell>
          <cell r="N871">
            <v>136</v>
          </cell>
          <cell r="O871" t="str">
            <v>PS</v>
          </cell>
          <cell r="P871" t="str">
            <v/>
          </cell>
          <cell r="Q871">
            <v>45858</v>
          </cell>
          <cell r="R871" t="str">
            <v/>
          </cell>
          <cell r="S871" t="str">
            <v/>
          </cell>
          <cell r="T871" t="str">
            <v/>
          </cell>
          <cell r="U871">
            <v>14364</v>
          </cell>
          <cell r="V871" t="str">
            <v/>
          </cell>
          <cell r="W871">
            <v>46107</v>
          </cell>
          <cell r="X871" t="str">
            <v>Lokasi Produksi 574A1B ( pecahan 574A1 )</v>
          </cell>
          <cell r="Z871">
            <v>0</v>
          </cell>
          <cell r="AA871">
            <v>45858</v>
          </cell>
          <cell r="AM871" t="str">
            <v>OK</v>
          </cell>
          <cell r="AO871">
            <v>4.545185108024695</v>
          </cell>
          <cell r="AP871">
            <v>4.545185108024695</v>
          </cell>
          <cell r="AQ871">
            <v>0</v>
          </cell>
          <cell r="AR871">
            <v>4.545185108024695</v>
          </cell>
          <cell r="AS871">
            <v>0</v>
          </cell>
          <cell r="AT871">
            <v>45858</v>
          </cell>
          <cell r="AU871">
            <v>4.545185108024695</v>
          </cell>
          <cell r="AV871">
            <v>136.35555324074085</v>
          </cell>
          <cell r="AW871">
            <v>4.545185108024695</v>
          </cell>
          <cell r="AY871">
            <v>141.46369178241002</v>
          </cell>
          <cell r="AZ871" t="str">
            <v>F18</v>
          </cell>
          <cell r="BA871">
            <v>0</v>
          </cell>
          <cell r="BB871" t="str">
            <v>PSY1</v>
          </cell>
          <cell r="BC871" t="str">
            <v>F18</v>
          </cell>
        </row>
        <row r="872">
          <cell r="A872" t="str">
            <v>574A2</v>
          </cell>
          <cell r="B872" t="str">
            <v>3</v>
          </cell>
          <cell r="C872" t="str">
            <v>06</v>
          </cell>
          <cell r="D872">
            <v>23</v>
          </cell>
          <cell r="E872" t="str">
            <v>574A2</v>
          </cell>
          <cell r="F872">
            <v>8.27</v>
          </cell>
          <cell r="G872">
            <v>6.5</v>
          </cell>
          <cell r="H872">
            <v>6.5</v>
          </cell>
          <cell r="I872" t="str">
            <v>BK</v>
          </cell>
          <cell r="J872" t="str">
            <v>BB</v>
          </cell>
          <cell r="K872">
            <v>0</v>
          </cell>
          <cell r="L872">
            <v>45953</v>
          </cell>
          <cell r="M872">
            <v>45953</v>
          </cell>
          <cell r="N872">
            <v>41</v>
          </cell>
          <cell r="O872" t="str">
            <v>NS</v>
          </cell>
          <cell r="P872" t="str">
            <v/>
          </cell>
          <cell r="Q872">
            <v>45953</v>
          </cell>
          <cell r="R872" t="str">
            <v/>
          </cell>
          <cell r="S872" t="str">
            <v/>
          </cell>
          <cell r="T872" t="str">
            <v/>
          </cell>
          <cell r="U872">
            <v>66537</v>
          </cell>
          <cell r="V872">
            <v>73797</v>
          </cell>
          <cell r="W872">
            <v>43804</v>
          </cell>
          <cell r="X872" t="str">
            <v>Lokasi Produksi 574A2 ( Pecahan 574A )</v>
          </cell>
          <cell r="Z872">
            <v>0</v>
          </cell>
          <cell r="AA872">
            <v>45953</v>
          </cell>
          <cell r="AM872" t="str">
            <v>OK</v>
          </cell>
          <cell r="AO872">
            <v>1.3785184413580283</v>
          </cell>
          <cell r="AP872">
            <v>1.3785184413580283</v>
          </cell>
          <cell r="AQ872">
            <v>0</v>
          </cell>
          <cell r="AR872">
            <v>1.3785184413580283</v>
          </cell>
          <cell r="AS872">
            <v>0</v>
          </cell>
          <cell r="AT872">
            <v>45953</v>
          </cell>
          <cell r="AU872">
            <v>1.3785184413580283</v>
          </cell>
          <cell r="AV872">
            <v>41.355553240740846</v>
          </cell>
          <cell r="AW872">
            <v>1.3785184413580283</v>
          </cell>
          <cell r="AY872">
            <v>46.463691782410024</v>
          </cell>
          <cell r="AZ872" t="str">
            <v>F18</v>
          </cell>
          <cell r="BA872">
            <v>0</v>
          </cell>
          <cell r="BB872" t="str">
            <v>NSBK</v>
          </cell>
          <cell r="BC872" t="str">
            <v>F18</v>
          </cell>
        </row>
        <row r="873">
          <cell r="A873" t="str">
            <v>574B1</v>
          </cell>
          <cell r="B873" t="str">
            <v>3</v>
          </cell>
          <cell r="C873" t="str">
            <v>06</v>
          </cell>
          <cell r="D873">
            <v>23</v>
          </cell>
          <cell r="E873" t="str">
            <v>574B1</v>
          </cell>
          <cell r="F873">
            <v>9.09</v>
          </cell>
          <cell r="G873">
            <v>6.59</v>
          </cell>
          <cell r="H873">
            <v>6.59</v>
          </cell>
          <cell r="I873" t="str">
            <v>Y2</v>
          </cell>
          <cell r="J873" t="str">
            <v>FC</v>
          </cell>
          <cell r="K873">
            <v>0</v>
          </cell>
          <cell r="L873">
            <v>45563</v>
          </cell>
          <cell r="M873">
            <v>45563</v>
          </cell>
          <cell r="N873">
            <v>431</v>
          </cell>
          <cell r="O873" t="str">
            <v>PS</v>
          </cell>
          <cell r="P873" t="str">
            <v/>
          </cell>
          <cell r="Q873">
            <v>45563</v>
          </cell>
          <cell r="R873" t="str">
            <v/>
          </cell>
          <cell r="S873" t="str">
            <v/>
          </cell>
          <cell r="T873" t="str">
            <v/>
          </cell>
          <cell r="U873">
            <v>17350</v>
          </cell>
          <cell r="V873" t="str">
            <v/>
          </cell>
          <cell r="W873">
            <v>45740</v>
          </cell>
          <cell r="X873" t="str">
            <v>Lokasi Produksi 574B1 ( pecahan 574B )</v>
          </cell>
          <cell r="Z873">
            <v>0</v>
          </cell>
          <cell r="AA873">
            <v>45563</v>
          </cell>
          <cell r="AM873" t="str">
            <v>OK</v>
          </cell>
          <cell r="AO873">
            <v>14.378518441358029</v>
          </cell>
          <cell r="AP873">
            <v>14.378518441358029</v>
          </cell>
          <cell r="AQ873">
            <v>0</v>
          </cell>
          <cell r="AR873">
            <v>14.378518441358029</v>
          </cell>
          <cell r="AS873">
            <v>0</v>
          </cell>
          <cell r="AT873">
            <v>45563</v>
          </cell>
          <cell r="AU873">
            <v>14.378518441358029</v>
          </cell>
          <cell r="AV873">
            <v>431.35555324074085</v>
          </cell>
          <cell r="AW873">
            <v>14.378518441358029</v>
          </cell>
          <cell r="AY873">
            <v>436.46369178241002</v>
          </cell>
          <cell r="AZ873" t="str">
            <v>F18</v>
          </cell>
          <cell r="BA873">
            <v>0</v>
          </cell>
          <cell r="BB873" t="str">
            <v>PSY2</v>
          </cell>
          <cell r="BC873" t="str">
            <v>F18</v>
          </cell>
        </row>
        <row r="874">
          <cell r="A874" t="str">
            <v>574B2</v>
          </cell>
          <cell r="B874" t="str">
            <v>3</v>
          </cell>
          <cell r="C874" t="str">
            <v>06</v>
          </cell>
          <cell r="D874">
            <v>23</v>
          </cell>
          <cell r="E874" t="str">
            <v>574B2</v>
          </cell>
          <cell r="F874">
            <v>6.79</v>
          </cell>
          <cell r="G874">
            <v>4.72</v>
          </cell>
          <cell r="H874">
            <v>4.72</v>
          </cell>
          <cell r="I874" t="str">
            <v>Y2</v>
          </cell>
          <cell r="J874" t="str">
            <v>FC</v>
          </cell>
          <cell r="K874">
            <v>0</v>
          </cell>
          <cell r="L874">
            <v>45563</v>
          </cell>
          <cell r="M874">
            <v>45563</v>
          </cell>
          <cell r="N874">
            <v>431</v>
          </cell>
          <cell r="O874" t="str">
            <v>PS</v>
          </cell>
          <cell r="P874" t="str">
            <v/>
          </cell>
          <cell r="Q874">
            <v>45563</v>
          </cell>
          <cell r="R874" t="str">
            <v/>
          </cell>
          <cell r="S874" t="str">
            <v/>
          </cell>
          <cell r="T874" t="str">
            <v/>
          </cell>
          <cell r="U874">
            <v>12393</v>
          </cell>
          <cell r="V874" t="str">
            <v/>
          </cell>
          <cell r="W874">
            <v>45740</v>
          </cell>
          <cell r="X874" t="str">
            <v>Lokasi Produksi 574B2 ( pecahan 574B )</v>
          </cell>
          <cell r="Z874">
            <v>0</v>
          </cell>
          <cell r="AA874">
            <v>45563</v>
          </cell>
          <cell r="AM874" t="str">
            <v>OK</v>
          </cell>
          <cell r="AO874">
            <v>14.378518441358029</v>
          </cell>
          <cell r="AP874">
            <v>14.378518441358029</v>
          </cell>
          <cell r="AQ874">
            <v>0</v>
          </cell>
          <cell r="AR874">
            <v>14.378518441358029</v>
          </cell>
          <cell r="AS874">
            <v>0</v>
          </cell>
          <cell r="AT874">
            <v>45563</v>
          </cell>
          <cell r="AU874">
            <v>14.378518441358029</v>
          </cell>
          <cell r="AV874">
            <v>431.35555324074085</v>
          </cell>
          <cell r="AW874">
            <v>14.378518441358029</v>
          </cell>
          <cell r="AY874">
            <v>436.46369178241002</v>
          </cell>
          <cell r="AZ874" t="str">
            <v>F18</v>
          </cell>
          <cell r="BA874">
            <v>0</v>
          </cell>
          <cell r="BB874" t="str">
            <v>PSY2</v>
          </cell>
          <cell r="BC874" t="str">
            <v>F18</v>
          </cell>
        </row>
        <row r="875">
          <cell r="A875" t="str">
            <v>574C</v>
          </cell>
          <cell r="B875" t="str">
            <v>3</v>
          </cell>
          <cell r="C875" t="str">
            <v>06</v>
          </cell>
          <cell r="D875">
            <v>23</v>
          </cell>
          <cell r="E875" t="str">
            <v>574C</v>
          </cell>
          <cell r="F875">
            <v>18.45</v>
          </cell>
          <cell r="G875">
            <v>15.26</v>
          </cell>
          <cell r="H875">
            <v>15.26</v>
          </cell>
          <cell r="I875" t="str">
            <v>FC</v>
          </cell>
          <cell r="J875" t="str">
            <v>ST</v>
          </cell>
          <cell r="K875">
            <v>14</v>
          </cell>
          <cell r="L875">
            <v>45546</v>
          </cell>
          <cell r="M875">
            <v>45546</v>
          </cell>
          <cell r="N875">
            <v>448</v>
          </cell>
          <cell r="O875" t="str">
            <v>NS</v>
          </cell>
          <cell r="P875" t="str">
            <v>NSGP3CK3</v>
          </cell>
          <cell r="Q875">
            <v>45973</v>
          </cell>
          <cell r="R875" t="str">
            <v/>
          </cell>
          <cell r="S875" t="str">
            <v/>
          </cell>
          <cell r="T875">
            <v>45943</v>
          </cell>
          <cell r="U875">
            <v>66453</v>
          </cell>
          <cell r="V875">
            <v>52535</v>
          </cell>
          <cell r="W875">
            <v>44167</v>
          </cell>
          <cell r="X875" t="str">
            <v>Lokasi Produksi 574C</v>
          </cell>
          <cell r="Z875">
            <v>14</v>
          </cell>
          <cell r="AA875">
            <v>45973</v>
          </cell>
          <cell r="AM875" t="str">
            <v>OK</v>
          </cell>
          <cell r="AO875">
            <v>14.945185108024695</v>
          </cell>
          <cell r="AP875">
            <v>0.94518510802469535</v>
          </cell>
          <cell r="AQ875">
            <v>45943</v>
          </cell>
          <cell r="AR875">
            <v>13.233333333333333</v>
          </cell>
          <cell r="AS875">
            <v>1.7118517746913628</v>
          </cell>
          <cell r="AT875">
            <v>45973</v>
          </cell>
          <cell r="AU875">
            <v>1.7118517746913628</v>
          </cell>
          <cell r="AV875">
            <v>397</v>
          </cell>
          <cell r="AW875">
            <v>1.7118517746913628</v>
          </cell>
          <cell r="AY875">
            <v>453.46369178241002</v>
          </cell>
          <cell r="AZ875" t="str">
            <v>GP3</v>
          </cell>
          <cell r="BA875">
            <v>15.26</v>
          </cell>
          <cell r="BB875" t="str">
            <v>NSFC</v>
          </cell>
          <cell r="BC875" t="str">
            <v>GP3CK</v>
          </cell>
        </row>
        <row r="876">
          <cell r="A876" t="str">
            <v>574D1</v>
          </cell>
          <cell r="B876" t="str">
            <v>3</v>
          </cell>
          <cell r="C876" t="str">
            <v>06</v>
          </cell>
          <cell r="D876">
            <v>23</v>
          </cell>
          <cell r="E876" t="str">
            <v>574D1</v>
          </cell>
          <cell r="F876">
            <v>9.08</v>
          </cell>
          <cell r="G876">
            <v>7.58</v>
          </cell>
          <cell r="H876">
            <v>7.58</v>
          </cell>
          <cell r="I876" t="str">
            <v>ST</v>
          </cell>
          <cell r="J876" t="str">
            <v>BK</v>
          </cell>
          <cell r="K876">
            <v>0</v>
          </cell>
          <cell r="L876">
            <v>45930</v>
          </cell>
          <cell r="M876">
            <v>45930</v>
          </cell>
          <cell r="N876">
            <v>64</v>
          </cell>
          <cell r="O876" t="str">
            <v>NS</v>
          </cell>
          <cell r="P876" t="str">
            <v/>
          </cell>
          <cell r="Q876">
            <v>45930</v>
          </cell>
          <cell r="R876" t="str">
            <v/>
          </cell>
          <cell r="S876" t="str">
            <v/>
          </cell>
          <cell r="T876" t="str">
            <v/>
          </cell>
          <cell r="U876">
            <v>72362</v>
          </cell>
          <cell r="V876">
            <v>75658</v>
          </cell>
          <cell r="W876">
            <v>43629</v>
          </cell>
          <cell r="X876" t="str">
            <v>Lokasi Produksi 574D1 ( pecahan 574D )</v>
          </cell>
          <cell r="Z876">
            <v>0</v>
          </cell>
          <cell r="AA876">
            <v>45930</v>
          </cell>
          <cell r="AM876" t="str">
            <v>OK</v>
          </cell>
          <cell r="AO876">
            <v>2.1451851080246951</v>
          </cell>
          <cell r="AP876">
            <v>2.1451851080246951</v>
          </cell>
          <cell r="AQ876">
            <v>0</v>
          </cell>
          <cell r="AR876">
            <v>2.1451851080246951</v>
          </cell>
          <cell r="AS876">
            <v>0</v>
          </cell>
          <cell r="AT876">
            <v>45930</v>
          </cell>
          <cell r="AU876">
            <v>2.1451851080246951</v>
          </cell>
          <cell r="AV876">
            <v>64.355553240740846</v>
          </cell>
          <cell r="AW876">
            <v>2.1451851080246951</v>
          </cell>
          <cell r="AY876">
            <v>69.463691782410024</v>
          </cell>
          <cell r="AZ876" t="str">
            <v>F18</v>
          </cell>
          <cell r="BA876">
            <v>0</v>
          </cell>
          <cell r="BB876" t="str">
            <v>NSST</v>
          </cell>
          <cell r="BC876" t="str">
            <v>F18</v>
          </cell>
        </row>
        <row r="877">
          <cell r="A877" t="str">
            <v>574D2</v>
          </cell>
          <cell r="B877" t="str">
            <v>3</v>
          </cell>
          <cell r="C877" t="str">
            <v>06</v>
          </cell>
          <cell r="D877">
            <v>23</v>
          </cell>
          <cell r="E877" t="str">
            <v>574D2</v>
          </cell>
          <cell r="F877">
            <v>17.28</v>
          </cell>
          <cell r="G877">
            <v>13.37</v>
          </cell>
          <cell r="H877">
            <v>13.37</v>
          </cell>
          <cell r="I877" t="str">
            <v>BK</v>
          </cell>
          <cell r="J877" t="str">
            <v>SC</v>
          </cell>
          <cell r="K877">
            <v>0</v>
          </cell>
          <cell r="L877">
            <v>45965</v>
          </cell>
          <cell r="M877">
            <v>45965</v>
          </cell>
          <cell r="N877">
            <v>29</v>
          </cell>
          <cell r="O877" t="str">
            <v>NS</v>
          </cell>
          <cell r="P877" t="str">
            <v/>
          </cell>
          <cell r="Q877">
            <v>45965</v>
          </cell>
          <cell r="R877" t="str">
            <v/>
          </cell>
          <cell r="S877" t="str">
            <v/>
          </cell>
          <cell r="T877" t="str">
            <v/>
          </cell>
          <cell r="U877">
            <v>70693</v>
          </cell>
          <cell r="V877">
            <v>52509</v>
          </cell>
          <cell r="W877">
            <v>43433</v>
          </cell>
          <cell r="X877" t="str">
            <v>Lokasi Produksi 574D2 ( pecahan 574D )</v>
          </cell>
          <cell r="Z877">
            <v>0</v>
          </cell>
          <cell r="AA877">
            <v>45965</v>
          </cell>
          <cell r="AM877" t="str">
            <v>OK</v>
          </cell>
          <cell r="AO877">
            <v>0.97851844135802823</v>
          </cell>
          <cell r="AP877">
            <v>0.97851844135802823</v>
          </cell>
          <cell r="AQ877">
            <v>0</v>
          </cell>
          <cell r="AR877">
            <v>0.97851844135802823</v>
          </cell>
          <cell r="AS877">
            <v>0</v>
          </cell>
          <cell r="AT877">
            <v>45965</v>
          </cell>
          <cell r="AU877">
            <v>0.97851844135802823</v>
          </cell>
          <cell r="AV877">
            <v>29.355553240740846</v>
          </cell>
          <cell r="AW877">
            <v>0.97851844135802823</v>
          </cell>
          <cell r="AY877">
            <v>34.463691782410024</v>
          </cell>
          <cell r="AZ877" t="str">
            <v>F18</v>
          </cell>
          <cell r="BA877">
            <v>0</v>
          </cell>
          <cell r="BB877" t="str">
            <v>NSBK</v>
          </cell>
          <cell r="BC877" t="str">
            <v>F18</v>
          </cell>
        </row>
        <row r="878">
          <cell r="A878" t="str">
            <v>575A1A</v>
          </cell>
          <cell r="B878" t="str">
            <v>3</v>
          </cell>
          <cell r="C878" t="str">
            <v>06</v>
          </cell>
          <cell r="D878">
            <v>23</v>
          </cell>
          <cell r="E878" t="str">
            <v>575A1A</v>
          </cell>
          <cell r="F878">
            <v>10.63</v>
          </cell>
          <cell r="G878">
            <v>8.34</v>
          </cell>
          <cell r="H878">
            <v>8.34</v>
          </cell>
          <cell r="I878" t="str">
            <v>ST</v>
          </cell>
          <cell r="J878" t="str">
            <v>BK</v>
          </cell>
          <cell r="K878">
            <v>0</v>
          </cell>
          <cell r="L878">
            <v>45978</v>
          </cell>
          <cell r="M878">
            <v>45978</v>
          </cell>
          <cell r="N878">
            <v>16</v>
          </cell>
          <cell r="O878" t="str">
            <v>NS</v>
          </cell>
          <cell r="P878" t="str">
            <v/>
          </cell>
          <cell r="Q878">
            <v>45978</v>
          </cell>
          <cell r="R878" t="str">
            <v/>
          </cell>
          <cell r="S878" t="str">
            <v/>
          </cell>
          <cell r="T878" t="str">
            <v/>
          </cell>
          <cell r="U878">
            <v>73283</v>
          </cell>
          <cell r="V878">
            <v>52240</v>
          </cell>
          <cell r="W878">
            <v>44849</v>
          </cell>
          <cell r="X878" t="str">
            <v>Lokasi Produksi 575A1A ( pecahan 575A1 )</v>
          </cell>
          <cell r="Z878">
            <v>0</v>
          </cell>
          <cell r="AA878">
            <v>45978</v>
          </cell>
          <cell r="AM878" t="str">
            <v>OK</v>
          </cell>
          <cell r="AO878">
            <v>0.54518510802469489</v>
          </cell>
          <cell r="AP878">
            <v>0.54518510802469489</v>
          </cell>
          <cell r="AQ878">
            <v>0</v>
          </cell>
          <cell r="AR878">
            <v>0.54518510802469489</v>
          </cell>
          <cell r="AS878">
            <v>0</v>
          </cell>
          <cell r="AT878">
            <v>45978</v>
          </cell>
          <cell r="AU878">
            <v>0.54518510802469489</v>
          </cell>
          <cell r="AV878">
            <v>16.355553240740846</v>
          </cell>
          <cell r="AW878">
            <v>0.54518510802469489</v>
          </cell>
          <cell r="AY878">
            <v>21.463691782410024</v>
          </cell>
          <cell r="AZ878" t="str">
            <v>F18</v>
          </cell>
          <cell r="BA878">
            <v>0</v>
          </cell>
          <cell r="BB878" t="str">
            <v>NSST</v>
          </cell>
          <cell r="BC878" t="str">
            <v>F18</v>
          </cell>
        </row>
        <row r="879">
          <cell r="A879" t="str">
            <v>575A1B</v>
          </cell>
          <cell r="B879" t="str">
            <v>3</v>
          </cell>
          <cell r="C879" t="str">
            <v>06</v>
          </cell>
          <cell r="D879">
            <v>23</v>
          </cell>
          <cell r="E879" t="str">
            <v>575A1B</v>
          </cell>
          <cell r="F879">
            <v>5.51</v>
          </cell>
          <cell r="G879">
            <v>4.6900000000000004</v>
          </cell>
          <cell r="H879">
            <v>4.6900000000000004</v>
          </cell>
          <cell r="I879" t="str">
            <v>FC</v>
          </cell>
          <cell r="J879" t="str">
            <v>ST</v>
          </cell>
          <cell r="K879">
            <v>14</v>
          </cell>
          <cell r="L879">
            <v>45962</v>
          </cell>
          <cell r="M879">
            <v>45962</v>
          </cell>
          <cell r="N879">
            <v>32</v>
          </cell>
          <cell r="O879" t="str">
            <v>NS</v>
          </cell>
          <cell r="P879" t="str">
            <v>NSF18CK3</v>
          </cell>
          <cell r="Q879">
            <v>46389</v>
          </cell>
          <cell r="R879" t="str">
            <v/>
          </cell>
          <cell r="S879" t="str">
            <v/>
          </cell>
          <cell r="T879" t="str">
            <v/>
          </cell>
          <cell r="U879">
            <v>72330</v>
          </cell>
          <cell r="V879">
            <v>52197</v>
          </cell>
          <cell r="W879">
            <v>44849</v>
          </cell>
          <cell r="X879" t="str">
            <v>Lokasi Produksi 575A1B ( pecahan 575A1 )</v>
          </cell>
          <cell r="Z879">
            <v>14</v>
          </cell>
          <cell r="AA879">
            <v>46389</v>
          </cell>
          <cell r="AM879" t="str">
            <v>OK</v>
          </cell>
          <cell r="AO879">
            <v>1.0785184413580282</v>
          </cell>
          <cell r="AP879">
            <v>-12.921481558641972</v>
          </cell>
          <cell r="AQ879">
            <v>0</v>
          </cell>
          <cell r="AR879">
            <v>1.0785184413580282</v>
          </cell>
          <cell r="AS879">
            <v>0</v>
          </cell>
          <cell r="AT879">
            <v>46389</v>
          </cell>
          <cell r="AU879">
            <v>-12.921481558641972</v>
          </cell>
          <cell r="AV879">
            <v>32.355553240740846</v>
          </cell>
          <cell r="AW879">
            <v>-12.921481558641972</v>
          </cell>
          <cell r="AY879">
            <v>37.463691782410024</v>
          </cell>
          <cell r="AZ879" t="str">
            <v>F18</v>
          </cell>
          <cell r="BA879">
            <v>4.6900000000000004</v>
          </cell>
          <cell r="BB879" t="str">
            <v>NSFC</v>
          </cell>
          <cell r="BC879" t="str">
            <v>F18CK</v>
          </cell>
        </row>
        <row r="880">
          <cell r="A880" t="str">
            <v>575A2</v>
          </cell>
          <cell r="B880" t="str">
            <v>3</v>
          </cell>
          <cell r="C880" t="str">
            <v>06</v>
          </cell>
          <cell r="D880">
            <v>23</v>
          </cell>
          <cell r="E880" t="str">
            <v>575A2</v>
          </cell>
          <cell r="F880">
            <v>10.89</v>
          </cell>
          <cell r="G880">
            <v>9.0500000000000007</v>
          </cell>
          <cell r="H880">
            <v>9.0500000000000007</v>
          </cell>
          <cell r="I880" t="str">
            <v>FC</v>
          </cell>
          <cell r="J880" t="str">
            <v>ST</v>
          </cell>
          <cell r="K880">
            <v>14</v>
          </cell>
          <cell r="L880">
            <v>45960</v>
          </cell>
          <cell r="M880">
            <v>45960</v>
          </cell>
          <cell r="N880">
            <v>34</v>
          </cell>
          <cell r="O880" t="str">
            <v>NS</v>
          </cell>
          <cell r="P880" t="str">
            <v>NSF18CK3</v>
          </cell>
          <cell r="Q880">
            <v>46387</v>
          </cell>
          <cell r="R880" t="str">
            <v/>
          </cell>
          <cell r="S880" t="str">
            <v/>
          </cell>
          <cell r="T880" t="str">
            <v/>
          </cell>
          <cell r="U880">
            <v>69033</v>
          </cell>
          <cell r="V880">
            <v>73937</v>
          </cell>
          <cell r="W880">
            <v>43472</v>
          </cell>
          <cell r="X880" t="str">
            <v>Lokasi Produksi 575A2</v>
          </cell>
          <cell r="Z880">
            <v>14</v>
          </cell>
          <cell r="AA880">
            <v>46387</v>
          </cell>
          <cell r="AM880" t="str">
            <v>OK</v>
          </cell>
          <cell r="AO880">
            <v>1.1451851080246949</v>
          </cell>
          <cell r="AP880">
            <v>-12.854814891975305</v>
          </cell>
          <cell r="AQ880">
            <v>0</v>
          </cell>
          <cell r="AR880">
            <v>1.1451851080246949</v>
          </cell>
          <cell r="AS880">
            <v>0</v>
          </cell>
          <cell r="AT880">
            <v>46387</v>
          </cell>
          <cell r="AU880">
            <v>-12.854814891975305</v>
          </cell>
          <cell r="AV880">
            <v>34.355553240740846</v>
          </cell>
          <cell r="AW880">
            <v>-12.854814891975305</v>
          </cell>
          <cell r="AY880">
            <v>39.463691782410024</v>
          </cell>
          <cell r="AZ880" t="str">
            <v>F18</v>
          </cell>
          <cell r="BA880">
            <v>9.0500000000000007</v>
          </cell>
          <cell r="BB880" t="str">
            <v>NSFC</v>
          </cell>
          <cell r="BC880" t="str">
            <v>F18CK</v>
          </cell>
        </row>
        <row r="881">
          <cell r="A881" t="str">
            <v>576A1</v>
          </cell>
          <cell r="B881" t="str">
            <v>3</v>
          </cell>
          <cell r="C881" t="str">
            <v>06</v>
          </cell>
          <cell r="D881">
            <v>22</v>
          </cell>
          <cell r="E881" t="str">
            <v>576A1</v>
          </cell>
          <cell r="F881">
            <v>15.72</v>
          </cell>
          <cell r="G881">
            <v>12.53</v>
          </cell>
          <cell r="H881">
            <v>12.53</v>
          </cell>
          <cell r="I881" t="str">
            <v>BK</v>
          </cell>
          <cell r="J881" t="str">
            <v>SC</v>
          </cell>
          <cell r="K881">
            <v>0</v>
          </cell>
          <cell r="L881">
            <v>45863</v>
          </cell>
          <cell r="M881">
            <v>45863</v>
          </cell>
          <cell r="N881">
            <v>131</v>
          </cell>
          <cell r="O881" t="str">
            <v>NS</v>
          </cell>
          <cell r="P881" t="str">
            <v/>
          </cell>
          <cell r="Q881">
            <v>45863</v>
          </cell>
          <cell r="R881" t="str">
            <v/>
          </cell>
          <cell r="S881" t="str">
            <v/>
          </cell>
          <cell r="T881" t="str">
            <v/>
          </cell>
          <cell r="U881">
            <v>72320</v>
          </cell>
          <cell r="V881">
            <v>52376</v>
          </cell>
          <cell r="W881">
            <v>43654</v>
          </cell>
          <cell r="X881" t="str">
            <v>Lokasi Produksi 576A1 ( pecahan 576A )</v>
          </cell>
          <cell r="Z881">
            <v>0</v>
          </cell>
          <cell r="AA881">
            <v>45863</v>
          </cell>
          <cell r="AM881" t="str">
            <v>OK</v>
          </cell>
          <cell r="AO881">
            <v>4.378518441358028</v>
          </cell>
          <cell r="AP881">
            <v>4.378518441358028</v>
          </cell>
          <cell r="AQ881">
            <v>0</v>
          </cell>
          <cell r="AR881">
            <v>4.378518441358028</v>
          </cell>
          <cell r="AS881">
            <v>0</v>
          </cell>
          <cell r="AT881">
            <v>45863</v>
          </cell>
          <cell r="AU881">
            <v>4.378518441358028</v>
          </cell>
          <cell r="AV881">
            <v>131.35555324074085</v>
          </cell>
          <cell r="AW881">
            <v>4.378518441358028</v>
          </cell>
          <cell r="AY881">
            <v>136.46369178241002</v>
          </cell>
          <cell r="AZ881" t="str">
            <v>F18</v>
          </cell>
          <cell r="BA881">
            <v>0</v>
          </cell>
          <cell r="BB881" t="str">
            <v>NSBK</v>
          </cell>
          <cell r="BC881" t="str">
            <v>F18</v>
          </cell>
        </row>
        <row r="882">
          <cell r="A882" t="str">
            <v>576A2</v>
          </cell>
          <cell r="B882" t="str">
            <v>3</v>
          </cell>
          <cell r="C882" t="str">
            <v>06</v>
          </cell>
          <cell r="D882">
            <v>22</v>
          </cell>
          <cell r="E882" t="str">
            <v>576A2</v>
          </cell>
          <cell r="F882">
            <v>7.26</v>
          </cell>
          <cell r="G882">
            <v>6.1</v>
          </cell>
          <cell r="H882">
            <v>6.1</v>
          </cell>
          <cell r="I882" t="str">
            <v>FC</v>
          </cell>
          <cell r="J882" t="str">
            <v>ST</v>
          </cell>
          <cell r="K882">
            <v>14</v>
          </cell>
          <cell r="L882">
            <v>45939</v>
          </cell>
          <cell r="M882">
            <v>45939</v>
          </cell>
          <cell r="N882">
            <v>55</v>
          </cell>
          <cell r="O882" t="str">
            <v>NS</v>
          </cell>
          <cell r="P882" t="str">
            <v>NSF18CK3</v>
          </cell>
          <cell r="Q882">
            <v>46366</v>
          </cell>
          <cell r="R882" t="str">
            <v/>
          </cell>
          <cell r="S882" t="str">
            <v/>
          </cell>
          <cell r="T882" t="str">
            <v/>
          </cell>
          <cell r="U882">
            <v>70329</v>
          </cell>
          <cell r="V882">
            <v>52361</v>
          </cell>
          <cell r="W882" t="str">
            <v/>
          </cell>
          <cell r="X882" t="str">
            <v>Lokasi Produksi 576A2 ( pecahan 576A )</v>
          </cell>
          <cell r="Z882">
            <v>14</v>
          </cell>
          <cell r="AA882">
            <v>46366</v>
          </cell>
          <cell r="AM882" t="str">
            <v>OK</v>
          </cell>
          <cell r="AO882">
            <v>1.8451851080246948</v>
          </cell>
          <cell r="AP882">
            <v>-12.154814891975306</v>
          </cell>
          <cell r="AQ882">
            <v>0</v>
          </cell>
          <cell r="AR882">
            <v>1.8451851080246948</v>
          </cell>
          <cell r="AS882">
            <v>0</v>
          </cell>
          <cell r="AT882">
            <v>46366</v>
          </cell>
          <cell r="AU882">
            <v>-12.154814891975306</v>
          </cell>
          <cell r="AV882">
            <v>55.355553240740846</v>
          </cell>
          <cell r="AW882">
            <v>-12.154814891975306</v>
          </cell>
          <cell r="AY882">
            <v>60.463691782410024</v>
          </cell>
          <cell r="AZ882" t="str">
            <v>F18</v>
          </cell>
          <cell r="BA882">
            <v>6.1</v>
          </cell>
          <cell r="BB882" t="str">
            <v>NSFC</v>
          </cell>
          <cell r="BC882" t="str">
            <v>F18CK</v>
          </cell>
        </row>
        <row r="883">
          <cell r="A883" t="str">
            <v>576B1</v>
          </cell>
          <cell r="B883" t="str">
            <v>3</v>
          </cell>
          <cell r="C883" t="str">
            <v>06</v>
          </cell>
          <cell r="D883">
            <v>22</v>
          </cell>
          <cell r="E883" t="str">
            <v>576B1</v>
          </cell>
          <cell r="F883">
            <v>7.83</v>
          </cell>
          <cell r="G883">
            <v>6.21</v>
          </cell>
          <cell r="H883">
            <v>6.21</v>
          </cell>
          <cell r="I883" t="str">
            <v>BK</v>
          </cell>
          <cell r="J883" t="str">
            <v>BB</v>
          </cell>
          <cell r="K883">
            <v>0</v>
          </cell>
          <cell r="L883">
            <v>45992</v>
          </cell>
          <cell r="M883">
            <v>45992</v>
          </cell>
          <cell r="N883">
            <v>2</v>
          </cell>
          <cell r="O883" t="str">
            <v>NS</v>
          </cell>
          <cell r="P883" t="str">
            <v/>
          </cell>
          <cell r="Q883">
            <v>45992</v>
          </cell>
          <cell r="R883" t="str">
            <v/>
          </cell>
          <cell r="S883" t="str">
            <v/>
          </cell>
          <cell r="T883" t="str">
            <v/>
          </cell>
          <cell r="U883">
            <v>70512</v>
          </cell>
          <cell r="V883">
            <v>75093</v>
          </cell>
          <cell r="W883">
            <v>45655</v>
          </cell>
          <cell r="X883" t="str">
            <v>Lokasi Produksi 576B1 ( pecahan 576B )</v>
          </cell>
          <cell r="Z883">
            <v>0</v>
          </cell>
          <cell r="AA883">
            <v>45992</v>
          </cell>
          <cell r="AM883" t="str">
            <v>OK</v>
          </cell>
          <cell r="AO883">
            <v>7.8518441358028213E-2</v>
          </cell>
          <cell r="AP883">
            <v>7.8518441358028213E-2</v>
          </cell>
          <cell r="AQ883">
            <v>0</v>
          </cell>
          <cell r="AR883">
            <v>7.8518441358028213E-2</v>
          </cell>
          <cell r="AS883">
            <v>0</v>
          </cell>
          <cell r="AT883">
            <v>45992</v>
          </cell>
          <cell r="AU883">
            <v>7.8518441358028213E-2</v>
          </cell>
          <cell r="AV883">
            <v>2.3555532407408464</v>
          </cell>
          <cell r="AW883">
            <v>7.8518441358028213E-2</v>
          </cell>
          <cell r="AY883">
            <v>7.4636917824100237</v>
          </cell>
          <cell r="AZ883" t="str">
            <v>F18</v>
          </cell>
          <cell r="BA883">
            <v>0</v>
          </cell>
          <cell r="BB883" t="str">
            <v>NSBK</v>
          </cell>
          <cell r="BC883" t="str">
            <v>F18</v>
          </cell>
        </row>
        <row r="884">
          <cell r="A884" t="str">
            <v>576B2</v>
          </cell>
          <cell r="B884" t="str">
            <v>3</v>
          </cell>
          <cell r="C884" t="str">
            <v>06</v>
          </cell>
          <cell r="D884">
            <v>22</v>
          </cell>
          <cell r="E884" t="str">
            <v>576B2</v>
          </cell>
          <cell r="F884">
            <v>8.17</v>
          </cell>
          <cell r="G884">
            <v>6.52</v>
          </cell>
          <cell r="H884">
            <v>6.52</v>
          </cell>
          <cell r="I884" t="str">
            <v>BK</v>
          </cell>
          <cell r="J884" t="str">
            <v>SC</v>
          </cell>
          <cell r="K884">
            <v>0</v>
          </cell>
          <cell r="L884">
            <v>45945</v>
          </cell>
          <cell r="M884">
            <v>45945</v>
          </cell>
          <cell r="N884">
            <v>49</v>
          </cell>
          <cell r="O884" t="str">
            <v>NS</v>
          </cell>
          <cell r="P884" t="str">
            <v/>
          </cell>
          <cell r="Q884">
            <v>45945</v>
          </cell>
          <cell r="R884" t="str">
            <v/>
          </cell>
          <cell r="S884" t="str">
            <v/>
          </cell>
          <cell r="T884" t="str">
            <v/>
          </cell>
          <cell r="U884">
            <v>72507</v>
          </cell>
          <cell r="V884">
            <v>52624</v>
          </cell>
          <cell r="W884" t="str">
            <v/>
          </cell>
          <cell r="X884" t="str">
            <v>Lokasi Produksi 576B2 ( pecahan 576B )</v>
          </cell>
          <cell r="Z884">
            <v>0</v>
          </cell>
          <cell r="AA884">
            <v>45945</v>
          </cell>
          <cell r="AM884" t="str">
            <v>OK</v>
          </cell>
          <cell r="AO884">
            <v>1.6451851080246949</v>
          </cell>
          <cell r="AP884">
            <v>1.6451851080246949</v>
          </cell>
          <cell r="AQ884">
            <v>0</v>
          </cell>
          <cell r="AR884">
            <v>1.6451851080246949</v>
          </cell>
          <cell r="AS884">
            <v>0</v>
          </cell>
          <cell r="AT884">
            <v>45945</v>
          </cell>
          <cell r="AU884">
            <v>1.6451851080246949</v>
          </cell>
          <cell r="AV884">
            <v>49.355553240740846</v>
          </cell>
          <cell r="AW884">
            <v>1.6451851080246949</v>
          </cell>
          <cell r="AY884">
            <v>54.463691782410024</v>
          </cell>
          <cell r="AZ884" t="str">
            <v>F18</v>
          </cell>
          <cell r="BA884">
            <v>0</v>
          </cell>
          <cell r="BB884" t="str">
            <v>NSBK</v>
          </cell>
          <cell r="BC884" t="str">
            <v>F18</v>
          </cell>
        </row>
        <row r="885">
          <cell r="A885" t="str">
            <v>576C3</v>
          </cell>
          <cell r="B885" t="str">
            <v>3</v>
          </cell>
          <cell r="C885" t="str">
            <v>06</v>
          </cell>
          <cell r="D885">
            <v>22</v>
          </cell>
          <cell r="E885" t="str">
            <v>576C3</v>
          </cell>
          <cell r="F885">
            <v>7.21</v>
          </cell>
          <cell r="G885">
            <v>5.76</v>
          </cell>
          <cell r="H885">
            <v>5.76</v>
          </cell>
          <cell r="I885" t="str">
            <v>BK</v>
          </cell>
          <cell r="J885" t="str">
            <v/>
          </cell>
          <cell r="K885">
            <v>0</v>
          </cell>
          <cell r="L885">
            <v>45945</v>
          </cell>
          <cell r="M885">
            <v>45945</v>
          </cell>
          <cell r="N885">
            <v>49</v>
          </cell>
          <cell r="O885" t="str">
            <v>NS</v>
          </cell>
          <cell r="P885" t="str">
            <v/>
          </cell>
          <cell r="Q885">
            <v>45945</v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>Lokasi Produksi 576C3 ( pecahan 576C )</v>
          </cell>
          <cell r="Z885">
            <v>0</v>
          </cell>
          <cell r="AA885">
            <v>45945</v>
          </cell>
          <cell r="AM885" t="str">
            <v>OK</v>
          </cell>
          <cell r="AO885">
            <v>1.6451851080246949</v>
          </cell>
          <cell r="AP885">
            <v>1.6451851080246949</v>
          </cell>
          <cell r="AQ885">
            <v>0</v>
          </cell>
          <cell r="AR885">
            <v>1.6451851080246949</v>
          </cell>
          <cell r="AS885">
            <v>0</v>
          </cell>
          <cell r="AT885">
            <v>45945</v>
          </cell>
          <cell r="AU885">
            <v>1.6451851080246949</v>
          </cell>
          <cell r="AV885">
            <v>49.355553240740846</v>
          </cell>
          <cell r="AW885">
            <v>1.6451851080246949</v>
          </cell>
          <cell r="AY885">
            <v>54.463691782410024</v>
          </cell>
          <cell r="AZ885" t="str">
            <v>F18</v>
          </cell>
          <cell r="BA885">
            <v>0</v>
          </cell>
          <cell r="BB885" t="str">
            <v>NSBK</v>
          </cell>
          <cell r="BC885" t="str">
            <v>F18</v>
          </cell>
        </row>
        <row r="886">
          <cell r="A886" t="str">
            <v>576C4</v>
          </cell>
          <cell r="B886" t="str">
            <v>3</v>
          </cell>
          <cell r="C886" t="str">
            <v>06</v>
          </cell>
          <cell r="D886">
            <v>22</v>
          </cell>
          <cell r="E886" t="str">
            <v>576C4</v>
          </cell>
          <cell r="F886">
            <v>7.23</v>
          </cell>
          <cell r="G886">
            <v>5.73</v>
          </cell>
          <cell r="H886">
            <v>5.73</v>
          </cell>
          <cell r="I886" t="str">
            <v>BK</v>
          </cell>
          <cell r="J886" t="str">
            <v/>
          </cell>
          <cell r="K886">
            <v>0</v>
          </cell>
          <cell r="L886">
            <v>45945</v>
          </cell>
          <cell r="M886">
            <v>45945</v>
          </cell>
          <cell r="N886">
            <v>49</v>
          </cell>
          <cell r="O886" t="str">
            <v>NS</v>
          </cell>
          <cell r="P886" t="str">
            <v/>
          </cell>
          <cell r="Q886">
            <v>45945</v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>Lokasi Produksi 576C4 ( pecahan 576C )</v>
          </cell>
          <cell r="Z886">
            <v>0</v>
          </cell>
          <cell r="AA886">
            <v>45945</v>
          </cell>
          <cell r="AM886" t="str">
            <v>OK</v>
          </cell>
          <cell r="AO886">
            <v>1.6451851080246949</v>
          </cell>
          <cell r="AP886">
            <v>1.6451851080246949</v>
          </cell>
          <cell r="AQ886">
            <v>0</v>
          </cell>
          <cell r="AR886">
            <v>1.6451851080246949</v>
          </cell>
          <cell r="AS886">
            <v>0</v>
          </cell>
          <cell r="AT886">
            <v>45945</v>
          </cell>
          <cell r="AU886">
            <v>1.6451851080246949</v>
          </cell>
          <cell r="AV886">
            <v>49.355553240740846</v>
          </cell>
          <cell r="AW886">
            <v>1.6451851080246949</v>
          </cell>
          <cell r="AY886">
            <v>54.463691782410024</v>
          </cell>
          <cell r="AZ886" t="str">
            <v>F18</v>
          </cell>
          <cell r="BA886">
            <v>0</v>
          </cell>
          <cell r="BB886" t="str">
            <v>NSBK</v>
          </cell>
          <cell r="BC886" t="str">
            <v>F18</v>
          </cell>
        </row>
        <row r="887">
          <cell r="A887" t="str">
            <v>576D1</v>
          </cell>
          <cell r="B887" t="str">
            <v>3</v>
          </cell>
          <cell r="C887" t="str">
            <v>06</v>
          </cell>
          <cell r="D887">
            <v>22</v>
          </cell>
          <cell r="E887" t="str">
            <v>576D1</v>
          </cell>
          <cell r="F887">
            <v>10.77</v>
          </cell>
          <cell r="G887">
            <v>8.73</v>
          </cell>
          <cell r="H887">
            <v>8.73</v>
          </cell>
          <cell r="I887" t="str">
            <v>Y1</v>
          </cell>
          <cell r="J887" t="str">
            <v>TU</v>
          </cell>
          <cell r="K887">
            <v>0</v>
          </cell>
          <cell r="L887">
            <v>45697</v>
          </cell>
          <cell r="M887">
            <v>45697</v>
          </cell>
          <cell r="N887">
            <v>297</v>
          </cell>
          <cell r="O887" t="str">
            <v>PS</v>
          </cell>
          <cell r="P887" t="str">
            <v/>
          </cell>
          <cell r="Q887">
            <v>45697</v>
          </cell>
          <cell r="R887" t="str">
            <v/>
          </cell>
          <cell r="S887" t="str">
            <v/>
          </cell>
          <cell r="T887" t="str">
            <v/>
          </cell>
          <cell r="U887">
            <v>21272</v>
          </cell>
          <cell r="V887" t="str">
            <v/>
          </cell>
          <cell r="W887" t="str">
            <v/>
          </cell>
          <cell r="X887" t="str">
            <v>Lokasi Produksi 576D1 ( pecahan 576D )</v>
          </cell>
          <cell r="Z887">
            <v>0</v>
          </cell>
          <cell r="AA887">
            <v>45697</v>
          </cell>
          <cell r="AM887" t="str">
            <v>OK</v>
          </cell>
          <cell r="AO887">
            <v>9.9118517746913621</v>
          </cell>
          <cell r="AP887">
            <v>9.9118517746913621</v>
          </cell>
          <cell r="AQ887">
            <v>0</v>
          </cell>
          <cell r="AR887">
            <v>9.9118517746913621</v>
          </cell>
          <cell r="AS887">
            <v>0</v>
          </cell>
          <cell r="AT887">
            <v>45697</v>
          </cell>
          <cell r="AU887">
            <v>9.9118517746913621</v>
          </cell>
          <cell r="AV887">
            <v>297.35555324074085</v>
          </cell>
          <cell r="AW887">
            <v>9.9118517746913621</v>
          </cell>
          <cell r="AY887">
            <v>302.46369178241002</v>
          </cell>
          <cell r="AZ887" t="str">
            <v>F18</v>
          </cell>
          <cell r="BA887">
            <v>0</v>
          </cell>
          <cell r="BB887" t="str">
            <v>PSY1</v>
          </cell>
          <cell r="BC887" t="str">
            <v>F18</v>
          </cell>
        </row>
        <row r="888">
          <cell r="A888" t="str">
            <v>576D2</v>
          </cell>
          <cell r="B888" t="str">
            <v>3</v>
          </cell>
          <cell r="C888" t="str">
            <v>06</v>
          </cell>
          <cell r="D888">
            <v>22</v>
          </cell>
          <cell r="E888" t="str">
            <v>576D2</v>
          </cell>
          <cell r="F888">
            <v>6.47</v>
          </cell>
          <cell r="G888">
            <v>5.31</v>
          </cell>
          <cell r="H888">
            <v>5.31</v>
          </cell>
          <cell r="I888" t="str">
            <v>Y1</v>
          </cell>
          <cell r="J888" t="str">
            <v>TU</v>
          </cell>
          <cell r="K888">
            <v>0</v>
          </cell>
          <cell r="L888">
            <v>45715</v>
          </cell>
          <cell r="M888">
            <v>45715</v>
          </cell>
          <cell r="N888">
            <v>279</v>
          </cell>
          <cell r="O888" t="str">
            <v>PS</v>
          </cell>
          <cell r="P888" t="str">
            <v/>
          </cell>
          <cell r="Q888">
            <v>45715</v>
          </cell>
          <cell r="R888" t="str">
            <v/>
          </cell>
          <cell r="S888" t="str">
            <v/>
          </cell>
          <cell r="T888" t="str">
            <v/>
          </cell>
          <cell r="U888">
            <v>12239</v>
          </cell>
          <cell r="V888">
            <v>12239</v>
          </cell>
          <cell r="W888" t="str">
            <v/>
          </cell>
          <cell r="X888" t="str">
            <v>Lokasi Produksi 576D2 ( pecahan 576D )</v>
          </cell>
          <cell r="Z888">
            <v>0</v>
          </cell>
          <cell r="AA888">
            <v>45715</v>
          </cell>
          <cell r="AM888" t="str">
            <v>OK</v>
          </cell>
          <cell r="AO888">
            <v>9.3118517746913607</v>
          </cell>
          <cell r="AP888">
            <v>9.3118517746913607</v>
          </cell>
          <cell r="AQ888">
            <v>0</v>
          </cell>
          <cell r="AR888">
            <v>9.3118517746913607</v>
          </cell>
          <cell r="AS888">
            <v>0</v>
          </cell>
          <cell r="AT888">
            <v>45715</v>
          </cell>
          <cell r="AU888">
            <v>9.3118517746913607</v>
          </cell>
          <cell r="AV888">
            <v>279.35555324074085</v>
          </cell>
          <cell r="AW888">
            <v>9.3118517746913607</v>
          </cell>
          <cell r="AY888">
            <v>284.46369178241002</v>
          </cell>
          <cell r="AZ888" t="str">
            <v>F18</v>
          </cell>
          <cell r="BA888">
            <v>0</v>
          </cell>
          <cell r="BB888" t="str">
            <v>PSY1</v>
          </cell>
          <cell r="BC888" t="str">
            <v>F18</v>
          </cell>
        </row>
        <row r="889">
          <cell r="A889" t="str">
            <v>577A1</v>
          </cell>
          <cell r="B889" t="str">
            <v>3</v>
          </cell>
          <cell r="C889" t="str">
            <v>06</v>
          </cell>
          <cell r="D889">
            <v>22</v>
          </cell>
          <cell r="E889" t="str">
            <v>577A1</v>
          </cell>
          <cell r="F889">
            <v>5.09</v>
          </cell>
          <cell r="G889">
            <v>4.03</v>
          </cell>
          <cell r="H889">
            <v>4.03</v>
          </cell>
          <cell r="I889" t="str">
            <v>BK</v>
          </cell>
          <cell r="J889" t="str">
            <v>BB</v>
          </cell>
          <cell r="K889">
            <v>0</v>
          </cell>
          <cell r="L889">
            <v>45992</v>
          </cell>
          <cell r="M889">
            <v>45992</v>
          </cell>
          <cell r="N889">
            <v>2</v>
          </cell>
          <cell r="O889" t="str">
            <v>NS</v>
          </cell>
          <cell r="P889" t="str">
            <v/>
          </cell>
          <cell r="Q889">
            <v>45992</v>
          </cell>
          <cell r="R889" t="str">
            <v/>
          </cell>
          <cell r="S889" t="str">
            <v/>
          </cell>
          <cell r="T889" t="str">
            <v/>
          </cell>
          <cell r="U889">
            <v>68845</v>
          </cell>
          <cell r="V889">
            <v>74142</v>
          </cell>
          <cell r="W889">
            <v>44958</v>
          </cell>
          <cell r="X889" t="str">
            <v>Lokasi Produksi 577A1 ( pecahan 577A )</v>
          </cell>
          <cell r="Z889">
            <v>0</v>
          </cell>
          <cell r="AA889">
            <v>45992</v>
          </cell>
          <cell r="AM889" t="str">
            <v>OK</v>
          </cell>
          <cell r="AO889">
            <v>7.8518441358028213E-2</v>
          </cell>
          <cell r="AP889">
            <v>7.8518441358028213E-2</v>
          </cell>
          <cell r="AQ889">
            <v>0</v>
          </cell>
          <cell r="AR889">
            <v>7.8518441358028213E-2</v>
          </cell>
          <cell r="AS889">
            <v>0</v>
          </cell>
          <cell r="AT889">
            <v>45992</v>
          </cell>
          <cell r="AU889">
            <v>7.8518441358028213E-2</v>
          </cell>
          <cell r="AV889">
            <v>2.3555532407408464</v>
          </cell>
          <cell r="AW889">
            <v>7.8518441358028213E-2</v>
          </cell>
          <cell r="AY889">
            <v>7.4636917824100237</v>
          </cell>
          <cell r="AZ889" t="str">
            <v>F18</v>
          </cell>
          <cell r="BA889">
            <v>0</v>
          </cell>
          <cell r="BB889" t="str">
            <v>NSBK</v>
          </cell>
          <cell r="BC889" t="str">
            <v>F18</v>
          </cell>
        </row>
        <row r="890">
          <cell r="A890" t="str">
            <v>577A2</v>
          </cell>
          <cell r="B890" t="str">
            <v>3</v>
          </cell>
          <cell r="C890" t="str">
            <v>06</v>
          </cell>
          <cell r="D890">
            <v>22</v>
          </cell>
          <cell r="E890" t="str">
            <v>577A2</v>
          </cell>
          <cell r="F890">
            <v>8.7799999999999994</v>
          </cell>
          <cell r="G890">
            <v>6.83</v>
          </cell>
          <cell r="H890">
            <v>6.83</v>
          </cell>
          <cell r="I890" t="str">
            <v>SC</v>
          </cell>
          <cell r="J890" t="str">
            <v>FC</v>
          </cell>
          <cell r="K890">
            <v>8</v>
          </cell>
          <cell r="L890">
            <v>45643</v>
          </cell>
          <cell r="M890">
            <v>45643</v>
          </cell>
          <cell r="N890">
            <v>351</v>
          </cell>
          <cell r="O890" t="str">
            <v>NS</v>
          </cell>
          <cell r="P890" t="str">
            <v/>
          </cell>
          <cell r="Q890">
            <v>45887</v>
          </cell>
          <cell r="R890" t="str">
            <v/>
          </cell>
          <cell r="S890" t="str">
            <v/>
          </cell>
          <cell r="T890">
            <v>45887</v>
          </cell>
          <cell r="U890">
            <v>66339</v>
          </cell>
          <cell r="V890">
            <v>52514</v>
          </cell>
          <cell r="W890">
            <v>44946</v>
          </cell>
          <cell r="X890" t="str">
            <v>Lokasi Produksi 577A2 ( pecahan 577A )</v>
          </cell>
          <cell r="Z890">
            <v>8</v>
          </cell>
          <cell r="AA890">
            <v>45887</v>
          </cell>
          <cell r="AM890" t="str">
            <v>OK</v>
          </cell>
          <cell r="AO890">
            <v>11.711851774691361</v>
          </cell>
          <cell r="AP890">
            <v>3.7118517746913611</v>
          </cell>
          <cell r="AQ890">
            <v>45887</v>
          </cell>
          <cell r="AR890">
            <v>8.1333333333333329</v>
          </cell>
          <cell r="AS890">
            <v>3.5785184413580282</v>
          </cell>
          <cell r="AT890">
            <v>45887</v>
          </cell>
          <cell r="AU890">
            <v>3.5785184413580282</v>
          </cell>
          <cell r="AV890">
            <v>244</v>
          </cell>
          <cell r="AW890">
            <v>3.5785184413580282</v>
          </cell>
          <cell r="AY890">
            <v>356.46369178241002</v>
          </cell>
          <cell r="AZ890" t="str">
            <v>F18</v>
          </cell>
          <cell r="BA890">
            <v>6.83</v>
          </cell>
          <cell r="BB890" t="str">
            <v>NSSC</v>
          </cell>
          <cell r="BC890" t="str">
            <v>F18</v>
          </cell>
        </row>
        <row r="891">
          <cell r="A891" t="str">
            <v>577B</v>
          </cell>
          <cell r="B891" t="str">
            <v>3</v>
          </cell>
          <cell r="C891" t="str">
            <v>06</v>
          </cell>
          <cell r="D891">
            <v>22</v>
          </cell>
          <cell r="E891" t="str">
            <v>577B</v>
          </cell>
          <cell r="F891">
            <v>10.72</v>
          </cell>
          <cell r="G891">
            <v>8.3800000000000008</v>
          </cell>
          <cell r="H891">
            <v>8.3800000000000008</v>
          </cell>
          <cell r="I891" t="str">
            <v>BK</v>
          </cell>
          <cell r="J891" t="str">
            <v>BB</v>
          </cell>
          <cell r="K891">
            <v>0</v>
          </cell>
          <cell r="L891">
            <v>45946</v>
          </cell>
          <cell r="M891">
            <v>45946</v>
          </cell>
          <cell r="N891">
            <v>48</v>
          </cell>
          <cell r="O891" t="str">
            <v>NS</v>
          </cell>
          <cell r="P891" t="str">
            <v/>
          </cell>
          <cell r="Q891">
            <v>45946</v>
          </cell>
          <cell r="R891" t="str">
            <v/>
          </cell>
          <cell r="S891" t="str">
            <v/>
          </cell>
          <cell r="T891" t="str">
            <v/>
          </cell>
          <cell r="U891">
            <v>70174</v>
          </cell>
          <cell r="V891">
            <v>73392</v>
          </cell>
          <cell r="W891">
            <v>43559</v>
          </cell>
          <cell r="X891" t="str">
            <v>Lokasi Produksi 577B</v>
          </cell>
          <cell r="Z891">
            <v>0</v>
          </cell>
          <cell r="AA891">
            <v>45946</v>
          </cell>
          <cell r="AM891" t="str">
            <v>OK</v>
          </cell>
          <cell r="AO891">
            <v>1.6118517746913616</v>
          </cell>
          <cell r="AP891">
            <v>1.6118517746913616</v>
          </cell>
          <cell r="AQ891">
            <v>0</v>
          </cell>
          <cell r="AR891">
            <v>1.6118517746913616</v>
          </cell>
          <cell r="AS891">
            <v>0</v>
          </cell>
          <cell r="AT891">
            <v>45946</v>
          </cell>
          <cell r="AU891">
            <v>1.6118517746913616</v>
          </cell>
          <cell r="AV891">
            <v>48.355553240740846</v>
          </cell>
          <cell r="AW891">
            <v>1.6118517746913616</v>
          </cell>
          <cell r="AY891">
            <v>53.463691782410024</v>
          </cell>
          <cell r="AZ891" t="str">
            <v>F18</v>
          </cell>
          <cell r="BA891">
            <v>0</v>
          </cell>
          <cell r="BB891" t="str">
            <v>NSBK</v>
          </cell>
          <cell r="BC891" t="str">
            <v>F18</v>
          </cell>
        </row>
        <row r="892">
          <cell r="A892" t="str">
            <v>577C</v>
          </cell>
          <cell r="B892" t="str">
            <v>3</v>
          </cell>
          <cell r="C892" t="str">
            <v>06</v>
          </cell>
          <cell r="D892">
            <v>22</v>
          </cell>
          <cell r="E892" t="str">
            <v>577C</v>
          </cell>
          <cell r="F892">
            <v>12.32</v>
          </cell>
          <cell r="G892">
            <v>9.7899999999999991</v>
          </cell>
          <cell r="H892">
            <v>9.7899999999999991</v>
          </cell>
          <cell r="I892" t="str">
            <v>BK</v>
          </cell>
          <cell r="J892" t="str">
            <v>SC</v>
          </cell>
          <cell r="K892">
            <v>0</v>
          </cell>
          <cell r="L892">
            <v>45924</v>
          </cell>
          <cell r="M892">
            <v>45924</v>
          </cell>
          <cell r="N892">
            <v>70</v>
          </cell>
          <cell r="O892" t="str">
            <v>NS</v>
          </cell>
          <cell r="P892" t="str">
            <v/>
          </cell>
          <cell r="Q892">
            <v>45924</v>
          </cell>
          <cell r="R892" t="str">
            <v/>
          </cell>
          <cell r="S892" t="str">
            <v/>
          </cell>
          <cell r="T892" t="str">
            <v/>
          </cell>
          <cell r="U892">
            <v>70465</v>
          </cell>
          <cell r="V892">
            <v>52646</v>
          </cell>
          <cell r="W892">
            <v>43079</v>
          </cell>
          <cell r="X892" t="str">
            <v>Lokasi Produksi 577C</v>
          </cell>
          <cell r="Z892">
            <v>0</v>
          </cell>
          <cell r="AA892">
            <v>45924</v>
          </cell>
          <cell r="AM892" t="str">
            <v>OK</v>
          </cell>
          <cell r="AO892">
            <v>2.3451851080246948</v>
          </cell>
          <cell r="AP892">
            <v>2.3451851080246948</v>
          </cell>
          <cell r="AQ892">
            <v>0</v>
          </cell>
          <cell r="AR892">
            <v>2.3451851080246948</v>
          </cell>
          <cell r="AS892">
            <v>0</v>
          </cell>
          <cell r="AT892">
            <v>45924</v>
          </cell>
          <cell r="AU892">
            <v>2.3451851080246948</v>
          </cell>
          <cell r="AV892">
            <v>70.355553240740846</v>
          </cell>
          <cell r="AW892">
            <v>2.3451851080246948</v>
          </cell>
          <cell r="AY892">
            <v>75.463691782410024</v>
          </cell>
          <cell r="AZ892" t="str">
            <v>F18</v>
          </cell>
          <cell r="BA892">
            <v>0</v>
          </cell>
          <cell r="BB892" t="str">
            <v>NSBK</v>
          </cell>
          <cell r="BC892" t="str">
            <v>F18</v>
          </cell>
        </row>
        <row r="893">
          <cell r="A893" t="str">
            <v>577D1</v>
          </cell>
          <cell r="B893" t="str">
            <v>3</v>
          </cell>
          <cell r="C893" t="str">
            <v>06</v>
          </cell>
          <cell r="D893">
            <v>22</v>
          </cell>
          <cell r="E893" t="str">
            <v>577D1</v>
          </cell>
          <cell r="F893">
            <v>13.31</v>
          </cell>
          <cell r="G893">
            <v>11.33</v>
          </cell>
          <cell r="H893">
            <v>11.33</v>
          </cell>
          <cell r="I893" t="str">
            <v>ST</v>
          </cell>
          <cell r="J893" t="str">
            <v>BK</v>
          </cell>
          <cell r="K893">
            <v>0</v>
          </cell>
          <cell r="L893">
            <v>45930</v>
          </cell>
          <cell r="M893">
            <v>45930</v>
          </cell>
          <cell r="N893">
            <v>64</v>
          </cell>
          <cell r="O893" t="str">
            <v>NS</v>
          </cell>
          <cell r="P893" t="str">
            <v/>
          </cell>
          <cell r="Q893">
            <v>45930</v>
          </cell>
          <cell r="R893" t="str">
            <v/>
          </cell>
          <cell r="S893" t="str">
            <v/>
          </cell>
          <cell r="T893" t="str">
            <v/>
          </cell>
          <cell r="U893">
            <v>69493</v>
          </cell>
          <cell r="V893">
            <v>75041</v>
          </cell>
          <cell r="W893">
            <v>43629</v>
          </cell>
          <cell r="X893" t="str">
            <v>Lokasi Produksi 577D1 ( pecahan 577D )</v>
          </cell>
          <cell r="Z893">
            <v>0</v>
          </cell>
          <cell r="AA893">
            <v>45930</v>
          </cell>
          <cell r="AM893" t="str">
            <v>OK</v>
          </cell>
          <cell r="AO893">
            <v>2.1451851080246951</v>
          </cell>
          <cell r="AP893">
            <v>2.1451851080246951</v>
          </cell>
          <cell r="AQ893">
            <v>0</v>
          </cell>
          <cell r="AR893">
            <v>2.1451851080246951</v>
          </cell>
          <cell r="AS893">
            <v>0</v>
          </cell>
          <cell r="AT893">
            <v>45930</v>
          </cell>
          <cell r="AU893">
            <v>2.1451851080246951</v>
          </cell>
          <cell r="AV893">
            <v>64.355553240740846</v>
          </cell>
          <cell r="AW893">
            <v>2.1451851080246951</v>
          </cell>
          <cell r="AY893">
            <v>69.463691782410024</v>
          </cell>
          <cell r="AZ893" t="str">
            <v>F18</v>
          </cell>
          <cell r="BA893">
            <v>0</v>
          </cell>
          <cell r="BB893" t="str">
            <v>NSST</v>
          </cell>
          <cell r="BC893" t="str">
            <v>F18</v>
          </cell>
        </row>
        <row r="894">
          <cell r="A894" t="str">
            <v>577D2</v>
          </cell>
          <cell r="B894" t="str">
            <v>3</v>
          </cell>
          <cell r="C894" t="str">
            <v>06</v>
          </cell>
          <cell r="D894">
            <v>22</v>
          </cell>
          <cell r="E894" t="str">
            <v>577D2</v>
          </cell>
          <cell r="F894">
            <v>10.06</v>
          </cell>
          <cell r="G894">
            <v>7.68</v>
          </cell>
          <cell r="H894">
            <v>7.68</v>
          </cell>
          <cell r="I894" t="str">
            <v>SC</v>
          </cell>
          <cell r="J894" t="str">
            <v>FC</v>
          </cell>
          <cell r="K894">
            <v>8</v>
          </cell>
          <cell r="L894">
            <v>45625</v>
          </cell>
          <cell r="M894">
            <v>45625</v>
          </cell>
          <cell r="N894">
            <v>369</v>
          </cell>
          <cell r="O894" t="str">
            <v>NS</v>
          </cell>
          <cell r="P894" t="str">
            <v/>
          </cell>
          <cell r="Q894">
            <v>45869</v>
          </cell>
          <cell r="R894" t="str">
            <v/>
          </cell>
          <cell r="S894" t="str">
            <v/>
          </cell>
          <cell r="T894">
            <v>45857</v>
          </cell>
          <cell r="U894">
            <v>71695</v>
          </cell>
          <cell r="V894">
            <v>52393</v>
          </cell>
          <cell r="W894">
            <v>43477</v>
          </cell>
          <cell r="X894" t="str">
            <v>Lokasi Produksi 577D2 ( pecahan 577D )</v>
          </cell>
          <cell r="Z894">
            <v>8</v>
          </cell>
          <cell r="AA894">
            <v>45869</v>
          </cell>
          <cell r="AM894" t="str">
            <v>OK</v>
          </cell>
          <cell r="AO894">
            <v>12.311851774691361</v>
          </cell>
          <cell r="AP894">
            <v>4.3118517746913607</v>
          </cell>
          <cell r="AQ894">
            <v>45857</v>
          </cell>
          <cell r="AR894">
            <v>7.7333333333333334</v>
          </cell>
          <cell r="AS894">
            <v>4.5785184413580273</v>
          </cell>
          <cell r="AT894">
            <v>45869</v>
          </cell>
          <cell r="AU894">
            <v>4.5785184413580273</v>
          </cell>
          <cell r="AV894">
            <v>232</v>
          </cell>
          <cell r="AW894">
            <v>4.5785184413580273</v>
          </cell>
          <cell r="AY894">
            <v>374.46369178241002</v>
          </cell>
          <cell r="AZ894" t="str">
            <v>F18</v>
          </cell>
          <cell r="BA894">
            <v>7.68</v>
          </cell>
          <cell r="BB894" t="str">
            <v>NSSC</v>
          </cell>
          <cell r="BC894" t="str">
            <v>F18</v>
          </cell>
        </row>
        <row r="895">
          <cell r="A895" t="str">
            <v>578A1</v>
          </cell>
          <cell r="B895" t="str">
            <v>3</v>
          </cell>
          <cell r="C895" t="str">
            <v>06</v>
          </cell>
          <cell r="D895">
            <v>22</v>
          </cell>
          <cell r="E895" t="str">
            <v>578A1</v>
          </cell>
          <cell r="F895">
            <v>13.18</v>
          </cell>
          <cell r="G895">
            <v>10.28</v>
          </cell>
          <cell r="H895">
            <v>10.28</v>
          </cell>
          <cell r="I895" t="str">
            <v>BB</v>
          </cell>
          <cell r="J895" t="str">
            <v>FC</v>
          </cell>
          <cell r="K895">
            <v>0</v>
          </cell>
          <cell r="L895">
            <v>45828</v>
          </cell>
          <cell r="M895">
            <v>45828</v>
          </cell>
          <cell r="N895">
            <v>166</v>
          </cell>
          <cell r="O895" t="str">
            <v>NS</v>
          </cell>
          <cell r="P895" t="str">
            <v/>
          </cell>
          <cell r="Q895">
            <v>45828</v>
          </cell>
          <cell r="R895" t="str">
            <v/>
          </cell>
          <cell r="S895" t="str">
            <v/>
          </cell>
          <cell r="T895" t="str">
            <v/>
          </cell>
          <cell r="U895">
            <v>64778</v>
          </cell>
          <cell r="V895">
            <v>71404</v>
          </cell>
          <cell r="W895" t="str">
            <v/>
          </cell>
          <cell r="X895" t="str">
            <v>Lokasi Produksi 578A1 &amp; 578A2</v>
          </cell>
          <cell r="Z895">
            <v>0</v>
          </cell>
          <cell r="AA895">
            <v>45828</v>
          </cell>
          <cell r="AM895" t="str">
            <v>OK</v>
          </cell>
          <cell r="AO895">
            <v>5.545185108024695</v>
          </cell>
          <cell r="AP895">
            <v>5.545185108024695</v>
          </cell>
          <cell r="AQ895">
            <v>0</v>
          </cell>
          <cell r="AR895">
            <v>5.545185108024695</v>
          </cell>
          <cell r="AS895">
            <v>0</v>
          </cell>
          <cell r="AT895">
            <v>45828</v>
          </cell>
          <cell r="AU895">
            <v>5.545185108024695</v>
          </cell>
          <cell r="AV895">
            <v>166.35555324074085</v>
          </cell>
          <cell r="AW895">
            <v>5.545185108024695</v>
          </cell>
          <cell r="AY895">
            <v>171.46369178241002</v>
          </cell>
          <cell r="AZ895" t="str">
            <v>F18</v>
          </cell>
          <cell r="BA895">
            <v>0</v>
          </cell>
          <cell r="BB895" t="str">
            <v>NSBB</v>
          </cell>
          <cell r="BC895" t="str">
            <v>F18</v>
          </cell>
        </row>
        <row r="896">
          <cell r="A896" t="str">
            <v>578A2</v>
          </cell>
          <cell r="B896" t="str">
            <v>3</v>
          </cell>
          <cell r="C896" t="str">
            <v>06</v>
          </cell>
          <cell r="D896">
            <v>22</v>
          </cell>
          <cell r="E896" t="str">
            <v>578A2</v>
          </cell>
          <cell r="F896">
            <v>4.9800000000000004</v>
          </cell>
          <cell r="G896">
            <v>3.78</v>
          </cell>
          <cell r="H896">
            <v>3.78</v>
          </cell>
          <cell r="I896" t="str">
            <v>BB</v>
          </cell>
          <cell r="J896" t="str">
            <v>FC</v>
          </cell>
          <cell r="K896">
            <v>0</v>
          </cell>
          <cell r="L896">
            <v>45828</v>
          </cell>
          <cell r="M896">
            <v>45828</v>
          </cell>
          <cell r="N896">
            <v>166</v>
          </cell>
          <cell r="O896" t="str">
            <v>NS</v>
          </cell>
          <cell r="P896" t="str">
            <v/>
          </cell>
          <cell r="Q896">
            <v>45828</v>
          </cell>
          <cell r="R896" t="str">
            <v/>
          </cell>
          <cell r="S896" t="str">
            <v/>
          </cell>
          <cell r="T896" t="str">
            <v/>
          </cell>
          <cell r="U896">
            <v>65001</v>
          </cell>
          <cell r="V896">
            <v>71175</v>
          </cell>
          <cell r="W896">
            <v>43619</v>
          </cell>
          <cell r="X896" t="str">
            <v>Lokasi Produksi 578A2 ( pecahan 578A )</v>
          </cell>
          <cell r="Z896">
            <v>0</v>
          </cell>
          <cell r="AA896">
            <v>45828</v>
          </cell>
          <cell r="AM896" t="str">
            <v>OK</v>
          </cell>
          <cell r="AO896">
            <v>5.545185108024695</v>
          </cell>
          <cell r="AP896">
            <v>5.545185108024695</v>
          </cell>
          <cell r="AQ896">
            <v>0</v>
          </cell>
          <cell r="AR896">
            <v>5.545185108024695</v>
          </cell>
          <cell r="AS896">
            <v>0</v>
          </cell>
          <cell r="AT896">
            <v>45828</v>
          </cell>
          <cell r="AU896">
            <v>5.545185108024695</v>
          </cell>
          <cell r="AV896">
            <v>166.35555324074085</v>
          </cell>
          <cell r="AW896">
            <v>5.545185108024695</v>
          </cell>
          <cell r="AY896">
            <v>171.46369178241002</v>
          </cell>
          <cell r="AZ896" t="str">
            <v>F18</v>
          </cell>
          <cell r="BA896">
            <v>0</v>
          </cell>
          <cell r="BB896" t="str">
            <v>NSBB</v>
          </cell>
          <cell r="BC896" t="str">
            <v>F18</v>
          </cell>
        </row>
        <row r="897">
          <cell r="A897" t="str">
            <v>578B</v>
          </cell>
          <cell r="B897" t="str">
            <v>3</v>
          </cell>
          <cell r="C897" t="str">
            <v>06</v>
          </cell>
          <cell r="D897">
            <v>22</v>
          </cell>
          <cell r="E897" t="str">
            <v>578B</v>
          </cell>
          <cell r="F897">
            <v>10.07</v>
          </cell>
          <cell r="G897">
            <v>7.85</v>
          </cell>
          <cell r="H897">
            <v>7.85</v>
          </cell>
          <cell r="I897" t="str">
            <v>BK</v>
          </cell>
          <cell r="J897" t="str">
            <v>BB</v>
          </cell>
          <cell r="K897">
            <v>0</v>
          </cell>
          <cell r="L897">
            <v>45916</v>
          </cell>
          <cell r="M897">
            <v>45916</v>
          </cell>
          <cell r="N897">
            <v>78</v>
          </cell>
          <cell r="O897" t="str">
            <v>NS</v>
          </cell>
          <cell r="P897" t="str">
            <v/>
          </cell>
          <cell r="Q897">
            <v>45916</v>
          </cell>
          <cell r="R897" t="str">
            <v/>
          </cell>
          <cell r="S897" t="str">
            <v/>
          </cell>
          <cell r="T897" t="str">
            <v/>
          </cell>
          <cell r="U897">
            <v>70876</v>
          </cell>
          <cell r="V897">
            <v>72945</v>
          </cell>
          <cell r="W897" t="str">
            <v/>
          </cell>
          <cell r="X897" t="str">
            <v>Lokasi Produksi 578B</v>
          </cell>
          <cell r="Z897">
            <v>0</v>
          </cell>
          <cell r="AA897">
            <v>45916</v>
          </cell>
          <cell r="AM897" t="str">
            <v>OK</v>
          </cell>
          <cell r="AO897">
            <v>2.6118517746913614</v>
          </cell>
          <cell r="AP897">
            <v>2.6118517746913614</v>
          </cell>
          <cell r="AQ897">
            <v>0</v>
          </cell>
          <cell r="AR897">
            <v>2.6118517746913614</v>
          </cell>
          <cell r="AS897">
            <v>0</v>
          </cell>
          <cell r="AT897">
            <v>45916</v>
          </cell>
          <cell r="AU897">
            <v>2.6118517746913614</v>
          </cell>
          <cell r="AV897">
            <v>78.355553240740846</v>
          </cell>
          <cell r="AW897">
            <v>2.6118517746913614</v>
          </cell>
          <cell r="AY897">
            <v>83.463691782410024</v>
          </cell>
          <cell r="AZ897" t="str">
            <v>F18</v>
          </cell>
          <cell r="BA897">
            <v>0</v>
          </cell>
          <cell r="BB897" t="str">
            <v>NSBK</v>
          </cell>
          <cell r="BC897" t="str">
            <v>F18</v>
          </cell>
        </row>
        <row r="898">
          <cell r="A898" t="str">
            <v>578D</v>
          </cell>
          <cell r="B898" t="str">
            <v>3</v>
          </cell>
          <cell r="C898" t="str">
            <v>06</v>
          </cell>
          <cell r="D898">
            <v>22</v>
          </cell>
          <cell r="E898" t="str">
            <v>578D</v>
          </cell>
          <cell r="F898">
            <v>12.97</v>
          </cell>
          <cell r="G898">
            <v>10.6</v>
          </cell>
          <cell r="H898">
            <v>10.6</v>
          </cell>
          <cell r="I898" t="str">
            <v>FC</v>
          </cell>
          <cell r="J898" t="str">
            <v>ST</v>
          </cell>
          <cell r="K898">
            <v>14</v>
          </cell>
          <cell r="L898">
            <v>45953</v>
          </cell>
          <cell r="M898">
            <v>45953</v>
          </cell>
          <cell r="N898">
            <v>41</v>
          </cell>
          <cell r="O898" t="str">
            <v>NS</v>
          </cell>
          <cell r="P898" t="str">
            <v>NSF18CK3</v>
          </cell>
          <cell r="Q898">
            <v>46380</v>
          </cell>
          <cell r="R898" t="str">
            <v/>
          </cell>
          <cell r="S898" t="str">
            <v/>
          </cell>
          <cell r="T898" t="str">
            <v/>
          </cell>
          <cell r="U898">
            <v>71821</v>
          </cell>
          <cell r="V898">
            <v>51814</v>
          </cell>
          <cell r="W898" t="str">
            <v/>
          </cell>
          <cell r="X898" t="str">
            <v>Lokasi Produksi 578D</v>
          </cell>
          <cell r="Z898">
            <v>14</v>
          </cell>
          <cell r="AA898">
            <v>46380</v>
          </cell>
          <cell r="AM898" t="str">
            <v>OK</v>
          </cell>
          <cell r="AO898">
            <v>1.3785184413580283</v>
          </cell>
          <cell r="AP898">
            <v>-12.621481558641971</v>
          </cell>
          <cell r="AQ898">
            <v>0</v>
          </cell>
          <cell r="AR898">
            <v>1.3785184413580283</v>
          </cell>
          <cell r="AS898">
            <v>0</v>
          </cell>
          <cell r="AT898">
            <v>46380</v>
          </cell>
          <cell r="AU898">
            <v>-12.621481558641971</v>
          </cell>
          <cell r="AV898">
            <v>41.355553240740846</v>
          </cell>
          <cell r="AW898">
            <v>-12.621481558641971</v>
          </cell>
          <cell r="AY898">
            <v>46.463691782410024</v>
          </cell>
          <cell r="AZ898" t="str">
            <v>F18</v>
          </cell>
          <cell r="BA898">
            <v>10.6</v>
          </cell>
          <cell r="BB898" t="str">
            <v>NSFC</v>
          </cell>
          <cell r="BC898" t="str">
            <v>F18CK</v>
          </cell>
        </row>
        <row r="899">
          <cell r="A899" t="str">
            <v>579A1A</v>
          </cell>
          <cell r="B899" t="str">
            <v>3</v>
          </cell>
          <cell r="C899" t="str">
            <v>06</v>
          </cell>
          <cell r="D899">
            <v>20</v>
          </cell>
          <cell r="E899" t="str">
            <v>579A1A</v>
          </cell>
          <cell r="F899">
            <v>2.98</v>
          </cell>
          <cell r="G899">
            <v>2.35</v>
          </cell>
          <cell r="H899">
            <v>2.35</v>
          </cell>
          <cell r="I899" t="str">
            <v>FC</v>
          </cell>
          <cell r="J899" t="str">
            <v>ST</v>
          </cell>
          <cell r="K899">
            <v>0</v>
          </cell>
          <cell r="L899">
            <v>45705</v>
          </cell>
          <cell r="M899">
            <v>45705</v>
          </cell>
          <cell r="N899">
            <v>289</v>
          </cell>
          <cell r="O899" t="str">
            <v>SK</v>
          </cell>
          <cell r="P899" t="str">
            <v/>
          </cell>
          <cell r="Q899">
            <v>45705</v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>Lokasi Produksi 579A1A ( pecahan 579A1 )</v>
          </cell>
          <cell r="Z899">
            <v>0</v>
          </cell>
          <cell r="AA899">
            <v>45705</v>
          </cell>
          <cell r="AM899" t="str">
            <v>OK</v>
          </cell>
          <cell r="AO899">
            <v>9.6451851080246946</v>
          </cell>
          <cell r="AP899">
            <v>9.6451851080246946</v>
          </cell>
          <cell r="AQ899">
            <v>0</v>
          </cell>
          <cell r="AR899">
            <v>9.6451851080246946</v>
          </cell>
          <cell r="AS899">
            <v>0</v>
          </cell>
          <cell r="AT899">
            <v>45705</v>
          </cell>
          <cell r="AU899">
            <v>9.6451851080246946</v>
          </cell>
          <cell r="AV899">
            <v>289.35555324074085</v>
          </cell>
          <cell r="AW899">
            <v>9.6451851080246946</v>
          </cell>
          <cell r="AY899">
            <v>294.46369178241002</v>
          </cell>
          <cell r="AZ899" t="str">
            <v>F18</v>
          </cell>
          <cell r="BA899">
            <v>0</v>
          </cell>
          <cell r="BB899" t="str">
            <v>SKFC</v>
          </cell>
          <cell r="BC899" t="str">
            <v>F18</v>
          </cell>
        </row>
        <row r="900">
          <cell r="A900" t="str">
            <v>579A1B</v>
          </cell>
          <cell r="B900" t="str">
            <v>3</v>
          </cell>
          <cell r="C900" t="str">
            <v>06</v>
          </cell>
          <cell r="D900">
            <v>20</v>
          </cell>
          <cell r="E900" t="str">
            <v>579A1B</v>
          </cell>
          <cell r="F900">
            <v>2.91</v>
          </cell>
          <cell r="G900">
            <v>2.42</v>
          </cell>
          <cell r="H900">
            <v>2.42</v>
          </cell>
          <cell r="I900" t="str">
            <v>FC</v>
          </cell>
          <cell r="J900" t="str">
            <v>ST</v>
          </cell>
          <cell r="K900">
            <v>10</v>
          </cell>
          <cell r="L900">
            <v>45820</v>
          </cell>
          <cell r="M900">
            <v>45820</v>
          </cell>
          <cell r="N900">
            <v>174</v>
          </cell>
          <cell r="O900" t="str">
            <v>NS</v>
          </cell>
          <cell r="P900" t="str">
            <v>NSF18SB3</v>
          </cell>
          <cell r="Q900">
            <v>46125</v>
          </cell>
          <cell r="R900" t="str">
            <v/>
          </cell>
          <cell r="S900" t="str">
            <v/>
          </cell>
          <cell r="T900" t="str">
            <v/>
          </cell>
          <cell r="U900">
            <v>69688</v>
          </cell>
          <cell r="V900">
            <v>72529</v>
          </cell>
          <cell r="W900">
            <v>45291</v>
          </cell>
          <cell r="X900" t="str">
            <v>Lokasi Produksi 579A1B ( pecahan 579A1 )</v>
          </cell>
          <cell r="Z900">
            <v>10</v>
          </cell>
          <cell r="AA900">
            <v>46125</v>
          </cell>
          <cell r="AM900" t="str">
            <v>OK</v>
          </cell>
          <cell r="AO900">
            <v>5.8118517746913616</v>
          </cell>
          <cell r="AP900">
            <v>-4.1881482253086384</v>
          </cell>
          <cell r="AQ900">
            <v>0</v>
          </cell>
          <cell r="AR900">
            <v>5.8118517746913616</v>
          </cell>
          <cell r="AS900">
            <v>0</v>
          </cell>
          <cell r="AT900">
            <v>46125</v>
          </cell>
          <cell r="AU900">
            <v>-4.1881482253086384</v>
          </cell>
          <cell r="AV900">
            <v>174.35555324074085</v>
          </cell>
          <cell r="AW900">
            <v>-4.1881482253086384</v>
          </cell>
          <cell r="AY900">
            <v>179.46369178241002</v>
          </cell>
          <cell r="AZ900" t="str">
            <v>F18</v>
          </cell>
          <cell r="BA900">
            <v>2.42</v>
          </cell>
          <cell r="BB900" t="str">
            <v>NSFC</v>
          </cell>
          <cell r="BC900" t="str">
            <v>F18SB</v>
          </cell>
        </row>
        <row r="901">
          <cell r="A901" t="str">
            <v>579A2A</v>
          </cell>
          <cell r="B901" t="str">
            <v>3</v>
          </cell>
          <cell r="C901" t="str">
            <v>06</v>
          </cell>
          <cell r="D901">
            <v>20</v>
          </cell>
          <cell r="E901" t="str">
            <v>579A2A</v>
          </cell>
          <cell r="F901">
            <v>4.7699999999999996</v>
          </cell>
          <cell r="G901">
            <v>4.45</v>
          </cell>
          <cell r="H901">
            <v>4.45</v>
          </cell>
          <cell r="I901" t="str">
            <v>BK</v>
          </cell>
          <cell r="J901" t="str">
            <v>FC</v>
          </cell>
          <cell r="K901">
            <v>0</v>
          </cell>
          <cell r="L901">
            <v>45950</v>
          </cell>
          <cell r="M901">
            <v>45950</v>
          </cell>
          <cell r="N901">
            <v>44</v>
          </cell>
          <cell r="O901" t="str">
            <v>SK</v>
          </cell>
          <cell r="P901" t="str">
            <v/>
          </cell>
          <cell r="Q901">
            <v>45950</v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>Lokasi Produksi 579A2A ( pecahan 579A2 ) singkong</v>
          </cell>
          <cell r="Z901">
            <v>0</v>
          </cell>
          <cell r="AA901">
            <v>45950</v>
          </cell>
          <cell r="AM901" t="str">
            <v>OK</v>
          </cell>
          <cell r="AO901">
            <v>1.4785184413580281</v>
          </cell>
          <cell r="AP901">
            <v>1.4785184413580281</v>
          </cell>
          <cell r="AQ901">
            <v>0</v>
          </cell>
          <cell r="AR901">
            <v>1.4785184413580281</v>
          </cell>
          <cell r="AS901">
            <v>0</v>
          </cell>
          <cell r="AT901">
            <v>45950</v>
          </cell>
          <cell r="AU901">
            <v>1.4785184413580281</v>
          </cell>
          <cell r="AV901">
            <v>44.355553240740846</v>
          </cell>
          <cell r="AW901">
            <v>1.4785184413580281</v>
          </cell>
          <cell r="AY901">
            <v>49.463691782410024</v>
          </cell>
          <cell r="AZ901" t="str">
            <v>F18</v>
          </cell>
          <cell r="BA901">
            <v>0</v>
          </cell>
          <cell r="BB901" t="str">
            <v>SKBK</v>
          </cell>
          <cell r="BC901" t="str">
            <v>F18</v>
          </cell>
        </row>
        <row r="902">
          <cell r="A902" t="str">
            <v>579A2B</v>
          </cell>
          <cell r="B902" t="str">
            <v>3</v>
          </cell>
          <cell r="C902" t="str">
            <v>06</v>
          </cell>
          <cell r="D902">
            <v>20</v>
          </cell>
          <cell r="E902" t="str">
            <v>579A2B</v>
          </cell>
          <cell r="F902">
            <v>1.42</v>
          </cell>
          <cell r="G902">
            <v>1.39</v>
          </cell>
          <cell r="H902">
            <v>1.39</v>
          </cell>
          <cell r="I902" t="str">
            <v>FC</v>
          </cell>
          <cell r="J902" t="str">
            <v>ST</v>
          </cell>
          <cell r="K902">
            <v>0</v>
          </cell>
          <cell r="L902">
            <v>45705</v>
          </cell>
          <cell r="M902">
            <v>45705</v>
          </cell>
          <cell r="N902">
            <v>289</v>
          </cell>
          <cell r="O902" t="str">
            <v>SK</v>
          </cell>
          <cell r="P902" t="str">
            <v/>
          </cell>
          <cell r="Q902">
            <v>45705</v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>
            <v>45741</v>
          </cell>
          <cell r="X902" t="str">
            <v>Lokasi Produksi 579A2B ( pecahan 579A2 ) singkong</v>
          </cell>
          <cell r="Z902">
            <v>0</v>
          </cell>
          <cell r="AA902">
            <v>45705</v>
          </cell>
          <cell r="AM902" t="str">
            <v>OK</v>
          </cell>
          <cell r="AO902">
            <v>9.6451851080246946</v>
          </cell>
          <cell r="AP902">
            <v>9.6451851080246946</v>
          </cell>
          <cell r="AQ902">
            <v>0</v>
          </cell>
          <cell r="AR902">
            <v>9.6451851080246946</v>
          </cell>
          <cell r="AS902">
            <v>0</v>
          </cell>
          <cell r="AT902">
            <v>45705</v>
          </cell>
          <cell r="AU902">
            <v>9.6451851080246946</v>
          </cell>
          <cell r="AV902">
            <v>289.35555324074085</v>
          </cell>
          <cell r="AW902">
            <v>9.6451851080246946</v>
          </cell>
          <cell r="AY902">
            <v>294.46369178241002</v>
          </cell>
          <cell r="AZ902" t="str">
            <v>F18</v>
          </cell>
          <cell r="BA902">
            <v>0</v>
          </cell>
          <cell r="BB902" t="str">
            <v>SKFC</v>
          </cell>
          <cell r="BC902" t="str">
            <v>F18</v>
          </cell>
        </row>
        <row r="903">
          <cell r="A903" t="str">
            <v>579B1</v>
          </cell>
          <cell r="B903" t="str">
            <v>3</v>
          </cell>
          <cell r="C903" t="str">
            <v>06</v>
          </cell>
          <cell r="D903">
            <v>20</v>
          </cell>
          <cell r="E903" t="str">
            <v>579B1</v>
          </cell>
          <cell r="F903">
            <v>11.57</v>
          </cell>
          <cell r="G903">
            <v>9.85</v>
          </cell>
          <cell r="H903">
            <v>9.85</v>
          </cell>
          <cell r="I903" t="str">
            <v>FC</v>
          </cell>
          <cell r="J903" t="str">
            <v>ST</v>
          </cell>
          <cell r="K903">
            <v>14</v>
          </cell>
          <cell r="L903">
            <v>45875</v>
          </cell>
          <cell r="M903">
            <v>45875</v>
          </cell>
          <cell r="N903">
            <v>119</v>
          </cell>
          <cell r="O903" t="str">
            <v>NS</v>
          </cell>
          <cell r="P903" t="str">
            <v>NSF18CK3</v>
          </cell>
          <cell r="Q903">
            <v>46302</v>
          </cell>
          <cell r="R903" t="str">
            <v/>
          </cell>
          <cell r="S903" t="str">
            <v/>
          </cell>
          <cell r="T903" t="str">
            <v/>
          </cell>
          <cell r="U903">
            <v>63923</v>
          </cell>
          <cell r="V903">
            <v>51623</v>
          </cell>
          <cell r="W903">
            <v>43647</v>
          </cell>
          <cell r="X903" t="str">
            <v>Lokasi Produksi 579B1 ( pecahan 579B )</v>
          </cell>
          <cell r="Z903">
            <v>14</v>
          </cell>
          <cell r="AA903">
            <v>46302</v>
          </cell>
          <cell r="AM903" t="str">
            <v>OK</v>
          </cell>
          <cell r="AO903">
            <v>3.9785184413580281</v>
          </cell>
          <cell r="AP903">
            <v>-10.021481558641971</v>
          </cell>
          <cell r="AQ903">
            <v>0</v>
          </cell>
          <cell r="AR903">
            <v>3.9785184413580281</v>
          </cell>
          <cell r="AS903">
            <v>0</v>
          </cell>
          <cell r="AT903">
            <v>46302</v>
          </cell>
          <cell r="AU903">
            <v>-10.021481558641971</v>
          </cell>
          <cell r="AV903">
            <v>119.35555324074085</v>
          </cell>
          <cell r="AW903">
            <v>-10.021481558641971</v>
          </cell>
          <cell r="AY903">
            <v>124.46369178241002</v>
          </cell>
          <cell r="AZ903" t="str">
            <v>F18</v>
          </cell>
          <cell r="BA903">
            <v>9.85</v>
          </cell>
          <cell r="BB903" t="str">
            <v>NSFC</v>
          </cell>
          <cell r="BC903" t="str">
            <v>F18CK</v>
          </cell>
        </row>
        <row r="904">
          <cell r="A904" t="str">
            <v>579B2</v>
          </cell>
          <cell r="B904" t="str">
            <v>3</v>
          </cell>
          <cell r="C904" t="str">
            <v>06</v>
          </cell>
          <cell r="D904">
            <v>20</v>
          </cell>
          <cell r="E904" t="str">
            <v>579B2</v>
          </cell>
          <cell r="F904">
            <v>16.64</v>
          </cell>
          <cell r="G904">
            <v>13.9</v>
          </cell>
          <cell r="H904">
            <v>13.9</v>
          </cell>
          <cell r="I904" t="str">
            <v>FC</v>
          </cell>
          <cell r="J904" t="str">
            <v>ST</v>
          </cell>
          <cell r="K904">
            <v>14</v>
          </cell>
          <cell r="L904">
            <v>45868</v>
          </cell>
          <cell r="M904">
            <v>45868</v>
          </cell>
          <cell r="N904">
            <v>126</v>
          </cell>
          <cell r="O904" t="str">
            <v>NS</v>
          </cell>
          <cell r="P904" t="str">
            <v>NSF18CK3</v>
          </cell>
          <cell r="Q904">
            <v>46295</v>
          </cell>
          <cell r="R904" t="str">
            <v/>
          </cell>
          <cell r="S904" t="str">
            <v/>
          </cell>
          <cell r="T904" t="str">
            <v/>
          </cell>
          <cell r="U904">
            <v>69511</v>
          </cell>
          <cell r="V904">
            <v>73837</v>
          </cell>
          <cell r="W904">
            <v>43552</v>
          </cell>
          <cell r="X904" t="str">
            <v>Lokasi Produksi 579B2 ( pecahan 579B )</v>
          </cell>
          <cell r="Z904">
            <v>14</v>
          </cell>
          <cell r="AA904">
            <v>46295</v>
          </cell>
          <cell r="AM904" t="str">
            <v>OK</v>
          </cell>
          <cell r="AO904">
            <v>4.211851774691362</v>
          </cell>
          <cell r="AP904">
            <v>-9.7881482253086389</v>
          </cell>
          <cell r="AQ904">
            <v>0</v>
          </cell>
          <cell r="AR904">
            <v>4.211851774691362</v>
          </cell>
          <cell r="AS904">
            <v>0</v>
          </cell>
          <cell r="AT904">
            <v>46295</v>
          </cell>
          <cell r="AU904">
            <v>-9.7881482253086389</v>
          </cell>
          <cell r="AV904">
            <v>126.35555324074086</v>
          </cell>
          <cell r="AW904">
            <v>-9.7881482253086389</v>
          </cell>
          <cell r="AY904">
            <v>131.46369178241002</v>
          </cell>
          <cell r="AZ904" t="str">
            <v>F18</v>
          </cell>
          <cell r="BA904">
            <v>13.9</v>
          </cell>
          <cell r="BB904" t="str">
            <v>NSFC</v>
          </cell>
          <cell r="BC904" t="str">
            <v>F18CK</v>
          </cell>
        </row>
        <row r="905">
          <cell r="A905" t="str">
            <v>579E</v>
          </cell>
          <cell r="B905" t="str">
            <v>3</v>
          </cell>
          <cell r="C905" t="str">
            <v>06</v>
          </cell>
          <cell r="D905">
            <v>20</v>
          </cell>
          <cell r="E905" t="str">
            <v>579E</v>
          </cell>
          <cell r="F905">
            <v>11.73</v>
          </cell>
          <cell r="G905">
            <v>9.7799999999999994</v>
          </cell>
          <cell r="H905">
            <v>9.7799999999999994</v>
          </cell>
          <cell r="I905" t="str">
            <v>FC</v>
          </cell>
          <cell r="J905" t="str">
            <v>ST</v>
          </cell>
          <cell r="K905">
            <v>14</v>
          </cell>
          <cell r="L905">
            <v>45929</v>
          </cell>
          <cell r="M905">
            <v>45929</v>
          </cell>
          <cell r="N905">
            <v>65</v>
          </cell>
          <cell r="O905" t="str">
            <v>NS</v>
          </cell>
          <cell r="P905" t="str">
            <v>NSF18CK3</v>
          </cell>
          <cell r="Q905">
            <v>46356</v>
          </cell>
          <cell r="R905" t="str">
            <v/>
          </cell>
          <cell r="S905" t="str">
            <v/>
          </cell>
          <cell r="T905" t="str">
            <v/>
          </cell>
          <cell r="U905">
            <v>72213</v>
          </cell>
          <cell r="V905">
            <v>74946</v>
          </cell>
          <cell r="W905">
            <v>43654</v>
          </cell>
          <cell r="X905" t="str">
            <v>Lokasi Produksi 579E</v>
          </cell>
          <cell r="Z905">
            <v>14</v>
          </cell>
          <cell r="AA905">
            <v>46356</v>
          </cell>
          <cell r="AM905" t="str">
            <v>OK</v>
          </cell>
          <cell r="AO905">
            <v>2.1785184413580283</v>
          </cell>
          <cell r="AP905">
            <v>-11.821481558641972</v>
          </cell>
          <cell r="AQ905">
            <v>0</v>
          </cell>
          <cell r="AR905">
            <v>2.1785184413580283</v>
          </cell>
          <cell r="AS905">
            <v>0</v>
          </cell>
          <cell r="AT905">
            <v>46356</v>
          </cell>
          <cell r="AU905">
            <v>-11.821481558641972</v>
          </cell>
          <cell r="AV905">
            <v>65.355553240740846</v>
          </cell>
          <cell r="AW905">
            <v>-11.821481558641972</v>
          </cell>
          <cell r="AY905">
            <v>70.463691782410024</v>
          </cell>
          <cell r="AZ905" t="str">
            <v>F18</v>
          </cell>
          <cell r="BA905">
            <v>9.7799999999999994</v>
          </cell>
          <cell r="BB905" t="str">
            <v>NSFC</v>
          </cell>
          <cell r="BC905" t="str">
            <v>F18CK</v>
          </cell>
        </row>
        <row r="906">
          <cell r="A906" t="str">
            <v>579F1</v>
          </cell>
          <cell r="B906" t="str">
            <v>3</v>
          </cell>
          <cell r="C906" t="str">
            <v>06</v>
          </cell>
          <cell r="D906">
            <v>20</v>
          </cell>
          <cell r="E906" t="str">
            <v>579F1</v>
          </cell>
          <cell r="F906">
            <v>10.41</v>
          </cell>
          <cell r="G906">
            <v>8.6</v>
          </cell>
          <cell r="H906">
            <v>8.6</v>
          </cell>
          <cell r="I906" t="str">
            <v>FC</v>
          </cell>
          <cell r="J906" t="str">
            <v>ST</v>
          </cell>
          <cell r="K906">
            <v>14</v>
          </cell>
          <cell r="L906">
            <v>45818</v>
          </cell>
          <cell r="M906">
            <v>45818</v>
          </cell>
          <cell r="N906">
            <v>176</v>
          </cell>
          <cell r="O906" t="str">
            <v>NS</v>
          </cell>
          <cell r="P906" t="str">
            <v>NSF18CK3</v>
          </cell>
          <cell r="Q906">
            <v>46245</v>
          </cell>
          <cell r="R906" t="str">
            <v/>
          </cell>
          <cell r="S906" t="str">
            <v/>
          </cell>
          <cell r="T906" t="str">
            <v/>
          </cell>
          <cell r="U906">
            <v>66519</v>
          </cell>
          <cell r="V906" t="str">
            <v/>
          </cell>
          <cell r="W906">
            <v>45730</v>
          </cell>
          <cell r="X906" t="str">
            <v>Lokasi Produksi 579F1 ( pecahan 579F )</v>
          </cell>
          <cell r="Z906">
            <v>14</v>
          </cell>
          <cell r="AA906">
            <v>46245</v>
          </cell>
          <cell r="AM906" t="str">
            <v>OK</v>
          </cell>
          <cell r="AO906">
            <v>5.878518441358028</v>
          </cell>
          <cell r="AP906">
            <v>-8.1214815586419711</v>
          </cell>
          <cell r="AQ906">
            <v>0</v>
          </cell>
          <cell r="AR906">
            <v>5.878518441358028</v>
          </cell>
          <cell r="AS906">
            <v>0</v>
          </cell>
          <cell r="AT906">
            <v>46245</v>
          </cell>
          <cell r="AU906">
            <v>-8.1214815586419711</v>
          </cell>
          <cell r="AV906">
            <v>176.35555324074085</v>
          </cell>
          <cell r="AW906">
            <v>-8.1214815586419711</v>
          </cell>
          <cell r="AY906">
            <v>181.46369178241002</v>
          </cell>
          <cell r="AZ906" t="str">
            <v>F18</v>
          </cell>
          <cell r="BA906">
            <v>8.6</v>
          </cell>
          <cell r="BB906" t="str">
            <v>NSFC</v>
          </cell>
          <cell r="BC906" t="str">
            <v>F18CK</v>
          </cell>
        </row>
        <row r="907">
          <cell r="A907" t="str">
            <v>579F2</v>
          </cell>
          <cell r="B907" t="str">
            <v>3</v>
          </cell>
          <cell r="C907" t="str">
            <v>06</v>
          </cell>
          <cell r="D907">
            <v>20</v>
          </cell>
          <cell r="E907" t="str">
            <v>579F2</v>
          </cell>
          <cell r="F907">
            <v>3.31</v>
          </cell>
          <cell r="G907">
            <v>2.68</v>
          </cell>
          <cell r="H907">
            <v>2.68</v>
          </cell>
          <cell r="I907" t="str">
            <v>FC</v>
          </cell>
          <cell r="J907" t="str">
            <v>ST</v>
          </cell>
          <cell r="K907">
            <v>0</v>
          </cell>
          <cell r="L907">
            <v>45931</v>
          </cell>
          <cell r="M907">
            <v>45931</v>
          </cell>
          <cell r="N907">
            <v>63</v>
          </cell>
          <cell r="O907" t="str">
            <v>SK</v>
          </cell>
          <cell r="P907" t="str">
            <v/>
          </cell>
          <cell r="Q907">
            <v>45931</v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>
            <v>45944</v>
          </cell>
          <cell r="X907" t="str">
            <v>Lokasi Produksi 579F2 ( pecahan 579F )</v>
          </cell>
          <cell r="Z907">
            <v>0</v>
          </cell>
          <cell r="AA907">
            <v>45931</v>
          </cell>
          <cell r="AM907" t="str">
            <v>OK</v>
          </cell>
          <cell r="AO907">
            <v>2.1118517746913614</v>
          </cell>
          <cell r="AP907">
            <v>2.1118517746913614</v>
          </cell>
          <cell r="AQ907">
            <v>0</v>
          </cell>
          <cell r="AR907">
            <v>2.1118517746913614</v>
          </cell>
          <cell r="AS907">
            <v>0</v>
          </cell>
          <cell r="AT907">
            <v>45931</v>
          </cell>
          <cell r="AU907">
            <v>2.1118517746913614</v>
          </cell>
          <cell r="AV907">
            <v>63.355553240740846</v>
          </cell>
          <cell r="AW907">
            <v>2.1118517746913614</v>
          </cell>
          <cell r="AY907">
            <v>68.463691782410024</v>
          </cell>
          <cell r="AZ907" t="str">
            <v>F18</v>
          </cell>
          <cell r="BA907">
            <v>0</v>
          </cell>
          <cell r="BB907" t="str">
            <v>SKFC</v>
          </cell>
          <cell r="BC907" t="str">
            <v>F18</v>
          </cell>
        </row>
        <row r="908">
          <cell r="A908" t="str">
            <v>580A</v>
          </cell>
          <cell r="B908" t="str">
            <v>3</v>
          </cell>
          <cell r="C908" t="str">
            <v>06</v>
          </cell>
          <cell r="D908">
            <v>20</v>
          </cell>
          <cell r="E908" t="str">
            <v>580A</v>
          </cell>
          <cell r="F908">
            <v>10.96</v>
          </cell>
          <cell r="G908">
            <v>8.7100000000000009</v>
          </cell>
          <cell r="H908">
            <v>8.7100000000000009</v>
          </cell>
          <cell r="I908" t="str">
            <v>SC</v>
          </cell>
          <cell r="J908" t="str">
            <v>FC</v>
          </cell>
          <cell r="K908">
            <v>8</v>
          </cell>
          <cell r="L908">
            <v>45641</v>
          </cell>
          <cell r="M908">
            <v>45641</v>
          </cell>
          <cell r="N908">
            <v>353</v>
          </cell>
          <cell r="O908" t="str">
            <v>NS</v>
          </cell>
          <cell r="P908" t="str">
            <v/>
          </cell>
          <cell r="Q908">
            <v>45885</v>
          </cell>
          <cell r="R908" t="str">
            <v/>
          </cell>
          <cell r="S908" t="str">
            <v/>
          </cell>
          <cell r="T908">
            <v>45849</v>
          </cell>
          <cell r="U908">
            <v>64137</v>
          </cell>
          <cell r="V908">
            <v>49925</v>
          </cell>
          <cell r="W908">
            <v>43862</v>
          </cell>
          <cell r="X908" t="str">
            <v>Lokasi Produksi 580A</v>
          </cell>
          <cell r="Z908">
            <v>8</v>
          </cell>
          <cell r="AA908">
            <v>45885</v>
          </cell>
          <cell r="AM908" t="str">
            <v>OK</v>
          </cell>
          <cell r="AO908">
            <v>11.778518441358028</v>
          </cell>
          <cell r="AP908">
            <v>3.7785184413580275</v>
          </cell>
          <cell r="AQ908">
            <v>45849</v>
          </cell>
          <cell r="AR908">
            <v>6.9333333333333336</v>
          </cell>
          <cell r="AS908">
            <v>4.8451851080246939</v>
          </cell>
          <cell r="AT908">
            <v>45885</v>
          </cell>
          <cell r="AU908">
            <v>4.8451851080246939</v>
          </cell>
          <cell r="AV908">
            <v>208</v>
          </cell>
          <cell r="AW908">
            <v>4.8451851080246939</v>
          </cell>
          <cell r="AY908">
            <v>358.46369178241002</v>
          </cell>
          <cell r="AZ908" t="str">
            <v>F18</v>
          </cell>
          <cell r="BA908">
            <v>8.7100000000000009</v>
          </cell>
          <cell r="BB908" t="str">
            <v>NSSC</v>
          </cell>
          <cell r="BC908" t="str">
            <v>F18</v>
          </cell>
        </row>
        <row r="909">
          <cell r="A909" t="str">
            <v>580AS</v>
          </cell>
          <cell r="B909" t="str">
            <v>3</v>
          </cell>
          <cell r="C909" t="str">
            <v>06</v>
          </cell>
          <cell r="D909">
            <v>20</v>
          </cell>
          <cell r="E909" t="str">
            <v>580AS</v>
          </cell>
          <cell r="F909">
            <v>1.37</v>
          </cell>
          <cell r="G909">
            <v>1.37</v>
          </cell>
          <cell r="H909">
            <v>1.37</v>
          </cell>
          <cell r="I909" t="str">
            <v>FC</v>
          </cell>
          <cell r="J909" t="str">
            <v>ST</v>
          </cell>
          <cell r="K909">
            <v>0</v>
          </cell>
          <cell r="L909">
            <v>45810</v>
          </cell>
          <cell r="M909">
            <v>45810</v>
          </cell>
          <cell r="N909">
            <v>184</v>
          </cell>
          <cell r="O909" t="str">
            <v>SK</v>
          </cell>
          <cell r="P909" t="str">
            <v/>
          </cell>
          <cell r="Q909">
            <v>45810</v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>
            <v>43161</v>
          </cell>
          <cell r="X909" t="str">
            <v>Lokasi Produksi 580AS ( singkong )</v>
          </cell>
          <cell r="Z909">
            <v>0</v>
          </cell>
          <cell r="AA909">
            <v>45810</v>
          </cell>
          <cell r="AM909" t="str">
            <v>OK</v>
          </cell>
          <cell r="AO909">
            <v>6.1451851080246946</v>
          </cell>
          <cell r="AP909">
            <v>6.1451851080246946</v>
          </cell>
          <cell r="AQ909">
            <v>0</v>
          </cell>
          <cell r="AR909">
            <v>6.1451851080246946</v>
          </cell>
          <cell r="AS909">
            <v>0</v>
          </cell>
          <cell r="AT909">
            <v>45810</v>
          </cell>
          <cell r="AU909">
            <v>6.1451851080246946</v>
          </cell>
          <cell r="AV909">
            <v>184.35555324074085</v>
          </cell>
          <cell r="AW909">
            <v>6.1451851080246946</v>
          </cell>
          <cell r="AY909">
            <v>189.46369178241002</v>
          </cell>
          <cell r="AZ909" t="str">
            <v>F18</v>
          </cell>
          <cell r="BA909">
            <v>0</v>
          </cell>
          <cell r="BB909" t="str">
            <v>SKFC</v>
          </cell>
          <cell r="BC909" t="str">
            <v>F18</v>
          </cell>
        </row>
        <row r="910">
          <cell r="A910" t="str">
            <v>580B</v>
          </cell>
          <cell r="B910" t="str">
            <v>3</v>
          </cell>
          <cell r="C910" t="str">
            <v>06</v>
          </cell>
          <cell r="D910">
            <v>20</v>
          </cell>
          <cell r="E910" t="str">
            <v>580B</v>
          </cell>
          <cell r="F910">
            <v>9.85</v>
          </cell>
          <cell r="G910">
            <v>8.02</v>
          </cell>
          <cell r="H910">
            <v>8.02</v>
          </cell>
          <cell r="I910" t="str">
            <v>SC</v>
          </cell>
          <cell r="J910" t="str">
            <v>FC</v>
          </cell>
          <cell r="K910">
            <v>8</v>
          </cell>
          <cell r="L910">
            <v>45919</v>
          </cell>
          <cell r="M910">
            <v>45919</v>
          </cell>
          <cell r="N910">
            <v>75</v>
          </cell>
          <cell r="O910" t="str">
            <v>NS</v>
          </cell>
          <cell r="P910" t="str">
            <v/>
          </cell>
          <cell r="Q910">
            <v>46163</v>
          </cell>
          <cell r="R910" t="str">
            <v/>
          </cell>
          <cell r="S910" t="str">
            <v/>
          </cell>
          <cell r="T910" t="str">
            <v/>
          </cell>
          <cell r="U910">
            <v>69752</v>
          </cell>
          <cell r="V910">
            <v>70512</v>
          </cell>
          <cell r="W910">
            <v>43924</v>
          </cell>
          <cell r="X910" t="str">
            <v>Lokasi Produksi 580B</v>
          </cell>
          <cell r="Z910">
            <v>8</v>
          </cell>
          <cell r="AA910">
            <v>46163</v>
          </cell>
          <cell r="AM910" t="str">
            <v>OK</v>
          </cell>
          <cell r="AO910">
            <v>2.5118517746913613</v>
          </cell>
          <cell r="AP910">
            <v>-5.4881482253086382</v>
          </cell>
          <cell r="AQ910">
            <v>0</v>
          </cell>
          <cell r="AR910">
            <v>2.5118517746913613</v>
          </cell>
          <cell r="AS910">
            <v>0</v>
          </cell>
          <cell r="AT910">
            <v>46163</v>
          </cell>
          <cell r="AU910">
            <v>-5.4881482253086382</v>
          </cell>
          <cell r="AV910">
            <v>75.355553240740846</v>
          </cell>
          <cell r="AW910">
            <v>-5.4881482253086382</v>
          </cell>
          <cell r="AY910">
            <v>80.463691782410024</v>
          </cell>
          <cell r="AZ910" t="str">
            <v>F18</v>
          </cell>
          <cell r="BA910">
            <v>8.02</v>
          </cell>
          <cell r="BB910" t="str">
            <v>NSSC</v>
          </cell>
          <cell r="BC910" t="str">
            <v>F18</v>
          </cell>
        </row>
        <row r="911">
          <cell r="A911" t="str">
            <v>580C1</v>
          </cell>
          <cell r="B911" t="str">
            <v>3</v>
          </cell>
          <cell r="C911" t="str">
            <v>06</v>
          </cell>
          <cell r="D911">
            <v>20</v>
          </cell>
          <cell r="E911" t="str">
            <v>580C1</v>
          </cell>
          <cell r="F911">
            <v>7.89</v>
          </cell>
          <cell r="G911">
            <v>6.19</v>
          </cell>
          <cell r="H911">
            <v>6.19</v>
          </cell>
          <cell r="I911" t="str">
            <v>SC</v>
          </cell>
          <cell r="J911" t="str">
            <v>FC</v>
          </cell>
          <cell r="K911">
            <v>8</v>
          </cell>
          <cell r="L911">
            <v>45793</v>
          </cell>
          <cell r="M911">
            <v>45793</v>
          </cell>
          <cell r="N911">
            <v>201</v>
          </cell>
          <cell r="O911" t="str">
            <v>NS</v>
          </cell>
          <cell r="P911" t="str">
            <v/>
          </cell>
          <cell r="Q911">
            <v>46037</v>
          </cell>
          <cell r="R911" t="str">
            <v/>
          </cell>
          <cell r="S911" t="str">
            <v/>
          </cell>
          <cell r="T911" t="str">
            <v/>
          </cell>
          <cell r="U911">
            <v>63651</v>
          </cell>
          <cell r="V911">
            <v>69779</v>
          </cell>
          <cell r="W911">
            <v>43023</v>
          </cell>
          <cell r="X911" t="str">
            <v>Lokasi Produksi 580C1 ( Pecahan 580C )</v>
          </cell>
          <cell r="Z911">
            <v>8</v>
          </cell>
          <cell r="AA911">
            <v>46037</v>
          </cell>
          <cell r="AM911" t="str">
            <v>OK</v>
          </cell>
          <cell r="AO911">
            <v>6.711851774691362</v>
          </cell>
          <cell r="AP911">
            <v>-1.288148225308638</v>
          </cell>
          <cell r="AQ911">
            <v>0</v>
          </cell>
          <cell r="AR911">
            <v>6.711851774691362</v>
          </cell>
          <cell r="AS911">
            <v>0</v>
          </cell>
          <cell r="AT911">
            <v>46037</v>
          </cell>
          <cell r="AU911">
            <v>-1.288148225308638</v>
          </cell>
          <cell r="AV911">
            <v>201.35555324074085</v>
          </cell>
          <cell r="AW911">
            <v>-1.288148225308638</v>
          </cell>
          <cell r="AY911">
            <v>206.46369178241002</v>
          </cell>
          <cell r="AZ911" t="str">
            <v>F18</v>
          </cell>
          <cell r="BA911">
            <v>6.19</v>
          </cell>
          <cell r="BB911" t="str">
            <v>NSSC</v>
          </cell>
          <cell r="BC911" t="str">
            <v>F18</v>
          </cell>
        </row>
        <row r="912">
          <cell r="A912" t="str">
            <v>580C2</v>
          </cell>
          <cell r="B912" t="str">
            <v>3</v>
          </cell>
          <cell r="C912" t="str">
            <v>06</v>
          </cell>
          <cell r="D912">
            <v>20</v>
          </cell>
          <cell r="E912" t="str">
            <v>580C2</v>
          </cell>
          <cell r="F912">
            <v>15.14</v>
          </cell>
          <cell r="G912">
            <v>11.93</v>
          </cell>
          <cell r="H912">
            <v>11.93</v>
          </cell>
          <cell r="I912" t="str">
            <v>SC</v>
          </cell>
          <cell r="J912" t="str">
            <v>FC</v>
          </cell>
          <cell r="K912">
            <v>8</v>
          </cell>
          <cell r="L912">
            <v>45793</v>
          </cell>
          <cell r="M912">
            <v>45793</v>
          </cell>
          <cell r="N912">
            <v>201</v>
          </cell>
          <cell r="O912" t="str">
            <v>NS</v>
          </cell>
          <cell r="P912" t="str">
            <v/>
          </cell>
          <cell r="Q912">
            <v>46037</v>
          </cell>
          <cell r="R912" t="str">
            <v/>
          </cell>
          <cell r="S912" t="str">
            <v/>
          </cell>
          <cell r="T912">
            <v>45993</v>
          </cell>
          <cell r="U912">
            <v>67638</v>
          </cell>
          <cell r="V912">
            <v>69451</v>
          </cell>
          <cell r="W912">
            <v>43023</v>
          </cell>
          <cell r="X912" t="str">
            <v>Lokasi Produksi 580C2 ( Pecahan 580C )</v>
          </cell>
          <cell r="Z912">
            <v>8</v>
          </cell>
          <cell r="AA912">
            <v>46037</v>
          </cell>
          <cell r="AM912" t="str">
            <v>OK</v>
          </cell>
          <cell r="AO912">
            <v>6.711851774691362</v>
          </cell>
          <cell r="AP912">
            <v>-1.288148225308638</v>
          </cell>
          <cell r="AQ912">
            <v>45993</v>
          </cell>
          <cell r="AR912">
            <v>6.666666666666667</v>
          </cell>
          <cell r="AS912">
            <v>4.5185108024694998E-2</v>
          </cell>
          <cell r="AT912">
            <v>46037</v>
          </cell>
          <cell r="AU912">
            <v>4.5185108024694998E-2</v>
          </cell>
          <cell r="AV912">
            <v>200</v>
          </cell>
          <cell r="AW912">
            <v>4.5185108024694998E-2</v>
          </cell>
          <cell r="AY912">
            <v>206.46369178241002</v>
          </cell>
          <cell r="AZ912" t="str">
            <v>F18</v>
          </cell>
          <cell r="BA912">
            <v>11.93</v>
          </cell>
          <cell r="BB912" t="str">
            <v>NSSC</v>
          </cell>
          <cell r="BC912" t="str">
            <v>F18</v>
          </cell>
        </row>
        <row r="913">
          <cell r="A913" t="str">
            <v>581A1</v>
          </cell>
          <cell r="B913" t="str">
            <v>3</v>
          </cell>
          <cell r="C913" t="str">
            <v>06</v>
          </cell>
          <cell r="D913">
            <v>20</v>
          </cell>
          <cell r="E913" t="str">
            <v>581A1</v>
          </cell>
          <cell r="F913">
            <v>9.16</v>
          </cell>
          <cell r="G913">
            <v>6.5</v>
          </cell>
          <cell r="H913">
            <v>7.04</v>
          </cell>
          <cell r="I913" t="str">
            <v>BK</v>
          </cell>
          <cell r="J913" t="str">
            <v>BB</v>
          </cell>
          <cell r="K913">
            <v>0</v>
          </cell>
          <cell r="L913">
            <v>45900</v>
          </cell>
          <cell r="M913">
            <v>45900</v>
          </cell>
          <cell r="N913">
            <v>94</v>
          </cell>
          <cell r="O913" t="str">
            <v>NS</v>
          </cell>
          <cell r="P913" t="str">
            <v/>
          </cell>
          <cell r="Q913">
            <v>45900</v>
          </cell>
          <cell r="R913" t="str">
            <v/>
          </cell>
          <cell r="S913" t="str">
            <v/>
          </cell>
          <cell r="T913" t="str">
            <v/>
          </cell>
          <cell r="U913">
            <v>61992</v>
          </cell>
          <cell r="V913">
            <v>73611</v>
          </cell>
          <cell r="W913">
            <v>44599</v>
          </cell>
          <cell r="X913" t="str">
            <v>Lokasi Produksi 581A1 ( pecahan 581A )</v>
          </cell>
          <cell r="Z913">
            <v>0</v>
          </cell>
          <cell r="AA913">
            <v>45900</v>
          </cell>
          <cell r="AM913" t="str">
            <v>OK</v>
          </cell>
          <cell r="AO913">
            <v>3.1451851080246951</v>
          </cell>
          <cell r="AP913">
            <v>3.1451851080246951</v>
          </cell>
          <cell r="AQ913">
            <v>0</v>
          </cell>
          <cell r="AR913">
            <v>3.1451851080246951</v>
          </cell>
          <cell r="AS913">
            <v>0</v>
          </cell>
          <cell r="AT913">
            <v>45900</v>
          </cell>
          <cell r="AU913">
            <v>3.1451851080246951</v>
          </cell>
          <cell r="AV913">
            <v>94.355553240740846</v>
          </cell>
          <cell r="AW913">
            <v>3.1451851080246951</v>
          </cell>
          <cell r="AY913">
            <v>99.463691782410024</v>
          </cell>
          <cell r="AZ913" t="str">
            <v>F18</v>
          </cell>
          <cell r="BA913">
            <v>0</v>
          </cell>
          <cell r="BB913" t="str">
            <v>NSBK</v>
          </cell>
          <cell r="BC913" t="str">
            <v>F18</v>
          </cell>
        </row>
        <row r="914">
          <cell r="A914" t="str">
            <v>581A2</v>
          </cell>
          <cell r="B914" t="str">
            <v>3</v>
          </cell>
          <cell r="C914" t="str">
            <v>06</v>
          </cell>
          <cell r="D914">
            <v>20</v>
          </cell>
          <cell r="E914" t="str">
            <v>581A2</v>
          </cell>
          <cell r="F914">
            <v>4.92</v>
          </cell>
          <cell r="G914">
            <v>3.4</v>
          </cell>
          <cell r="H914">
            <v>3.63</v>
          </cell>
          <cell r="I914" t="str">
            <v>BK</v>
          </cell>
          <cell r="J914" t="str">
            <v>SC</v>
          </cell>
          <cell r="K914">
            <v>0</v>
          </cell>
          <cell r="L914">
            <v>45898</v>
          </cell>
          <cell r="M914">
            <v>45898</v>
          </cell>
          <cell r="N914">
            <v>96</v>
          </cell>
          <cell r="O914" t="str">
            <v>NS</v>
          </cell>
          <cell r="P914" t="str">
            <v/>
          </cell>
          <cell r="Q914">
            <v>45898</v>
          </cell>
          <cell r="R914" t="str">
            <v/>
          </cell>
          <cell r="S914" t="str">
            <v/>
          </cell>
          <cell r="T914" t="str">
            <v/>
          </cell>
          <cell r="U914">
            <v>66118</v>
          </cell>
          <cell r="V914">
            <v>52416</v>
          </cell>
          <cell r="W914">
            <v>44599</v>
          </cell>
          <cell r="X914" t="str">
            <v>Lokasi Produksi 581A2 ( Pecahan 581A )</v>
          </cell>
          <cell r="Z914">
            <v>0</v>
          </cell>
          <cell r="AA914">
            <v>45898</v>
          </cell>
          <cell r="AM914" t="str">
            <v>OK</v>
          </cell>
          <cell r="AO914">
            <v>3.2118517746913615</v>
          </cell>
          <cell r="AP914">
            <v>3.2118517746913615</v>
          </cell>
          <cell r="AQ914">
            <v>0</v>
          </cell>
          <cell r="AR914">
            <v>3.2118517746913615</v>
          </cell>
          <cell r="AS914">
            <v>0</v>
          </cell>
          <cell r="AT914">
            <v>45898</v>
          </cell>
          <cell r="AU914">
            <v>3.2118517746913615</v>
          </cell>
          <cell r="AV914">
            <v>96.355553240740846</v>
          </cell>
          <cell r="AW914">
            <v>3.2118517746913615</v>
          </cell>
          <cell r="AY914">
            <v>101.46369178241002</v>
          </cell>
          <cell r="AZ914" t="str">
            <v>F18</v>
          </cell>
          <cell r="BA914">
            <v>0</v>
          </cell>
          <cell r="BB914" t="str">
            <v>NSBK</v>
          </cell>
          <cell r="BC914" t="str">
            <v>F18</v>
          </cell>
        </row>
        <row r="915">
          <cell r="A915" t="str">
            <v>581B1</v>
          </cell>
          <cell r="B915" t="str">
            <v>3</v>
          </cell>
          <cell r="C915" t="str">
            <v>06</v>
          </cell>
          <cell r="D915">
            <v>20</v>
          </cell>
          <cell r="E915" t="str">
            <v>581B1</v>
          </cell>
          <cell r="F915">
            <v>8.66</v>
          </cell>
          <cell r="G915">
            <v>6.82</v>
          </cell>
          <cell r="H915">
            <v>6.82</v>
          </cell>
          <cell r="I915" t="str">
            <v>SC</v>
          </cell>
          <cell r="J915" t="str">
            <v>FC</v>
          </cell>
          <cell r="K915">
            <v>8</v>
          </cell>
          <cell r="L915">
            <v>45689</v>
          </cell>
          <cell r="M915">
            <v>45689</v>
          </cell>
          <cell r="N915">
            <v>305</v>
          </cell>
          <cell r="O915" t="str">
            <v>NS</v>
          </cell>
          <cell r="P915" t="str">
            <v/>
          </cell>
          <cell r="Q915">
            <v>45933</v>
          </cell>
          <cell r="R915" t="str">
            <v/>
          </cell>
          <cell r="S915" t="str">
            <v/>
          </cell>
          <cell r="T915">
            <v>45910</v>
          </cell>
          <cell r="U915">
            <v>70607</v>
          </cell>
          <cell r="V915">
            <v>53664</v>
          </cell>
          <cell r="W915">
            <v>44682</v>
          </cell>
          <cell r="X915" t="str">
            <v>Lokasi Produksi 581B1 ( pecahan 581B )</v>
          </cell>
          <cell r="Z915">
            <v>8</v>
          </cell>
          <cell r="AA915">
            <v>45933</v>
          </cell>
          <cell r="AM915" t="str">
            <v>OK</v>
          </cell>
          <cell r="AO915">
            <v>10.178518441358028</v>
          </cell>
          <cell r="AP915">
            <v>2.1785184413580279</v>
          </cell>
          <cell r="AQ915">
            <v>45910</v>
          </cell>
          <cell r="AR915">
            <v>7.3666666666666663</v>
          </cell>
          <cell r="AS915">
            <v>2.8118517746913616</v>
          </cell>
          <cell r="AT915">
            <v>45933</v>
          </cell>
          <cell r="AU915">
            <v>2.8118517746913616</v>
          </cell>
          <cell r="AV915">
            <v>221</v>
          </cell>
          <cell r="AW915">
            <v>2.8118517746913616</v>
          </cell>
          <cell r="AY915">
            <v>310.46369178241002</v>
          </cell>
          <cell r="AZ915" t="str">
            <v>F18</v>
          </cell>
          <cell r="BA915">
            <v>6.82</v>
          </cell>
          <cell r="BB915" t="str">
            <v>NSSC</v>
          </cell>
          <cell r="BC915" t="str">
            <v>F18</v>
          </cell>
        </row>
        <row r="916">
          <cell r="A916" t="str">
            <v>581B2</v>
          </cell>
          <cell r="B916" t="str">
            <v>3</v>
          </cell>
          <cell r="C916" t="str">
            <v>06</v>
          </cell>
          <cell r="D916">
            <v>20</v>
          </cell>
          <cell r="E916" t="str">
            <v>581B2</v>
          </cell>
          <cell r="F916">
            <v>5.4</v>
          </cell>
          <cell r="G916">
            <v>4.1900000000000004</v>
          </cell>
          <cell r="H916">
            <v>4.1900000000000004</v>
          </cell>
          <cell r="I916" t="str">
            <v>SC</v>
          </cell>
          <cell r="J916" t="str">
            <v>FC</v>
          </cell>
          <cell r="K916">
            <v>8</v>
          </cell>
          <cell r="L916">
            <v>45681</v>
          </cell>
          <cell r="M916">
            <v>45681</v>
          </cell>
          <cell r="N916">
            <v>313</v>
          </cell>
          <cell r="O916" t="str">
            <v>NS</v>
          </cell>
          <cell r="P916" t="str">
            <v/>
          </cell>
          <cell r="Q916">
            <v>45925</v>
          </cell>
          <cell r="R916" t="str">
            <v/>
          </cell>
          <cell r="S916" t="str">
            <v/>
          </cell>
          <cell r="T916">
            <v>45912</v>
          </cell>
          <cell r="U916">
            <v>69691</v>
          </cell>
          <cell r="V916">
            <v>52493</v>
          </cell>
          <cell r="W916">
            <v>45046</v>
          </cell>
          <cell r="X916" t="str">
            <v>Lokasi Produksi 581B2 ( pecahan 581B )</v>
          </cell>
          <cell r="Z916">
            <v>8</v>
          </cell>
          <cell r="AA916">
            <v>45925</v>
          </cell>
          <cell r="AM916" t="str">
            <v>OK</v>
          </cell>
          <cell r="AO916">
            <v>10.445185108024695</v>
          </cell>
          <cell r="AP916">
            <v>2.4451851080246954</v>
          </cell>
          <cell r="AQ916">
            <v>45912</v>
          </cell>
          <cell r="AR916">
            <v>7.7</v>
          </cell>
          <cell r="AS916">
            <v>2.7451851080246952</v>
          </cell>
          <cell r="AT916">
            <v>45925</v>
          </cell>
          <cell r="AU916">
            <v>2.7451851080246952</v>
          </cell>
          <cell r="AV916">
            <v>231</v>
          </cell>
          <cell r="AW916">
            <v>2.7451851080246952</v>
          </cell>
          <cell r="AY916">
            <v>318.46369178241002</v>
          </cell>
          <cell r="AZ916" t="str">
            <v>F18</v>
          </cell>
          <cell r="BA916">
            <v>4.1900000000000004</v>
          </cell>
          <cell r="BB916" t="str">
            <v>NSSC</v>
          </cell>
          <cell r="BC916" t="str">
            <v>F18</v>
          </cell>
        </row>
        <row r="917">
          <cell r="A917" t="str">
            <v>581BS</v>
          </cell>
          <cell r="B917" t="str">
            <v>3</v>
          </cell>
          <cell r="C917" t="str">
            <v>06</v>
          </cell>
          <cell r="D917">
            <v>20</v>
          </cell>
          <cell r="E917" t="str">
            <v>581BS</v>
          </cell>
          <cell r="F917">
            <v>0.37</v>
          </cell>
          <cell r="G917">
            <v>0.37</v>
          </cell>
          <cell r="H917">
            <v>0.37</v>
          </cell>
          <cell r="I917" t="str">
            <v>FC</v>
          </cell>
          <cell r="J917" t="str">
            <v>ST</v>
          </cell>
          <cell r="K917">
            <v>0</v>
          </cell>
          <cell r="L917">
            <v>45815</v>
          </cell>
          <cell r="M917">
            <v>45815</v>
          </cell>
          <cell r="N917">
            <v>179</v>
          </cell>
          <cell r="O917" t="str">
            <v>SK</v>
          </cell>
          <cell r="P917" t="str">
            <v/>
          </cell>
          <cell r="Q917">
            <v>45815</v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>Lokasi Produksi 581BS ( Singkong )</v>
          </cell>
          <cell r="Z917">
            <v>0</v>
          </cell>
          <cell r="AA917">
            <v>45815</v>
          </cell>
          <cell r="AM917" t="str">
            <v>OK</v>
          </cell>
          <cell r="AO917">
            <v>5.9785184413580286</v>
          </cell>
          <cell r="AP917">
            <v>5.9785184413580286</v>
          </cell>
          <cell r="AQ917">
            <v>0</v>
          </cell>
          <cell r="AR917">
            <v>5.9785184413580286</v>
          </cell>
          <cell r="AS917">
            <v>0</v>
          </cell>
          <cell r="AT917">
            <v>45815</v>
          </cell>
          <cell r="AU917">
            <v>5.9785184413580286</v>
          </cell>
          <cell r="AV917">
            <v>179.35555324074085</v>
          </cell>
          <cell r="AW917">
            <v>5.9785184413580286</v>
          </cell>
          <cell r="AY917">
            <v>184.46369178241002</v>
          </cell>
          <cell r="AZ917" t="str">
            <v>F18</v>
          </cell>
          <cell r="BA917">
            <v>0</v>
          </cell>
          <cell r="BB917" t="str">
            <v>SKFC</v>
          </cell>
          <cell r="BC917" t="str">
            <v>F18</v>
          </cell>
        </row>
        <row r="918">
          <cell r="A918" t="str">
            <v>582A1</v>
          </cell>
          <cell r="B918" t="str">
            <v>3</v>
          </cell>
          <cell r="C918" t="str">
            <v>06</v>
          </cell>
          <cell r="D918">
            <v>20</v>
          </cell>
          <cell r="E918" t="str">
            <v>582A1</v>
          </cell>
          <cell r="F918">
            <v>9.19</v>
          </cell>
          <cell r="G918">
            <v>7.71</v>
          </cell>
          <cell r="H918">
            <v>7.71</v>
          </cell>
          <cell r="I918" t="str">
            <v>FC</v>
          </cell>
          <cell r="J918" t="str">
            <v>ST</v>
          </cell>
          <cell r="K918">
            <v>14</v>
          </cell>
          <cell r="L918">
            <v>45918</v>
          </cell>
          <cell r="M918">
            <v>45918</v>
          </cell>
          <cell r="N918">
            <v>76</v>
          </cell>
          <cell r="O918" t="str">
            <v>NS</v>
          </cell>
          <cell r="P918" t="str">
            <v>NSF18CK3</v>
          </cell>
          <cell r="Q918">
            <v>46345</v>
          </cell>
          <cell r="R918" t="str">
            <v/>
          </cell>
          <cell r="S918" t="str">
            <v/>
          </cell>
          <cell r="T918" t="str">
            <v/>
          </cell>
          <cell r="U918">
            <v>68621</v>
          </cell>
          <cell r="V918" t="str">
            <v/>
          </cell>
          <cell r="W918">
            <v>45730</v>
          </cell>
          <cell r="X918" t="str">
            <v>Lokasi Produksi 582A1 ( pecahan 582A )</v>
          </cell>
          <cell r="Z918">
            <v>14</v>
          </cell>
          <cell r="AA918">
            <v>46345</v>
          </cell>
          <cell r="AM918" t="str">
            <v>OK</v>
          </cell>
          <cell r="AO918">
            <v>2.545185108024695</v>
          </cell>
          <cell r="AP918">
            <v>-11.454814891975305</v>
          </cell>
          <cell r="AQ918">
            <v>0</v>
          </cell>
          <cell r="AR918">
            <v>2.545185108024695</v>
          </cell>
          <cell r="AS918">
            <v>0</v>
          </cell>
          <cell r="AT918">
            <v>46345</v>
          </cell>
          <cell r="AU918">
            <v>-11.454814891975305</v>
          </cell>
          <cell r="AV918">
            <v>76.355553240740846</v>
          </cell>
          <cell r="AW918">
            <v>-11.454814891975305</v>
          </cell>
          <cell r="AY918">
            <v>81.463691782410024</v>
          </cell>
          <cell r="AZ918" t="str">
            <v>F18</v>
          </cell>
          <cell r="BA918">
            <v>7.71</v>
          </cell>
          <cell r="BB918" t="str">
            <v>NSFC</v>
          </cell>
          <cell r="BC918" t="str">
            <v>F18CK</v>
          </cell>
        </row>
        <row r="919">
          <cell r="A919" t="str">
            <v>582A2</v>
          </cell>
          <cell r="B919" t="str">
            <v>3</v>
          </cell>
          <cell r="C919" t="str">
            <v>06</v>
          </cell>
          <cell r="D919">
            <v>20</v>
          </cell>
          <cell r="E919" t="str">
            <v>582A2</v>
          </cell>
          <cell r="F919">
            <v>12.39</v>
          </cell>
          <cell r="G919">
            <v>10.32</v>
          </cell>
          <cell r="H919">
            <v>10.32</v>
          </cell>
          <cell r="I919" t="str">
            <v>FC</v>
          </cell>
          <cell r="J919" t="str">
            <v>ST</v>
          </cell>
          <cell r="K919">
            <v>14</v>
          </cell>
          <cell r="L919">
            <v>45909</v>
          </cell>
          <cell r="M919">
            <v>45909</v>
          </cell>
          <cell r="N919">
            <v>85</v>
          </cell>
          <cell r="O919" t="str">
            <v>NS</v>
          </cell>
          <cell r="P919" t="str">
            <v>NSF18CK3</v>
          </cell>
          <cell r="Q919">
            <v>46336</v>
          </cell>
          <cell r="R919" t="str">
            <v/>
          </cell>
          <cell r="S919" t="str">
            <v/>
          </cell>
          <cell r="T919" t="str">
            <v/>
          </cell>
          <cell r="U919">
            <v>70307</v>
          </cell>
          <cell r="V919" t="str">
            <v/>
          </cell>
          <cell r="W919">
            <v>45730</v>
          </cell>
          <cell r="X919" t="str">
            <v>Lokasi Produksi 582A2 ( pecahan 582A )</v>
          </cell>
          <cell r="Z919">
            <v>14</v>
          </cell>
          <cell r="AA919">
            <v>46336</v>
          </cell>
          <cell r="AM919" t="str">
            <v>OK</v>
          </cell>
          <cell r="AO919">
            <v>2.8451851080246948</v>
          </cell>
          <cell r="AP919">
            <v>-11.154814891975306</v>
          </cell>
          <cell r="AQ919">
            <v>0</v>
          </cell>
          <cell r="AR919">
            <v>2.8451851080246948</v>
          </cell>
          <cell r="AS919">
            <v>0</v>
          </cell>
          <cell r="AT919">
            <v>46336</v>
          </cell>
          <cell r="AU919">
            <v>-11.154814891975306</v>
          </cell>
          <cell r="AV919">
            <v>85.355553240740846</v>
          </cell>
          <cell r="AW919">
            <v>-11.154814891975306</v>
          </cell>
          <cell r="AY919">
            <v>90.463691782410024</v>
          </cell>
          <cell r="AZ919" t="str">
            <v>F18</v>
          </cell>
          <cell r="BA919">
            <v>10.32</v>
          </cell>
          <cell r="BB919" t="str">
            <v>NSFC</v>
          </cell>
          <cell r="BC919" t="str">
            <v>F18CK</v>
          </cell>
        </row>
        <row r="920">
          <cell r="A920" t="str">
            <v>582AS</v>
          </cell>
          <cell r="B920" t="str">
            <v>3</v>
          </cell>
          <cell r="C920" t="str">
            <v>06</v>
          </cell>
          <cell r="D920">
            <v>20</v>
          </cell>
          <cell r="E920" t="str">
            <v>582AS</v>
          </cell>
          <cell r="F920">
            <v>0.93</v>
          </cell>
          <cell r="G920">
            <v>0.93</v>
          </cell>
          <cell r="H920">
            <v>0.93</v>
          </cell>
          <cell r="I920" t="str">
            <v>FC</v>
          </cell>
          <cell r="J920" t="str">
            <v>ST</v>
          </cell>
          <cell r="K920">
            <v>0</v>
          </cell>
          <cell r="L920">
            <v>45856</v>
          </cell>
          <cell r="M920">
            <v>45856</v>
          </cell>
          <cell r="N920">
            <v>138</v>
          </cell>
          <cell r="O920" t="str">
            <v>SK</v>
          </cell>
          <cell r="P920" t="str">
            <v/>
          </cell>
          <cell r="Q920">
            <v>45856</v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>Lokasi Produksi 582AS ( singkong )</v>
          </cell>
          <cell r="Z920">
            <v>0</v>
          </cell>
          <cell r="AA920">
            <v>45856</v>
          </cell>
          <cell r="AM920" t="str">
            <v>OK</v>
          </cell>
          <cell r="AO920">
            <v>4.6118517746913614</v>
          </cell>
          <cell r="AP920">
            <v>4.6118517746913614</v>
          </cell>
          <cell r="AQ920">
            <v>0</v>
          </cell>
          <cell r="AR920">
            <v>4.6118517746913614</v>
          </cell>
          <cell r="AS920">
            <v>0</v>
          </cell>
          <cell r="AT920">
            <v>45856</v>
          </cell>
          <cell r="AU920">
            <v>4.6118517746913614</v>
          </cell>
          <cell r="AV920">
            <v>138.35555324074085</v>
          </cell>
          <cell r="AW920">
            <v>4.6118517746913614</v>
          </cell>
          <cell r="AY920">
            <v>143.46369178241002</v>
          </cell>
          <cell r="AZ920" t="str">
            <v>F18</v>
          </cell>
          <cell r="BA920">
            <v>0</v>
          </cell>
          <cell r="BB920" t="str">
            <v>SKFC</v>
          </cell>
          <cell r="BC920" t="str">
            <v>F18</v>
          </cell>
        </row>
        <row r="921">
          <cell r="A921" t="str">
            <v>582B2</v>
          </cell>
          <cell r="B921" t="str">
            <v>3</v>
          </cell>
          <cell r="C921" t="str">
            <v>06</v>
          </cell>
          <cell r="D921">
            <v>20</v>
          </cell>
          <cell r="E921" t="str">
            <v>582B2</v>
          </cell>
          <cell r="F921">
            <v>11.33</v>
          </cell>
          <cell r="G921">
            <v>8.9499999999999993</v>
          </cell>
          <cell r="H921">
            <v>8.9499999999999993</v>
          </cell>
          <cell r="I921" t="str">
            <v>BK</v>
          </cell>
          <cell r="J921" t="str">
            <v>SC</v>
          </cell>
          <cell r="K921">
            <v>0</v>
          </cell>
          <cell r="L921">
            <v>45989</v>
          </cell>
          <cell r="M921">
            <v>45989</v>
          </cell>
          <cell r="N921">
            <v>5</v>
          </cell>
          <cell r="O921" t="str">
            <v>NS</v>
          </cell>
          <cell r="P921" t="str">
            <v/>
          </cell>
          <cell r="Q921">
            <v>45989</v>
          </cell>
          <cell r="R921" t="str">
            <v/>
          </cell>
          <cell r="S921" t="str">
            <v/>
          </cell>
          <cell r="T921" t="str">
            <v/>
          </cell>
          <cell r="U921">
            <v>67995</v>
          </cell>
          <cell r="V921">
            <v>52304</v>
          </cell>
          <cell r="W921">
            <v>45033</v>
          </cell>
          <cell r="X921" t="str">
            <v>Lokasi Produksi 582B2 ( pecahan 582B )</v>
          </cell>
          <cell r="Z921">
            <v>0</v>
          </cell>
          <cell r="AA921">
            <v>45989</v>
          </cell>
          <cell r="AM921" t="str">
            <v>OK</v>
          </cell>
          <cell r="AO921">
            <v>0.17851844135802822</v>
          </cell>
          <cell r="AP921">
            <v>0.17851844135802822</v>
          </cell>
          <cell r="AQ921">
            <v>0</v>
          </cell>
          <cell r="AR921">
            <v>0.17851844135802822</v>
          </cell>
          <cell r="AS921">
            <v>0</v>
          </cell>
          <cell r="AT921">
            <v>45989</v>
          </cell>
          <cell r="AU921">
            <v>0.17851844135802822</v>
          </cell>
          <cell r="AV921">
            <v>5.3555532407408464</v>
          </cell>
          <cell r="AW921">
            <v>0.17851844135802822</v>
          </cell>
          <cell r="AY921">
            <v>10.463691782410024</v>
          </cell>
          <cell r="AZ921" t="str">
            <v>F18</v>
          </cell>
          <cell r="BA921">
            <v>0</v>
          </cell>
          <cell r="BB921" t="str">
            <v>NSBK</v>
          </cell>
          <cell r="BC921" t="str">
            <v>F18</v>
          </cell>
        </row>
        <row r="922">
          <cell r="A922" t="str">
            <v>582B3</v>
          </cell>
          <cell r="B922" t="str">
            <v>3</v>
          </cell>
          <cell r="C922" t="str">
            <v>06</v>
          </cell>
          <cell r="D922">
            <v>20</v>
          </cell>
          <cell r="E922" t="str">
            <v>582B3</v>
          </cell>
          <cell r="F922">
            <v>7.84</v>
          </cell>
          <cell r="G922">
            <v>6.22</v>
          </cell>
          <cell r="H922">
            <v>6.22</v>
          </cell>
          <cell r="I922" t="str">
            <v>BK</v>
          </cell>
          <cell r="J922" t="str">
            <v>BB</v>
          </cell>
          <cell r="K922">
            <v>0</v>
          </cell>
          <cell r="L922">
            <v>45953</v>
          </cell>
          <cell r="M922">
            <v>45953</v>
          </cell>
          <cell r="N922">
            <v>41</v>
          </cell>
          <cell r="O922" t="str">
            <v>NS</v>
          </cell>
          <cell r="P922" t="str">
            <v/>
          </cell>
          <cell r="Q922">
            <v>45953</v>
          </cell>
          <cell r="R922" t="str">
            <v/>
          </cell>
          <cell r="S922" t="str">
            <v/>
          </cell>
          <cell r="T922" t="str">
            <v/>
          </cell>
          <cell r="U922">
            <v>66954</v>
          </cell>
          <cell r="V922">
            <v>74695</v>
          </cell>
          <cell r="W922">
            <v>45045</v>
          </cell>
          <cell r="X922" t="str">
            <v>Lokasi Produksi 582B3 ( pecahan 582B )</v>
          </cell>
          <cell r="Z922">
            <v>0</v>
          </cell>
          <cell r="AA922">
            <v>45953</v>
          </cell>
          <cell r="AM922" t="str">
            <v>OK</v>
          </cell>
          <cell r="AO922">
            <v>1.3785184413580283</v>
          </cell>
          <cell r="AP922">
            <v>1.3785184413580283</v>
          </cell>
          <cell r="AQ922">
            <v>0</v>
          </cell>
          <cell r="AR922">
            <v>1.3785184413580283</v>
          </cell>
          <cell r="AS922">
            <v>0</v>
          </cell>
          <cell r="AT922">
            <v>45953</v>
          </cell>
          <cell r="AU922">
            <v>1.3785184413580283</v>
          </cell>
          <cell r="AV922">
            <v>41.355553240740846</v>
          </cell>
          <cell r="AW922">
            <v>1.3785184413580283</v>
          </cell>
          <cell r="AY922">
            <v>46.463691782410024</v>
          </cell>
          <cell r="AZ922" t="str">
            <v>F18</v>
          </cell>
          <cell r="BA922">
            <v>0</v>
          </cell>
          <cell r="BB922" t="str">
            <v>NSBK</v>
          </cell>
          <cell r="BC922" t="str">
            <v>F18</v>
          </cell>
        </row>
        <row r="923">
          <cell r="A923" t="str">
            <v>582BS</v>
          </cell>
          <cell r="B923" t="str">
            <v>3</v>
          </cell>
          <cell r="C923" t="str">
            <v>06</v>
          </cell>
          <cell r="D923">
            <v>20</v>
          </cell>
          <cell r="E923" t="str">
            <v>582BS</v>
          </cell>
          <cell r="F923">
            <v>1.37</v>
          </cell>
          <cell r="G923">
            <v>1.25</v>
          </cell>
          <cell r="H923">
            <v>1.25</v>
          </cell>
          <cell r="I923" t="str">
            <v>FC</v>
          </cell>
          <cell r="J923" t="str">
            <v>ST</v>
          </cell>
          <cell r="K923">
            <v>0</v>
          </cell>
          <cell r="L923">
            <v>45860</v>
          </cell>
          <cell r="M923">
            <v>45860</v>
          </cell>
          <cell r="N923">
            <v>134</v>
          </cell>
          <cell r="O923" t="str">
            <v>SK</v>
          </cell>
          <cell r="P923" t="str">
            <v/>
          </cell>
          <cell r="Q923">
            <v>45860</v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>Lokasi Produksi 582BS ( singkong )</v>
          </cell>
          <cell r="Z923">
            <v>0</v>
          </cell>
          <cell r="AA923">
            <v>45860</v>
          </cell>
          <cell r="AM923" t="str">
            <v>OK</v>
          </cell>
          <cell r="AO923">
            <v>4.4785184413580286</v>
          </cell>
          <cell r="AP923">
            <v>4.4785184413580286</v>
          </cell>
          <cell r="AQ923">
            <v>0</v>
          </cell>
          <cell r="AR923">
            <v>4.4785184413580286</v>
          </cell>
          <cell r="AS923">
            <v>0</v>
          </cell>
          <cell r="AT923">
            <v>45860</v>
          </cell>
          <cell r="AU923">
            <v>4.4785184413580286</v>
          </cell>
          <cell r="AV923">
            <v>134.35555324074085</v>
          </cell>
          <cell r="AW923">
            <v>4.4785184413580286</v>
          </cell>
          <cell r="AY923">
            <v>139.46369178241002</v>
          </cell>
          <cell r="AZ923" t="str">
            <v>F18</v>
          </cell>
          <cell r="BA923">
            <v>0</v>
          </cell>
          <cell r="BB923" t="str">
            <v>SKFC</v>
          </cell>
          <cell r="BC923" t="str">
            <v>F18</v>
          </cell>
        </row>
        <row r="924">
          <cell r="A924" t="str">
            <v>582C</v>
          </cell>
          <cell r="B924" t="str">
            <v>3</v>
          </cell>
          <cell r="C924" t="str">
            <v>06</v>
          </cell>
          <cell r="D924">
            <v>20</v>
          </cell>
          <cell r="E924" t="str">
            <v>582C</v>
          </cell>
          <cell r="F924">
            <v>7.64</v>
          </cell>
          <cell r="G924">
            <v>6.41</v>
          </cell>
          <cell r="H924">
            <v>6.41</v>
          </cell>
          <cell r="I924" t="str">
            <v>FC</v>
          </cell>
          <cell r="J924" t="str">
            <v>ST</v>
          </cell>
          <cell r="K924">
            <v>14</v>
          </cell>
          <cell r="L924">
            <v>45938</v>
          </cell>
          <cell r="M924">
            <v>45938</v>
          </cell>
          <cell r="N924">
            <v>56</v>
          </cell>
          <cell r="O924" t="str">
            <v>NS</v>
          </cell>
          <cell r="P924" t="str">
            <v>NSF18CK3</v>
          </cell>
          <cell r="Q924">
            <v>46365</v>
          </cell>
          <cell r="R924" t="str">
            <v/>
          </cell>
          <cell r="S924" t="str">
            <v/>
          </cell>
          <cell r="T924" t="str">
            <v/>
          </cell>
          <cell r="U924">
            <v>70390</v>
          </cell>
          <cell r="V924">
            <v>52404</v>
          </cell>
          <cell r="W924" t="str">
            <v/>
          </cell>
          <cell r="X924" t="str">
            <v>Lokasi Produksi 582C</v>
          </cell>
          <cell r="Z924">
            <v>14</v>
          </cell>
          <cell r="AA924">
            <v>46365</v>
          </cell>
          <cell r="AM924" t="str">
            <v>OK</v>
          </cell>
          <cell r="AO924">
            <v>1.8785184413580283</v>
          </cell>
          <cell r="AP924">
            <v>-12.121481558641971</v>
          </cell>
          <cell r="AQ924">
            <v>0</v>
          </cell>
          <cell r="AR924">
            <v>1.8785184413580283</v>
          </cell>
          <cell r="AS924">
            <v>0</v>
          </cell>
          <cell r="AT924">
            <v>46365</v>
          </cell>
          <cell r="AU924">
            <v>-12.121481558641971</v>
          </cell>
          <cell r="AV924">
            <v>56.355553240740846</v>
          </cell>
          <cell r="AW924">
            <v>-12.121481558641971</v>
          </cell>
          <cell r="AY924">
            <v>61.463691782410024</v>
          </cell>
          <cell r="AZ924" t="str">
            <v>F18</v>
          </cell>
          <cell r="BA924">
            <v>6.41</v>
          </cell>
          <cell r="BB924" t="str">
            <v>NSFC</v>
          </cell>
          <cell r="BC924" t="str">
            <v>F18CK</v>
          </cell>
        </row>
        <row r="925">
          <cell r="A925" t="str">
            <v>583B</v>
          </cell>
          <cell r="B925" t="str">
            <v>3</v>
          </cell>
          <cell r="C925" t="str">
            <v>06</v>
          </cell>
          <cell r="D925">
            <v>20</v>
          </cell>
          <cell r="E925" t="str">
            <v>583B</v>
          </cell>
          <cell r="F925">
            <v>10.51</v>
          </cell>
          <cell r="G925">
            <v>8.27</v>
          </cell>
          <cell r="H925">
            <v>8.27</v>
          </cell>
          <cell r="I925" t="str">
            <v>SC</v>
          </cell>
          <cell r="J925" t="str">
            <v>BB</v>
          </cell>
          <cell r="K925">
            <v>8</v>
          </cell>
          <cell r="L925">
            <v>45813</v>
          </cell>
          <cell r="M925">
            <v>45813</v>
          </cell>
          <cell r="N925">
            <v>181</v>
          </cell>
          <cell r="O925" t="str">
            <v>NS</v>
          </cell>
          <cell r="P925" t="str">
            <v/>
          </cell>
          <cell r="Q925">
            <v>46057</v>
          </cell>
          <cell r="R925" t="str">
            <v/>
          </cell>
          <cell r="S925" t="str">
            <v/>
          </cell>
          <cell r="T925" t="str">
            <v/>
          </cell>
          <cell r="U925">
            <v>66258</v>
          </cell>
          <cell r="V925">
            <v>71978</v>
          </cell>
          <cell r="W925">
            <v>43559</v>
          </cell>
          <cell r="X925" t="str">
            <v>Lokasi Produksi 583B</v>
          </cell>
          <cell r="Z925">
            <v>8</v>
          </cell>
          <cell r="AA925">
            <v>46057</v>
          </cell>
          <cell r="AM925" t="str">
            <v>OK</v>
          </cell>
          <cell r="AO925">
            <v>6.045185108024695</v>
          </cell>
          <cell r="AP925">
            <v>-1.954814891975305</v>
          </cell>
          <cell r="AQ925">
            <v>0</v>
          </cell>
          <cell r="AR925">
            <v>6.045185108024695</v>
          </cell>
          <cell r="AS925">
            <v>0</v>
          </cell>
          <cell r="AT925">
            <v>46057</v>
          </cell>
          <cell r="AU925">
            <v>-1.954814891975305</v>
          </cell>
          <cell r="AV925">
            <v>181.35555324074085</v>
          </cell>
          <cell r="AW925">
            <v>-1.954814891975305</v>
          </cell>
          <cell r="AY925">
            <v>186.46369178241002</v>
          </cell>
          <cell r="AZ925" t="str">
            <v>F18</v>
          </cell>
          <cell r="BA925">
            <v>8.27</v>
          </cell>
          <cell r="BB925" t="str">
            <v>NSSC</v>
          </cell>
          <cell r="BC925" t="str">
            <v>F18</v>
          </cell>
        </row>
        <row r="926">
          <cell r="A926" t="str">
            <v>583C</v>
          </cell>
          <cell r="B926" t="str">
            <v>3</v>
          </cell>
          <cell r="C926" t="str">
            <v>06</v>
          </cell>
          <cell r="D926">
            <v>20</v>
          </cell>
          <cell r="E926" t="str">
            <v>583C</v>
          </cell>
          <cell r="F926">
            <v>14.06</v>
          </cell>
          <cell r="G926">
            <v>11.55</v>
          </cell>
          <cell r="H926">
            <v>11.55</v>
          </cell>
          <cell r="I926" t="str">
            <v>SC</v>
          </cell>
          <cell r="J926" t="str">
            <v>FC</v>
          </cell>
          <cell r="K926">
            <v>8</v>
          </cell>
          <cell r="L926">
            <v>45961</v>
          </cell>
          <cell r="M926">
            <v>45961</v>
          </cell>
          <cell r="N926">
            <v>33</v>
          </cell>
          <cell r="O926" t="str">
            <v>NS</v>
          </cell>
          <cell r="P926" t="str">
            <v/>
          </cell>
          <cell r="Q926">
            <v>46205</v>
          </cell>
          <cell r="R926" t="str">
            <v/>
          </cell>
          <cell r="S926" t="str">
            <v/>
          </cell>
          <cell r="T926" t="str">
            <v/>
          </cell>
          <cell r="U926">
            <v>65693</v>
          </cell>
          <cell r="V926">
            <v>70260</v>
          </cell>
          <cell r="W926" t="str">
            <v/>
          </cell>
          <cell r="X926" t="str">
            <v>Lokasi Produksi 583C</v>
          </cell>
          <cell r="Z926">
            <v>8</v>
          </cell>
          <cell r="AA926">
            <v>46205</v>
          </cell>
          <cell r="AM926" t="str">
            <v>OK</v>
          </cell>
          <cell r="AO926">
            <v>1.1118517746913616</v>
          </cell>
          <cell r="AP926">
            <v>-6.8881482253086386</v>
          </cell>
          <cell r="AQ926">
            <v>0</v>
          </cell>
          <cell r="AR926">
            <v>1.1118517746913616</v>
          </cell>
          <cell r="AS926">
            <v>0</v>
          </cell>
          <cell r="AT926">
            <v>46205</v>
          </cell>
          <cell r="AU926">
            <v>-6.8881482253086386</v>
          </cell>
          <cell r="AV926">
            <v>33.355553240740846</v>
          </cell>
          <cell r="AW926">
            <v>-6.8881482253086386</v>
          </cell>
          <cell r="AY926">
            <v>38.463691782410024</v>
          </cell>
          <cell r="AZ926" t="str">
            <v>F18</v>
          </cell>
          <cell r="BA926">
            <v>11.55</v>
          </cell>
          <cell r="BB926" t="str">
            <v>NSSC</v>
          </cell>
          <cell r="BC926" t="str">
            <v>F18</v>
          </cell>
        </row>
        <row r="927">
          <cell r="A927" t="str">
            <v>584A1</v>
          </cell>
          <cell r="B927" t="str">
            <v>3</v>
          </cell>
          <cell r="C927" t="str">
            <v>06</v>
          </cell>
          <cell r="D927">
            <v>20</v>
          </cell>
          <cell r="E927" t="str">
            <v>584A1</v>
          </cell>
          <cell r="F927">
            <v>6.77</v>
          </cell>
          <cell r="G927">
            <v>5.48</v>
          </cell>
          <cell r="H927">
            <v>5.48</v>
          </cell>
          <cell r="I927" t="str">
            <v>SC</v>
          </cell>
          <cell r="J927" t="str">
            <v>FC</v>
          </cell>
          <cell r="K927">
            <v>8</v>
          </cell>
          <cell r="L927">
            <v>45776</v>
          </cell>
          <cell r="M927">
            <v>45776</v>
          </cell>
          <cell r="N927">
            <v>218</v>
          </cell>
          <cell r="O927" t="str">
            <v>NS</v>
          </cell>
          <cell r="P927" t="str">
            <v/>
          </cell>
          <cell r="Q927">
            <v>46020</v>
          </cell>
          <cell r="R927" t="str">
            <v/>
          </cell>
          <cell r="S927" t="str">
            <v/>
          </cell>
          <cell r="T927" t="str">
            <v/>
          </cell>
          <cell r="U927">
            <v>68973</v>
          </cell>
          <cell r="V927">
            <v>72319</v>
          </cell>
          <cell r="W927">
            <v>45087</v>
          </cell>
          <cell r="X927" t="str">
            <v>Lokasi Produksi 584A1 ( pecahan 584A )</v>
          </cell>
          <cell r="Z927">
            <v>8</v>
          </cell>
          <cell r="AA927">
            <v>46020</v>
          </cell>
          <cell r="AM927" t="str">
            <v>OK</v>
          </cell>
          <cell r="AO927">
            <v>7.2785184413580284</v>
          </cell>
          <cell r="AP927">
            <v>-0.72148155864197161</v>
          </cell>
          <cell r="AQ927">
            <v>0</v>
          </cell>
          <cell r="AR927">
            <v>7.2785184413580284</v>
          </cell>
          <cell r="AS927">
            <v>0</v>
          </cell>
          <cell r="AT927">
            <v>46020</v>
          </cell>
          <cell r="AU927">
            <v>-0.72148155864197161</v>
          </cell>
          <cell r="AV927">
            <v>218.35555324074085</v>
          </cell>
          <cell r="AW927">
            <v>-0.72148155864197161</v>
          </cell>
          <cell r="AY927">
            <v>223.46369178241002</v>
          </cell>
          <cell r="AZ927" t="str">
            <v>F18</v>
          </cell>
          <cell r="BA927">
            <v>5.48</v>
          </cell>
          <cell r="BB927" t="str">
            <v>NSSC</v>
          </cell>
          <cell r="BC927" t="str">
            <v>F18</v>
          </cell>
        </row>
        <row r="928">
          <cell r="A928" t="str">
            <v>584A2</v>
          </cell>
          <cell r="B928" t="str">
            <v>3</v>
          </cell>
          <cell r="C928" t="str">
            <v>06</v>
          </cell>
          <cell r="D928">
            <v>20</v>
          </cell>
          <cell r="E928" t="str">
            <v>584A2</v>
          </cell>
          <cell r="F928">
            <v>11.15</v>
          </cell>
          <cell r="G928">
            <v>9</v>
          </cell>
          <cell r="H928">
            <v>9</v>
          </cell>
          <cell r="I928" t="str">
            <v>SC</v>
          </cell>
          <cell r="J928" t="str">
            <v>FC</v>
          </cell>
          <cell r="K928">
            <v>8</v>
          </cell>
          <cell r="L928">
            <v>45793</v>
          </cell>
          <cell r="M928">
            <v>45793</v>
          </cell>
          <cell r="N928">
            <v>201</v>
          </cell>
          <cell r="O928" t="str">
            <v>NS</v>
          </cell>
          <cell r="P928" t="str">
            <v/>
          </cell>
          <cell r="Q928">
            <v>46037</v>
          </cell>
          <cell r="R928" t="str">
            <v/>
          </cell>
          <cell r="S928" t="str">
            <v/>
          </cell>
          <cell r="T928" t="str">
            <v/>
          </cell>
          <cell r="U928">
            <v>69754</v>
          </cell>
          <cell r="V928">
            <v>70446</v>
          </cell>
          <cell r="W928">
            <v>45453</v>
          </cell>
          <cell r="X928" t="str">
            <v>Lokasi Produksi 584A2 ( pecahan 584A )</v>
          </cell>
          <cell r="Z928">
            <v>8</v>
          </cell>
          <cell r="AA928">
            <v>46037</v>
          </cell>
          <cell r="AM928" t="str">
            <v>OK</v>
          </cell>
          <cell r="AO928">
            <v>6.711851774691362</v>
          </cell>
          <cell r="AP928">
            <v>-1.288148225308638</v>
          </cell>
          <cell r="AQ928">
            <v>0</v>
          </cell>
          <cell r="AR928">
            <v>6.711851774691362</v>
          </cell>
          <cell r="AS928">
            <v>0</v>
          </cell>
          <cell r="AT928">
            <v>46037</v>
          </cell>
          <cell r="AU928">
            <v>-1.288148225308638</v>
          </cell>
          <cell r="AV928">
            <v>201.35555324074085</v>
          </cell>
          <cell r="AW928">
            <v>-1.288148225308638</v>
          </cell>
          <cell r="AY928">
            <v>206.46369178241002</v>
          </cell>
          <cell r="AZ928" t="str">
            <v>F18</v>
          </cell>
          <cell r="BA928">
            <v>9</v>
          </cell>
          <cell r="BB928" t="str">
            <v>NSSC</v>
          </cell>
          <cell r="BC928" t="str">
            <v>F18</v>
          </cell>
        </row>
        <row r="929">
          <cell r="A929" t="str">
            <v>584B1</v>
          </cell>
          <cell r="B929" t="str">
            <v>3</v>
          </cell>
          <cell r="C929" t="str">
            <v>06</v>
          </cell>
          <cell r="D929">
            <v>20</v>
          </cell>
          <cell r="E929" t="str">
            <v>584B1</v>
          </cell>
          <cell r="F929">
            <v>9.59</v>
          </cell>
          <cell r="G929">
            <v>7.8</v>
          </cell>
          <cell r="H929">
            <v>7.8</v>
          </cell>
          <cell r="I929" t="str">
            <v>FC</v>
          </cell>
          <cell r="J929" t="str">
            <v>ST</v>
          </cell>
          <cell r="K929">
            <v>14</v>
          </cell>
          <cell r="L929">
            <v>45478</v>
          </cell>
          <cell r="M929">
            <v>45478</v>
          </cell>
          <cell r="N929">
            <v>516</v>
          </cell>
          <cell r="O929" t="str">
            <v>NS</v>
          </cell>
          <cell r="P929" t="str">
            <v>NSF18SK3</v>
          </cell>
          <cell r="Q929">
            <v>45905</v>
          </cell>
          <cell r="R929" t="str">
            <v/>
          </cell>
          <cell r="S929" t="str">
            <v/>
          </cell>
          <cell r="T929">
            <v>45887</v>
          </cell>
          <cell r="U929">
            <v>68626</v>
          </cell>
          <cell r="V929">
            <v>71789</v>
          </cell>
          <cell r="W929" t="str">
            <v/>
          </cell>
          <cell r="X929" t="str">
            <v>Lokasi Produksi 584B1 ( pecahan 584B )</v>
          </cell>
          <cell r="Z929">
            <v>14</v>
          </cell>
          <cell r="AA929">
            <v>45905</v>
          </cell>
          <cell r="AM929" t="str">
            <v>OK</v>
          </cell>
          <cell r="AO929">
            <v>17.211851774691361</v>
          </cell>
          <cell r="AP929">
            <v>3.2118517746913611</v>
          </cell>
          <cell r="AQ929">
            <v>45887</v>
          </cell>
          <cell r="AR929">
            <v>13.633333333333333</v>
          </cell>
          <cell r="AS929">
            <v>3.5785184413580282</v>
          </cell>
          <cell r="AT929">
            <v>45905</v>
          </cell>
          <cell r="AU929">
            <v>3.5785184413580282</v>
          </cell>
          <cell r="AV929">
            <v>409</v>
          </cell>
          <cell r="AW929">
            <v>3.5785184413580282</v>
          </cell>
          <cell r="AY929">
            <v>521.46369178241002</v>
          </cell>
          <cell r="AZ929" t="str">
            <v>F18</v>
          </cell>
          <cell r="BA929">
            <v>7.8</v>
          </cell>
          <cell r="BB929" t="str">
            <v>NSFC</v>
          </cell>
          <cell r="BC929" t="str">
            <v>F18SK</v>
          </cell>
        </row>
        <row r="930">
          <cell r="A930" t="str">
            <v>584B2</v>
          </cell>
          <cell r="B930" t="str">
            <v>3</v>
          </cell>
          <cell r="C930" t="str">
            <v>06</v>
          </cell>
          <cell r="D930">
            <v>20</v>
          </cell>
          <cell r="E930" t="str">
            <v>584B2</v>
          </cell>
          <cell r="F930">
            <v>8.24</v>
          </cell>
          <cell r="G930">
            <v>6.54</v>
          </cell>
          <cell r="H930">
            <v>6.54</v>
          </cell>
          <cell r="I930" t="str">
            <v>SC</v>
          </cell>
          <cell r="J930" t="str">
            <v>FC</v>
          </cell>
          <cell r="K930">
            <v>8</v>
          </cell>
          <cell r="L930">
            <v>45737</v>
          </cell>
          <cell r="M930">
            <v>45737</v>
          </cell>
          <cell r="N930">
            <v>257</v>
          </cell>
          <cell r="O930" t="str">
            <v>NS</v>
          </cell>
          <cell r="P930" t="str">
            <v/>
          </cell>
          <cell r="Q930">
            <v>45981</v>
          </cell>
          <cell r="R930" t="str">
            <v/>
          </cell>
          <cell r="S930" t="str">
            <v/>
          </cell>
          <cell r="T930">
            <v>45955</v>
          </cell>
          <cell r="U930">
            <v>69645</v>
          </cell>
          <cell r="V930">
            <v>71737</v>
          </cell>
          <cell r="W930">
            <v>43517</v>
          </cell>
          <cell r="X930" t="str">
            <v>Lokasi Produksi 584B2 ( pecahan 584B )</v>
          </cell>
          <cell r="Z930">
            <v>8</v>
          </cell>
          <cell r="AA930">
            <v>45981</v>
          </cell>
          <cell r="AM930" t="str">
            <v>OK</v>
          </cell>
          <cell r="AO930">
            <v>8.5785184413580282</v>
          </cell>
          <cell r="AP930">
            <v>0.57851844135802821</v>
          </cell>
          <cell r="AQ930">
            <v>45955</v>
          </cell>
          <cell r="AR930">
            <v>7.2666666666666666</v>
          </cell>
          <cell r="AS930">
            <v>1.3118517746913616</v>
          </cell>
          <cell r="AT930">
            <v>45981</v>
          </cell>
          <cell r="AU930">
            <v>1.3118517746913616</v>
          </cell>
          <cell r="AV930">
            <v>218</v>
          </cell>
          <cell r="AW930">
            <v>1.3118517746913616</v>
          </cell>
          <cell r="AY930">
            <v>262.46369178241002</v>
          </cell>
          <cell r="AZ930" t="str">
            <v>F18</v>
          </cell>
          <cell r="BA930">
            <v>6.54</v>
          </cell>
          <cell r="BB930" t="str">
            <v>NSSC</v>
          </cell>
          <cell r="BC930" t="str">
            <v>F18</v>
          </cell>
        </row>
        <row r="931">
          <cell r="A931" t="str">
            <v>584C1</v>
          </cell>
          <cell r="B931" t="str">
            <v>3</v>
          </cell>
          <cell r="C931" t="str">
            <v>06</v>
          </cell>
          <cell r="D931">
            <v>20</v>
          </cell>
          <cell r="E931" t="str">
            <v>584C1</v>
          </cell>
          <cell r="F931">
            <v>8.0399999999999991</v>
          </cell>
          <cell r="G931">
            <v>6.77</v>
          </cell>
          <cell r="H931">
            <v>6.77</v>
          </cell>
          <cell r="I931" t="str">
            <v>FC</v>
          </cell>
          <cell r="J931" t="str">
            <v>ST</v>
          </cell>
          <cell r="K931">
            <v>14</v>
          </cell>
          <cell r="L931">
            <v>45621</v>
          </cell>
          <cell r="M931">
            <v>45621</v>
          </cell>
          <cell r="N931">
            <v>373</v>
          </cell>
          <cell r="O931" t="str">
            <v>NS</v>
          </cell>
          <cell r="P931" t="str">
            <v>NSF18CK3</v>
          </cell>
          <cell r="Q931">
            <v>46048</v>
          </cell>
          <cell r="R931" t="str">
            <v/>
          </cell>
          <cell r="S931" t="str">
            <v/>
          </cell>
          <cell r="T931" t="str">
            <v/>
          </cell>
          <cell r="U931">
            <v>58182</v>
          </cell>
          <cell r="V931">
            <v>64487</v>
          </cell>
          <cell r="W931">
            <v>45534</v>
          </cell>
          <cell r="X931" t="str">
            <v>Lokasi Produksi 584C1 ( pecahan 584C )</v>
          </cell>
          <cell r="Z931">
            <v>14</v>
          </cell>
          <cell r="AA931">
            <v>46048</v>
          </cell>
          <cell r="AM931" t="str">
            <v>OK</v>
          </cell>
          <cell r="AO931">
            <v>12.445185108024695</v>
          </cell>
          <cell r="AP931">
            <v>-1.5548148919753046</v>
          </cell>
          <cell r="AQ931">
            <v>0</v>
          </cell>
          <cell r="AR931">
            <v>12.445185108024695</v>
          </cell>
          <cell r="AS931">
            <v>0</v>
          </cell>
          <cell r="AT931">
            <v>46048</v>
          </cell>
          <cell r="AU931">
            <v>-1.5548148919753046</v>
          </cell>
          <cell r="AV931">
            <v>373.35555324074085</v>
          </cell>
          <cell r="AW931">
            <v>-1.5548148919753046</v>
          </cell>
          <cell r="AY931">
            <v>378.46369178241002</v>
          </cell>
          <cell r="AZ931" t="str">
            <v>F18</v>
          </cell>
          <cell r="BA931">
            <v>6.77</v>
          </cell>
          <cell r="BB931" t="str">
            <v>NSFC</v>
          </cell>
          <cell r="BC931" t="str">
            <v>F18CK</v>
          </cell>
        </row>
        <row r="932">
          <cell r="A932" t="str">
            <v>584C2</v>
          </cell>
          <cell r="B932" t="str">
            <v>3</v>
          </cell>
          <cell r="C932" t="str">
            <v>06</v>
          </cell>
          <cell r="D932">
            <v>20</v>
          </cell>
          <cell r="E932" t="str">
            <v>584C2</v>
          </cell>
          <cell r="F932">
            <v>9.98</v>
          </cell>
          <cell r="G932">
            <v>8.5</v>
          </cell>
          <cell r="H932">
            <v>8.5</v>
          </cell>
          <cell r="I932" t="str">
            <v>FC</v>
          </cell>
          <cell r="J932" t="str">
            <v>ST</v>
          </cell>
          <cell r="K932">
            <v>14</v>
          </cell>
          <cell r="L932">
            <v>45618</v>
          </cell>
          <cell r="M932">
            <v>45618</v>
          </cell>
          <cell r="N932">
            <v>376</v>
          </cell>
          <cell r="O932" t="str">
            <v>NS</v>
          </cell>
          <cell r="P932" t="str">
            <v>NSF18CK3</v>
          </cell>
          <cell r="Q932">
            <v>46045</v>
          </cell>
          <cell r="R932" t="str">
            <v/>
          </cell>
          <cell r="S932" t="str">
            <v/>
          </cell>
          <cell r="T932" t="str">
            <v/>
          </cell>
          <cell r="U932">
            <v>61577</v>
          </cell>
          <cell r="V932">
            <v>66393</v>
          </cell>
          <cell r="W932">
            <v>45526</v>
          </cell>
          <cell r="X932" t="str">
            <v>Lokasi Produksi 584C2 ( pecahan 584C )</v>
          </cell>
          <cell r="Z932">
            <v>14</v>
          </cell>
          <cell r="AA932">
            <v>46045</v>
          </cell>
          <cell r="AM932" t="str">
            <v>OK</v>
          </cell>
          <cell r="AO932">
            <v>12.545185108024695</v>
          </cell>
          <cell r="AP932">
            <v>-1.454814891975305</v>
          </cell>
          <cell r="AQ932">
            <v>0</v>
          </cell>
          <cell r="AR932">
            <v>12.545185108024695</v>
          </cell>
          <cell r="AS932">
            <v>0</v>
          </cell>
          <cell r="AT932">
            <v>46045</v>
          </cell>
          <cell r="AU932">
            <v>-1.454814891975305</v>
          </cell>
          <cell r="AV932">
            <v>376.35555324074085</v>
          </cell>
          <cell r="AW932">
            <v>-1.454814891975305</v>
          </cell>
          <cell r="AY932">
            <v>381.46369178241002</v>
          </cell>
          <cell r="AZ932" t="str">
            <v>F18</v>
          </cell>
          <cell r="BA932">
            <v>8.5</v>
          </cell>
          <cell r="BB932" t="str">
            <v>NSFC</v>
          </cell>
          <cell r="BC932" t="str">
            <v>F18CK</v>
          </cell>
        </row>
        <row r="933">
          <cell r="A933" t="str">
            <v>584D1</v>
          </cell>
          <cell r="B933" t="str">
            <v>3</v>
          </cell>
          <cell r="C933" t="str">
            <v>06</v>
          </cell>
          <cell r="D933">
            <v>20</v>
          </cell>
          <cell r="E933" t="str">
            <v>584D1</v>
          </cell>
          <cell r="F933">
            <v>10.33</v>
          </cell>
          <cell r="G933">
            <v>8.56</v>
          </cell>
          <cell r="H933">
            <v>8.56</v>
          </cell>
          <cell r="I933" t="str">
            <v>ST</v>
          </cell>
          <cell r="J933" t="str">
            <v>BK</v>
          </cell>
          <cell r="K933">
            <v>0</v>
          </cell>
          <cell r="L933">
            <v>45962</v>
          </cell>
          <cell r="M933">
            <v>45962</v>
          </cell>
          <cell r="N933">
            <v>32</v>
          </cell>
          <cell r="O933" t="str">
            <v>NS</v>
          </cell>
          <cell r="P933" t="str">
            <v/>
          </cell>
          <cell r="Q933">
            <v>45962</v>
          </cell>
          <cell r="R933" t="str">
            <v/>
          </cell>
          <cell r="S933" t="str">
            <v/>
          </cell>
          <cell r="T933" t="str">
            <v/>
          </cell>
          <cell r="U933">
            <v>18100</v>
          </cell>
          <cell r="V933">
            <v>56180</v>
          </cell>
          <cell r="W933">
            <v>45804</v>
          </cell>
          <cell r="X933" t="str">
            <v>Lokasi Produksi 584D1 ( pecahan 584D )</v>
          </cell>
          <cell r="Z933">
            <v>0</v>
          </cell>
          <cell r="AA933">
            <v>45962</v>
          </cell>
          <cell r="AM933" t="str">
            <v>OK</v>
          </cell>
          <cell r="AO933">
            <v>1.0785184413580282</v>
          </cell>
          <cell r="AP933">
            <v>1.0785184413580282</v>
          </cell>
          <cell r="AQ933">
            <v>0</v>
          </cell>
          <cell r="AR933">
            <v>1.0785184413580282</v>
          </cell>
          <cell r="AS933">
            <v>0</v>
          </cell>
          <cell r="AT933">
            <v>45962</v>
          </cell>
          <cell r="AU933">
            <v>1.0785184413580282</v>
          </cell>
          <cell r="AV933">
            <v>32.355553240740846</v>
          </cell>
          <cell r="AW933">
            <v>1.0785184413580282</v>
          </cell>
          <cell r="AY933">
            <v>37.463691782410024</v>
          </cell>
          <cell r="AZ933" t="str">
            <v>F18</v>
          </cell>
          <cell r="BA933">
            <v>0</v>
          </cell>
          <cell r="BB933" t="str">
            <v>NSST</v>
          </cell>
          <cell r="BC933" t="str">
            <v>F18</v>
          </cell>
        </row>
        <row r="934">
          <cell r="A934" t="str">
            <v>584D2</v>
          </cell>
          <cell r="B934" t="str">
            <v>3</v>
          </cell>
          <cell r="C934" t="str">
            <v>06</v>
          </cell>
          <cell r="D934">
            <v>20</v>
          </cell>
          <cell r="E934" t="str">
            <v>584D2</v>
          </cell>
          <cell r="F934">
            <v>9.56</v>
          </cell>
          <cell r="G934">
            <v>7.83</v>
          </cell>
          <cell r="H934">
            <v>7.83</v>
          </cell>
          <cell r="I934" t="str">
            <v>ST</v>
          </cell>
          <cell r="J934" t="str">
            <v>BK</v>
          </cell>
          <cell r="K934">
            <v>0</v>
          </cell>
          <cell r="L934">
            <v>45962</v>
          </cell>
          <cell r="M934">
            <v>45962</v>
          </cell>
          <cell r="N934">
            <v>32</v>
          </cell>
          <cell r="O934" t="str">
            <v>NS</v>
          </cell>
          <cell r="P934" t="str">
            <v/>
          </cell>
          <cell r="Q934">
            <v>45962</v>
          </cell>
          <cell r="R934" t="str">
            <v/>
          </cell>
          <cell r="S934" t="str">
            <v/>
          </cell>
          <cell r="T934" t="str">
            <v/>
          </cell>
          <cell r="U934">
            <v>17075</v>
          </cell>
          <cell r="V934">
            <v>54404</v>
          </cell>
          <cell r="W934">
            <v>45804</v>
          </cell>
          <cell r="X934" t="str">
            <v>Lokasi Produksi 584D2 ( pecahan 584D )</v>
          </cell>
          <cell r="Z934">
            <v>0</v>
          </cell>
          <cell r="AA934">
            <v>45962</v>
          </cell>
          <cell r="AM934" t="str">
            <v>OK</v>
          </cell>
          <cell r="AO934">
            <v>1.0785184413580282</v>
          </cell>
          <cell r="AP934">
            <v>1.0785184413580282</v>
          </cell>
          <cell r="AQ934">
            <v>0</v>
          </cell>
          <cell r="AR934">
            <v>1.0785184413580282</v>
          </cell>
          <cell r="AS934">
            <v>0</v>
          </cell>
          <cell r="AT934">
            <v>45962</v>
          </cell>
          <cell r="AU934">
            <v>1.0785184413580282</v>
          </cell>
          <cell r="AV934">
            <v>32.355553240740846</v>
          </cell>
          <cell r="AW934">
            <v>1.0785184413580282</v>
          </cell>
          <cell r="AY934">
            <v>37.463691782410024</v>
          </cell>
          <cell r="AZ934" t="str">
            <v>F18</v>
          </cell>
          <cell r="BA934">
            <v>0</v>
          </cell>
          <cell r="BB934" t="str">
            <v>NSST</v>
          </cell>
          <cell r="BC934" t="str">
            <v>F18</v>
          </cell>
        </row>
        <row r="935">
          <cell r="A935" t="str">
            <v>584E3</v>
          </cell>
          <cell r="B935" t="str">
            <v>3</v>
          </cell>
          <cell r="C935" t="str">
            <v>06</v>
          </cell>
          <cell r="D935">
            <v>20</v>
          </cell>
          <cell r="E935" t="str">
            <v>584E3</v>
          </cell>
          <cell r="F935">
            <v>12.31</v>
          </cell>
          <cell r="G935">
            <v>10.27</v>
          </cell>
          <cell r="H935">
            <v>10.27</v>
          </cell>
          <cell r="I935" t="str">
            <v>FC</v>
          </cell>
          <cell r="J935" t="str">
            <v>ST</v>
          </cell>
          <cell r="K935">
            <v>12</v>
          </cell>
          <cell r="L935">
            <v>45872</v>
          </cell>
          <cell r="M935">
            <v>45872</v>
          </cell>
          <cell r="N935">
            <v>122</v>
          </cell>
          <cell r="O935" t="str">
            <v>NS</v>
          </cell>
          <cell r="P935" t="str">
            <v>NSGP3SS3</v>
          </cell>
          <cell r="Q935">
            <v>46238</v>
          </cell>
          <cell r="R935" t="str">
            <v/>
          </cell>
          <cell r="S935" t="str">
            <v/>
          </cell>
          <cell r="T935" t="str">
            <v/>
          </cell>
          <cell r="U935">
            <v>71106</v>
          </cell>
          <cell r="V935" t="str">
            <v/>
          </cell>
          <cell r="W935">
            <v>45656</v>
          </cell>
          <cell r="X935" t="str">
            <v>Lokasi Produksi 584E3 ( gabungan 584E1 &amp; 584E2 )</v>
          </cell>
          <cell r="Z935">
            <v>12</v>
          </cell>
          <cell r="AA935">
            <v>46238</v>
          </cell>
          <cell r="AM935" t="str">
            <v>OK</v>
          </cell>
          <cell r="AO935">
            <v>4.0785184413580282</v>
          </cell>
          <cell r="AP935">
            <v>-7.9214815586419718</v>
          </cell>
          <cell r="AQ935">
            <v>0</v>
          </cell>
          <cell r="AR935">
            <v>4.0785184413580282</v>
          </cell>
          <cell r="AS935">
            <v>0</v>
          </cell>
          <cell r="AT935">
            <v>46238</v>
          </cell>
          <cell r="AU935">
            <v>-7.9214815586419718</v>
          </cell>
          <cell r="AV935">
            <v>122.35555324074085</v>
          </cell>
          <cell r="AW935">
            <v>-7.9214815586419718</v>
          </cell>
          <cell r="AY935">
            <v>127.46369178241002</v>
          </cell>
          <cell r="AZ935" t="str">
            <v>GP3</v>
          </cell>
          <cell r="BA935">
            <v>10.27</v>
          </cell>
          <cell r="BB935" t="str">
            <v>NSFC</v>
          </cell>
          <cell r="BC935" t="str">
            <v>GP3SS</v>
          </cell>
        </row>
        <row r="936">
          <cell r="A936" t="str">
            <v>585A1</v>
          </cell>
          <cell r="B936" t="str">
            <v>3</v>
          </cell>
          <cell r="C936" t="str">
            <v>06</v>
          </cell>
          <cell r="D936">
            <v>20</v>
          </cell>
          <cell r="E936" t="str">
            <v>585A1</v>
          </cell>
          <cell r="F936">
            <v>6.18</v>
          </cell>
          <cell r="G936">
            <v>5.16</v>
          </cell>
          <cell r="H936">
            <v>5.16</v>
          </cell>
          <cell r="I936" t="str">
            <v>FC</v>
          </cell>
          <cell r="J936" t="str">
            <v>ST</v>
          </cell>
          <cell r="K936">
            <v>14</v>
          </cell>
          <cell r="L936">
            <v>45629</v>
          </cell>
          <cell r="M936">
            <v>45629</v>
          </cell>
          <cell r="N936">
            <v>365</v>
          </cell>
          <cell r="O936" t="str">
            <v>NS</v>
          </cell>
          <cell r="P936" t="str">
            <v>NSGP3SK3</v>
          </cell>
          <cell r="Q936">
            <v>46056</v>
          </cell>
          <cell r="R936" t="str">
            <v/>
          </cell>
          <cell r="S936" t="str">
            <v/>
          </cell>
          <cell r="T936" t="str">
            <v/>
          </cell>
          <cell r="U936">
            <v>67925</v>
          </cell>
          <cell r="V936">
            <v>64963</v>
          </cell>
          <cell r="W936">
            <v>45351</v>
          </cell>
          <cell r="X936" t="str">
            <v>Lokasi Produksi 585A1 ( pecahan 585A )</v>
          </cell>
          <cell r="Z936">
            <v>14</v>
          </cell>
          <cell r="AA936">
            <v>46056</v>
          </cell>
          <cell r="AM936" t="str">
            <v>OK</v>
          </cell>
          <cell r="AO936">
            <v>12.178518441358028</v>
          </cell>
          <cell r="AP936">
            <v>-1.8214815586419721</v>
          </cell>
          <cell r="AQ936">
            <v>0</v>
          </cell>
          <cell r="AR936">
            <v>12.178518441358028</v>
          </cell>
          <cell r="AS936">
            <v>0</v>
          </cell>
          <cell r="AT936">
            <v>46056</v>
          </cell>
          <cell r="AU936">
            <v>-1.8214815586419721</v>
          </cell>
          <cell r="AV936">
            <v>365.35555324074085</v>
          </cell>
          <cell r="AW936">
            <v>-1.8214815586419721</v>
          </cell>
          <cell r="AY936">
            <v>370.46369178241002</v>
          </cell>
          <cell r="AZ936" t="str">
            <v>GP3</v>
          </cell>
          <cell r="BA936">
            <v>5.16</v>
          </cell>
          <cell r="BB936" t="str">
            <v>NSFC</v>
          </cell>
          <cell r="BC936" t="str">
            <v>GP3SK</v>
          </cell>
        </row>
        <row r="937">
          <cell r="A937" t="str">
            <v>585A2</v>
          </cell>
          <cell r="B937" t="str">
            <v>3</v>
          </cell>
          <cell r="C937" t="str">
            <v>06</v>
          </cell>
          <cell r="D937">
            <v>20</v>
          </cell>
          <cell r="E937" t="str">
            <v>585A2</v>
          </cell>
          <cell r="F937">
            <v>6.05</v>
          </cell>
          <cell r="G937">
            <v>5.0999999999999996</v>
          </cell>
          <cell r="H937">
            <v>5.0999999999999996</v>
          </cell>
          <cell r="I937" t="str">
            <v>FC</v>
          </cell>
          <cell r="J937" t="str">
            <v>ST</v>
          </cell>
          <cell r="K937">
            <v>12</v>
          </cell>
          <cell r="L937">
            <v>45622</v>
          </cell>
          <cell r="M937">
            <v>45622</v>
          </cell>
          <cell r="N937">
            <v>372</v>
          </cell>
          <cell r="O937" t="str">
            <v>NS</v>
          </cell>
          <cell r="P937" t="str">
            <v>NSGP3SS3</v>
          </cell>
          <cell r="Q937">
            <v>45988</v>
          </cell>
          <cell r="R937" t="str">
            <v/>
          </cell>
          <cell r="S937" t="str">
            <v/>
          </cell>
          <cell r="T937">
            <v>45968</v>
          </cell>
          <cell r="U937">
            <v>67976</v>
          </cell>
          <cell r="V937">
            <v>64009</v>
          </cell>
          <cell r="W937">
            <v>45351</v>
          </cell>
          <cell r="X937" t="str">
            <v>Lokasi Produksi 585A2 ( pecahan 585A )</v>
          </cell>
          <cell r="Z937">
            <v>12</v>
          </cell>
          <cell r="AA937">
            <v>45988</v>
          </cell>
          <cell r="AM937" t="str">
            <v>OK</v>
          </cell>
          <cell r="AO937">
            <v>12.411851774691362</v>
          </cell>
          <cell r="AP937">
            <v>0.41185177469136214</v>
          </cell>
          <cell r="AQ937">
            <v>45968</v>
          </cell>
          <cell r="AR937">
            <v>11.533333333333333</v>
          </cell>
          <cell r="AS937">
            <v>0.87851844135802892</v>
          </cell>
          <cell r="AT937">
            <v>45988</v>
          </cell>
          <cell r="AU937">
            <v>0.87851844135802892</v>
          </cell>
          <cell r="AV937">
            <v>346</v>
          </cell>
          <cell r="AW937">
            <v>0.87851844135802892</v>
          </cell>
          <cell r="AY937">
            <v>377.46369178241002</v>
          </cell>
          <cell r="AZ937" t="str">
            <v>GP3</v>
          </cell>
          <cell r="BA937">
            <v>5.0999999999999996</v>
          </cell>
          <cell r="BB937" t="str">
            <v>NSFC</v>
          </cell>
          <cell r="BC937" t="str">
            <v>GP3SS</v>
          </cell>
        </row>
        <row r="938">
          <cell r="A938" t="str">
            <v>585A3</v>
          </cell>
          <cell r="B938" t="str">
            <v>3</v>
          </cell>
          <cell r="C938" t="str">
            <v>06</v>
          </cell>
          <cell r="D938">
            <v>20</v>
          </cell>
          <cell r="E938" t="str">
            <v>585A3</v>
          </cell>
          <cell r="F938">
            <v>5.19</v>
          </cell>
          <cell r="G938">
            <v>4.2699999999999996</v>
          </cell>
          <cell r="H938">
            <v>4.2699999999999996</v>
          </cell>
          <cell r="I938" t="str">
            <v>FC</v>
          </cell>
          <cell r="J938" t="str">
            <v>ST</v>
          </cell>
          <cell r="K938">
            <v>10</v>
          </cell>
          <cell r="L938">
            <v>45632</v>
          </cell>
          <cell r="M938">
            <v>45632</v>
          </cell>
          <cell r="N938">
            <v>362</v>
          </cell>
          <cell r="O938" t="str">
            <v>NS</v>
          </cell>
          <cell r="P938" t="str">
            <v>NSGP3SB3</v>
          </cell>
          <cell r="Q938">
            <v>45937</v>
          </cell>
          <cell r="R938" t="str">
            <v/>
          </cell>
          <cell r="S938" t="str">
            <v/>
          </cell>
          <cell r="T938">
            <v>45939</v>
          </cell>
          <cell r="U938">
            <v>68022</v>
          </cell>
          <cell r="V938">
            <v>66069</v>
          </cell>
          <cell r="W938">
            <v>45351</v>
          </cell>
          <cell r="X938" t="str">
            <v>Lokasi Produksi 585A3 ( pecahan 585A )</v>
          </cell>
          <cell r="Z938">
            <v>10</v>
          </cell>
          <cell r="AA938">
            <v>45937</v>
          </cell>
          <cell r="AM938" t="str">
            <v>OK</v>
          </cell>
          <cell r="AO938">
            <v>12.078518441358028</v>
          </cell>
          <cell r="AP938">
            <v>2.0785184413580282</v>
          </cell>
          <cell r="AQ938">
            <v>45939</v>
          </cell>
          <cell r="AR938">
            <v>10.233333333333333</v>
          </cell>
          <cell r="AS938">
            <v>1.8451851080246957</v>
          </cell>
          <cell r="AT938">
            <v>45937</v>
          </cell>
          <cell r="AU938">
            <v>1.8451851080246957</v>
          </cell>
          <cell r="AV938">
            <v>307</v>
          </cell>
          <cell r="AW938">
            <v>1.8451851080246957</v>
          </cell>
          <cell r="AY938">
            <v>367.46369178241002</v>
          </cell>
          <cell r="AZ938" t="str">
            <v>GP3</v>
          </cell>
          <cell r="BA938">
            <v>4.2699999999999996</v>
          </cell>
          <cell r="BB938" t="str">
            <v>NSFC</v>
          </cell>
          <cell r="BC938" t="str">
            <v>GP3SB</v>
          </cell>
        </row>
        <row r="939">
          <cell r="A939" t="str">
            <v>585B1</v>
          </cell>
          <cell r="B939" t="str">
            <v>3</v>
          </cell>
          <cell r="C939" t="str">
            <v>06</v>
          </cell>
          <cell r="D939">
            <v>20</v>
          </cell>
          <cell r="E939" t="str">
            <v>585B1</v>
          </cell>
          <cell r="F939">
            <v>5.13</v>
          </cell>
          <cell r="G939">
            <v>4.28</v>
          </cell>
          <cell r="H939">
            <v>4.28</v>
          </cell>
          <cell r="I939" t="str">
            <v>FC</v>
          </cell>
          <cell r="J939" t="str">
            <v>ST</v>
          </cell>
          <cell r="K939">
            <v>10</v>
          </cell>
          <cell r="L939">
            <v>45688</v>
          </cell>
          <cell r="M939">
            <v>45688</v>
          </cell>
          <cell r="N939">
            <v>306</v>
          </cell>
          <cell r="O939" t="str">
            <v>NS</v>
          </cell>
          <cell r="P939" t="str">
            <v>NSF18SB3</v>
          </cell>
          <cell r="Q939">
            <v>45993</v>
          </cell>
          <cell r="R939" t="str">
            <v/>
          </cell>
          <cell r="S939" t="str">
            <v/>
          </cell>
          <cell r="T939">
            <v>45981</v>
          </cell>
          <cell r="U939">
            <v>71154</v>
          </cell>
          <cell r="V939">
            <v>69022</v>
          </cell>
          <cell r="W939">
            <v>45568</v>
          </cell>
          <cell r="X939" t="str">
            <v>Lokasi Produksi 585B1 ( pecahan 585B )</v>
          </cell>
          <cell r="Z939">
            <v>10</v>
          </cell>
          <cell r="AA939">
            <v>45993</v>
          </cell>
          <cell r="AM939" t="str">
            <v>OK</v>
          </cell>
          <cell r="AO939">
            <v>10.211851774691361</v>
          </cell>
          <cell r="AP939">
            <v>0.21185177469136107</v>
          </cell>
          <cell r="AQ939">
            <v>45981</v>
          </cell>
          <cell r="AR939">
            <v>9.7666666666666675</v>
          </cell>
          <cell r="AS939">
            <v>0.44518510802469358</v>
          </cell>
          <cell r="AT939">
            <v>45993</v>
          </cell>
          <cell r="AU939">
            <v>0.44518510802469358</v>
          </cell>
          <cell r="AV939">
            <v>293</v>
          </cell>
          <cell r="AW939">
            <v>0.44518510802469358</v>
          </cell>
          <cell r="AY939">
            <v>311.46369178241002</v>
          </cell>
          <cell r="AZ939" t="str">
            <v>F18</v>
          </cell>
          <cell r="BA939">
            <v>4.28</v>
          </cell>
          <cell r="BB939" t="str">
            <v>NSFC</v>
          </cell>
          <cell r="BC939" t="str">
            <v>F18SB</v>
          </cell>
        </row>
        <row r="940">
          <cell r="A940" t="str">
            <v>585B2</v>
          </cell>
          <cell r="B940" t="str">
            <v>3</v>
          </cell>
          <cell r="C940" t="str">
            <v>06</v>
          </cell>
          <cell r="D940">
            <v>20</v>
          </cell>
          <cell r="E940" t="str">
            <v>585B2</v>
          </cell>
          <cell r="F940">
            <v>10.5</v>
          </cell>
          <cell r="G940">
            <v>8.82</v>
          </cell>
          <cell r="H940">
            <v>8.82</v>
          </cell>
          <cell r="I940" t="str">
            <v>FC</v>
          </cell>
          <cell r="J940" t="str">
            <v>ST</v>
          </cell>
          <cell r="K940">
            <v>14</v>
          </cell>
          <cell r="L940">
            <v>45694</v>
          </cell>
          <cell r="M940">
            <v>45694</v>
          </cell>
          <cell r="N940">
            <v>300</v>
          </cell>
          <cell r="O940" t="str">
            <v>NS</v>
          </cell>
          <cell r="P940" t="str">
            <v>NSF18SK3</v>
          </cell>
          <cell r="Q940">
            <v>46121</v>
          </cell>
          <cell r="R940" t="str">
            <v/>
          </cell>
          <cell r="S940" t="str">
            <v/>
          </cell>
          <cell r="T940" t="str">
            <v/>
          </cell>
          <cell r="U940">
            <v>70432</v>
          </cell>
          <cell r="V940">
            <v>70251</v>
          </cell>
          <cell r="W940">
            <v>45568</v>
          </cell>
          <cell r="X940" t="str">
            <v>Lokasi Produksi 585B2 ( pecahan 585B )</v>
          </cell>
          <cell r="Z940">
            <v>14</v>
          </cell>
          <cell r="AA940">
            <v>46121</v>
          </cell>
          <cell r="AM940" t="str">
            <v>OK</v>
          </cell>
          <cell r="AO940">
            <v>10.011851774691362</v>
          </cell>
          <cell r="AP940">
            <v>-3.9881482253086382</v>
          </cell>
          <cell r="AQ940">
            <v>0</v>
          </cell>
          <cell r="AR940">
            <v>10.011851774691362</v>
          </cell>
          <cell r="AS940">
            <v>0</v>
          </cell>
          <cell r="AT940">
            <v>46121</v>
          </cell>
          <cell r="AU940">
            <v>-3.9881482253086382</v>
          </cell>
          <cell r="AV940">
            <v>300.35555324074085</v>
          </cell>
          <cell r="AW940">
            <v>-3.9881482253086382</v>
          </cell>
          <cell r="AY940">
            <v>305.46369178241002</v>
          </cell>
          <cell r="AZ940" t="str">
            <v>F18</v>
          </cell>
          <cell r="BA940">
            <v>8.82</v>
          </cell>
          <cell r="BB940" t="str">
            <v>NSFC</v>
          </cell>
          <cell r="BC940" t="str">
            <v>F18SK</v>
          </cell>
        </row>
        <row r="941">
          <cell r="A941" t="str">
            <v>585C</v>
          </cell>
          <cell r="B941" t="str">
            <v>3</v>
          </cell>
          <cell r="C941" t="str">
            <v>06</v>
          </cell>
          <cell r="D941">
            <v>20</v>
          </cell>
          <cell r="E941" t="str">
            <v>585C</v>
          </cell>
          <cell r="F941">
            <v>13.47</v>
          </cell>
          <cell r="G941">
            <v>10.67</v>
          </cell>
          <cell r="H941">
            <v>10.67</v>
          </cell>
          <cell r="I941" t="str">
            <v>SC</v>
          </cell>
          <cell r="J941" t="str">
            <v>BB</v>
          </cell>
          <cell r="K941">
            <v>8</v>
          </cell>
          <cell r="L941">
            <v>45988</v>
          </cell>
          <cell r="M941">
            <v>45988</v>
          </cell>
          <cell r="N941">
            <v>6</v>
          </cell>
          <cell r="O941" t="str">
            <v>NS</v>
          </cell>
          <cell r="P941" t="str">
            <v/>
          </cell>
          <cell r="Q941">
            <v>46232</v>
          </cell>
          <cell r="R941" t="str">
            <v/>
          </cell>
          <cell r="S941" t="str">
            <v/>
          </cell>
          <cell r="T941" t="str">
            <v/>
          </cell>
          <cell r="U941">
            <v>67238</v>
          </cell>
          <cell r="V941">
            <v>71604</v>
          </cell>
          <cell r="W941" t="str">
            <v/>
          </cell>
          <cell r="X941" t="str">
            <v>Lokasi Produksi 585C</v>
          </cell>
          <cell r="Z941">
            <v>8</v>
          </cell>
          <cell r="AA941">
            <v>46232</v>
          </cell>
          <cell r="AM941" t="str">
            <v>OK</v>
          </cell>
          <cell r="AO941">
            <v>0.21185177469136154</v>
          </cell>
          <cell r="AP941">
            <v>-7.788148225308638</v>
          </cell>
          <cell r="AQ941">
            <v>0</v>
          </cell>
          <cell r="AR941">
            <v>0.21185177469136154</v>
          </cell>
          <cell r="AS941">
            <v>0</v>
          </cell>
          <cell r="AT941">
            <v>46232</v>
          </cell>
          <cell r="AU941">
            <v>-7.788148225308638</v>
          </cell>
          <cell r="AV941">
            <v>6.3555532407408464</v>
          </cell>
          <cell r="AW941">
            <v>-7.788148225308638</v>
          </cell>
          <cell r="AY941">
            <v>11.463691782410024</v>
          </cell>
          <cell r="AZ941" t="str">
            <v>F18</v>
          </cell>
          <cell r="BA941">
            <v>10.67</v>
          </cell>
          <cell r="BB941" t="str">
            <v>NSSC</v>
          </cell>
          <cell r="BC941" t="str">
            <v>F18</v>
          </cell>
        </row>
        <row r="942">
          <cell r="A942" t="str">
            <v>585E1</v>
          </cell>
          <cell r="B942" t="str">
            <v>3</v>
          </cell>
          <cell r="C942" t="str">
            <v>06</v>
          </cell>
          <cell r="D942">
            <v>20</v>
          </cell>
          <cell r="E942" t="str">
            <v>585E1</v>
          </cell>
          <cell r="F942">
            <v>11.94</v>
          </cell>
          <cell r="G942">
            <v>9.34</v>
          </cell>
          <cell r="H942">
            <v>9.34</v>
          </cell>
          <cell r="I942" t="str">
            <v>ST</v>
          </cell>
          <cell r="J942" t="str">
            <v>BK</v>
          </cell>
          <cell r="K942">
            <v>0</v>
          </cell>
          <cell r="L942">
            <v>45962</v>
          </cell>
          <cell r="M942">
            <v>45962</v>
          </cell>
          <cell r="N942">
            <v>32</v>
          </cell>
          <cell r="O942" t="str">
            <v>NS</v>
          </cell>
          <cell r="P942" t="str">
            <v/>
          </cell>
          <cell r="Q942">
            <v>45962</v>
          </cell>
          <cell r="R942" t="str">
            <v/>
          </cell>
          <cell r="S942" t="str">
            <v/>
          </cell>
          <cell r="T942" t="str">
            <v/>
          </cell>
          <cell r="U942">
            <v>72580</v>
          </cell>
          <cell r="V942">
            <v>74157</v>
          </cell>
          <cell r="W942">
            <v>43478</v>
          </cell>
          <cell r="X942" t="str">
            <v>Lokasi Produksi 585E1 ( Pecahan 585E )</v>
          </cell>
          <cell r="Z942">
            <v>0</v>
          </cell>
          <cell r="AA942">
            <v>45962</v>
          </cell>
          <cell r="AM942" t="str">
            <v>OK</v>
          </cell>
          <cell r="AO942">
            <v>1.0785184413580282</v>
          </cell>
          <cell r="AP942">
            <v>1.0785184413580282</v>
          </cell>
          <cell r="AQ942">
            <v>0</v>
          </cell>
          <cell r="AR942">
            <v>1.0785184413580282</v>
          </cell>
          <cell r="AS942">
            <v>0</v>
          </cell>
          <cell r="AT942">
            <v>45962</v>
          </cell>
          <cell r="AU942">
            <v>1.0785184413580282</v>
          </cell>
          <cell r="AV942">
            <v>32.355553240740846</v>
          </cell>
          <cell r="AW942">
            <v>1.0785184413580282</v>
          </cell>
          <cell r="AY942">
            <v>37.463691782410024</v>
          </cell>
          <cell r="AZ942" t="str">
            <v>F18</v>
          </cell>
          <cell r="BA942">
            <v>0</v>
          </cell>
          <cell r="BB942" t="str">
            <v>NSST</v>
          </cell>
          <cell r="BC942" t="str">
            <v>F18</v>
          </cell>
        </row>
        <row r="943">
          <cell r="A943" t="str">
            <v>585E2</v>
          </cell>
          <cell r="B943" t="str">
            <v>3</v>
          </cell>
          <cell r="C943" t="str">
            <v>06</v>
          </cell>
          <cell r="D943">
            <v>20</v>
          </cell>
          <cell r="E943" t="str">
            <v>585E2</v>
          </cell>
          <cell r="F943">
            <v>9.2899999999999991</v>
          </cell>
          <cell r="G943">
            <v>7.76</v>
          </cell>
          <cell r="H943">
            <v>7.76</v>
          </cell>
          <cell r="I943" t="str">
            <v>ST</v>
          </cell>
          <cell r="J943" t="str">
            <v>BK</v>
          </cell>
          <cell r="K943">
            <v>0</v>
          </cell>
          <cell r="L943">
            <v>45962</v>
          </cell>
          <cell r="M943">
            <v>45962</v>
          </cell>
          <cell r="N943">
            <v>32</v>
          </cell>
          <cell r="O943" t="str">
            <v>NS</v>
          </cell>
          <cell r="P943" t="str">
            <v/>
          </cell>
          <cell r="Q943">
            <v>45962</v>
          </cell>
          <cell r="R943" t="str">
            <v/>
          </cell>
          <cell r="S943" t="str">
            <v/>
          </cell>
          <cell r="T943" t="str">
            <v/>
          </cell>
          <cell r="U943">
            <v>72130</v>
          </cell>
          <cell r="V943">
            <v>73242</v>
          </cell>
          <cell r="W943">
            <v>43478</v>
          </cell>
          <cell r="X943" t="str">
            <v>Lokasi Produksi 585E2 ( Pecahan 585E )</v>
          </cell>
          <cell r="Z943">
            <v>0</v>
          </cell>
          <cell r="AA943">
            <v>45962</v>
          </cell>
          <cell r="AM943" t="str">
            <v>OK</v>
          </cell>
          <cell r="AO943">
            <v>1.0785184413580282</v>
          </cell>
          <cell r="AP943">
            <v>1.0785184413580282</v>
          </cell>
          <cell r="AQ943">
            <v>0</v>
          </cell>
          <cell r="AR943">
            <v>1.0785184413580282</v>
          </cell>
          <cell r="AS943">
            <v>0</v>
          </cell>
          <cell r="AT943">
            <v>45962</v>
          </cell>
          <cell r="AU943">
            <v>1.0785184413580282</v>
          </cell>
          <cell r="AV943">
            <v>32.355553240740846</v>
          </cell>
          <cell r="AW943">
            <v>1.0785184413580282</v>
          </cell>
          <cell r="AY943">
            <v>37.463691782410024</v>
          </cell>
          <cell r="AZ943" t="str">
            <v>F18</v>
          </cell>
          <cell r="BA943">
            <v>0</v>
          </cell>
          <cell r="BB943" t="str">
            <v>NSST</v>
          </cell>
          <cell r="BC943" t="str">
            <v>F18</v>
          </cell>
        </row>
        <row r="944">
          <cell r="A944" t="str">
            <v>585F</v>
          </cell>
          <cell r="B944" t="str">
            <v>3</v>
          </cell>
          <cell r="C944" t="str">
            <v>06</v>
          </cell>
          <cell r="D944">
            <v>20</v>
          </cell>
          <cell r="E944" t="str">
            <v>585F</v>
          </cell>
          <cell r="F944">
            <v>11.57</v>
          </cell>
          <cell r="G944">
            <v>9.11</v>
          </cell>
          <cell r="H944">
            <v>9.11</v>
          </cell>
          <cell r="I944" t="str">
            <v>BK</v>
          </cell>
          <cell r="J944" t="str">
            <v>SC</v>
          </cell>
          <cell r="K944">
            <v>0</v>
          </cell>
          <cell r="L944">
            <v>45952</v>
          </cell>
          <cell r="M944">
            <v>45952</v>
          </cell>
          <cell r="N944">
            <v>42</v>
          </cell>
          <cell r="O944" t="str">
            <v>NS</v>
          </cell>
          <cell r="P944" t="str">
            <v/>
          </cell>
          <cell r="Q944">
            <v>45952</v>
          </cell>
          <cell r="R944" t="str">
            <v/>
          </cell>
          <cell r="S944" t="str">
            <v/>
          </cell>
          <cell r="T944" t="str">
            <v/>
          </cell>
          <cell r="U944">
            <v>67473</v>
          </cell>
          <cell r="V944">
            <v>52551</v>
          </cell>
          <cell r="W944">
            <v>43614</v>
          </cell>
          <cell r="X944" t="str">
            <v>Lokasi Produksi 585F</v>
          </cell>
          <cell r="Z944">
            <v>0</v>
          </cell>
          <cell r="AA944">
            <v>45952</v>
          </cell>
          <cell r="AM944" t="str">
            <v>OK</v>
          </cell>
          <cell r="AO944">
            <v>1.4118517746913615</v>
          </cell>
          <cell r="AP944">
            <v>1.4118517746913615</v>
          </cell>
          <cell r="AQ944">
            <v>0</v>
          </cell>
          <cell r="AR944">
            <v>1.4118517746913615</v>
          </cell>
          <cell r="AS944">
            <v>0</v>
          </cell>
          <cell r="AT944">
            <v>45952</v>
          </cell>
          <cell r="AU944">
            <v>1.4118517746913615</v>
          </cell>
          <cell r="AV944">
            <v>42.355553240740846</v>
          </cell>
          <cell r="AW944">
            <v>1.4118517746913615</v>
          </cell>
          <cell r="AY944">
            <v>47.463691782410024</v>
          </cell>
          <cell r="AZ944" t="str">
            <v>F18</v>
          </cell>
          <cell r="BA944">
            <v>0</v>
          </cell>
          <cell r="BB944" t="str">
            <v>NSBK</v>
          </cell>
          <cell r="BC944" t="str">
            <v>F18</v>
          </cell>
        </row>
        <row r="945">
          <cell r="A945" t="str">
            <v>586A</v>
          </cell>
          <cell r="B945" t="str">
            <v>3</v>
          </cell>
          <cell r="C945" t="str">
            <v>06</v>
          </cell>
          <cell r="D945">
            <v>20</v>
          </cell>
          <cell r="E945" t="str">
            <v>586A</v>
          </cell>
          <cell r="F945">
            <v>14.88</v>
          </cell>
          <cell r="G945">
            <v>11.69</v>
          </cell>
          <cell r="H945">
            <v>11.69</v>
          </cell>
          <cell r="I945" t="str">
            <v>BK</v>
          </cell>
          <cell r="J945" t="str">
            <v>BB</v>
          </cell>
          <cell r="K945">
            <v>0</v>
          </cell>
          <cell r="L945">
            <v>45946</v>
          </cell>
          <cell r="M945">
            <v>45946</v>
          </cell>
          <cell r="N945">
            <v>48</v>
          </cell>
          <cell r="O945" t="str">
            <v>NS</v>
          </cell>
          <cell r="P945" t="str">
            <v/>
          </cell>
          <cell r="Q945">
            <v>45946</v>
          </cell>
          <cell r="R945" t="str">
            <v/>
          </cell>
          <cell r="S945" t="str">
            <v/>
          </cell>
          <cell r="T945" t="str">
            <v/>
          </cell>
          <cell r="U945">
            <v>70981</v>
          </cell>
          <cell r="V945">
            <v>74347</v>
          </cell>
          <cell r="W945">
            <v>43837</v>
          </cell>
          <cell r="X945" t="str">
            <v>Lokasi Produksi 586A</v>
          </cell>
          <cell r="Z945">
            <v>0</v>
          </cell>
          <cell r="AA945">
            <v>45946</v>
          </cell>
          <cell r="AM945" t="str">
            <v>OK</v>
          </cell>
          <cell r="AO945">
            <v>1.6118517746913616</v>
          </cell>
          <cell r="AP945">
            <v>1.6118517746913616</v>
          </cell>
          <cell r="AQ945">
            <v>0</v>
          </cell>
          <cell r="AR945">
            <v>1.6118517746913616</v>
          </cell>
          <cell r="AS945">
            <v>0</v>
          </cell>
          <cell r="AT945">
            <v>45946</v>
          </cell>
          <cell r="AU945">
            <v>1.6118517746913616</v>
          </cell>
          <cell r="AV945">
            <v>48.355553240740846</v>
          </cell>
          <cell r="AW945">
            <v>1.6118517746913616</v>
          </cell>
          <cell r="AY945">
            <v>53.463691782410024</v>
          </cell>
          <cell r="AZ945" t="str">
            <v>F18</v>
          </cell>
          <cell r="BA945">
            <v>0</v>
          </cell>
          <cell r="BB945" t="str">
            <v>NSBK</v>
          </cell>
          <cell r="BC945" t="str">
            <v>F18</v>
          </cell>
        </row>
        <row r="946">
          <cell r="A946" t="str">
            <v>586B</v>
          </cell>
          <cell r="B946" t="str">
            <v>3</v>
          </cell>
          <cell r="C946" t="str">
            <v>06</v>
          </cell>
          <cell r="D946">
            <v>20</v>
          </cell>
          <cell r="E946" t="str">
            <v>586B</v>
          </cell>
          <cell r="F946">
            <v>9.66</v>
          </cell>
          <cell r="G946">
            <v>8.15</v>
          </cell>
          <cell r="H946">
            <v>8.15</v>
          </cell>
          <cell r="I946" t="str">
            <v>FC</v>
          </cell>
          <cell r="J946" t="str">
            <v>ST</v>
          </cell>
          <cell r="K946">
            <v>14</v>
          </cell>
          <cell r="L946">
            <v>45842</v>
          </cell>
          <cell r="M946">
            <v>45842</v>
          </cell>
          <cell r="N946">
            <v>152</v>
          </cell>
          <cell r="O946" t="str">
            <v>NS</v>
          </cell>
          <cell r="P946" t="str">
            <v>NSGP3CK3</v>
          </cell>
          <cell r="Q946">
            <v>46269</v>
          </cell>
          <cell r="R946" t="str">
            <v/>
          </cell>
          <cell r="S946" t="str">
            <v/>
          </cell>
          <cell r="T946" t="str">
            <v/>
          </cell>
          <cell r="U946">
            <v>55895</v>
          </cell>
          <cell r="V946">
            <v>53067</v>
          </cell>
          <cell r="W946">
            <v>44395</v>
          </cell>
          <cell r="X946" t="str">
            <v>Lokasi Produksi 586B</v>
          </cell>
          <cell r="Z946">
            <v>14</v>
          </cell>
          <cell r="AA946">
            <v>46269</v>
          </cell>
          <cell r="AM946" t="str">
            <v>OK</v>
          </cell>
          <cell r="AO946">
            <v>5.0785184413580282</v>
          </cell>
          <cell r="AP946">
            <v>-8.9214815586419718</v>
          </cell>
          <cell r="AQ946">
            <v>0</v>
          </cell>
          <cell r="AR946">
            <v>5.0785184413580282</v>
          </cell>
          <cell r="AS946">
            <v>0</v>
          </cell>
          <cell r="AT946">
            <v>46269</v>
          </cell>
          <cell r="AU946">
            <v>-8.9214815586419718</v>
          </cell>
          <cell r="AV946">
            <v>152.35555324074085</v>
          </cell>
          <cell r="AW946">
            <v>-8.9214815586419718</v>
          </cell>
          <cell r="AY946">
            <v>157.46369178241002</v>
          </cell>
          <cell r="AZ946" t="str">
            <v>GP3</v>
          </cell>
          <cell r="BA946">
            <v>8.15</v>
          </cell>
          <cell r="BB946" t="str">
            <v>NSFC</v>
          </cell>
          <cell r="BC946" t="str">
            <v>GP3CK</v>
          </cell>
        </row>
        <row r="947">
          <cell r="A947" t="str">
            <v>586C1</v>
          </cell>
          <cell r="B947" t="str">
            <v>3</v>
          </cell>
          <cell r="C947" t="str">
            <v>06</v>
          </cell>
          <cell r="D947">
            <v>20</v>
          </cell>
          <cell r="E947" t="str">
            <v>586C1</v>
          </cell>
          <cell r="F947">
            <v>15.58</v>
          </cell>
          <cell r="G947">
            <v>12.89</v>
          </cell>
          <cell r="H947">
            <v>12.89</v>
          </cell>
          <cell r="I947" t="str">
            <v>BB</v>
          </cell>
          <cell r="J947" t="str">
            <v>FC</v>
          </cell>
          <cell r="K947">
            <v>0</v>
          </cell>
          <cell r="L947">
            <v>45987</v>
          </cell>
          <cell r="M947">
            <v>45987</v>
          </cell>
          <cell r="N947">
            <v>7</v>
          </cell>
          <cell r="O947" t="str">
            <v>NS</v>
          </cell>
          <cell r="P947" t="str">
            <v/>
          </cell>
          <cell r="Q947">
            <v>45987</v>
          </cell>
          <cell r="R947" t="str">
            <v/>
          </cell>
          <cell r="S947" t="str">
            <v/>
          </cell>
          <cell r="T947" t="str">
            <v/>
          </cell>
          <cell r="U947">
            <v>63856</v>
          </cell>
          <cell r="V947">
            <v>68573</v>
          </cell>
          <cell r="W947">
            <v>43559</v>
          </cell>
          <cell r="X947" t="str">
            <v>Lokasi Produksi 586C1 ( Pecahan 586C )</v>
          </cell>
          <cell r="Z947">
            <v>0</v>
          </cell>
          <cell r="AA947">
            <v>45987</v>
          </cell>
          <cell r="AM947" t="str">
            <v>OK</v>
          </cell>
          <cell r="AO947">
            <v>0.24518510802469487</v>
          </cell>
          <cell r="AP947">
            <v>0.24518510802469487</v>
          </cell>
          <cell r="AQ947">
            <v>0</v>
          </cell>
          <cell r="AR947">
            <v>0.24518510802469487</v>
          </cell>
          <cell r="AS947">
            <v>0</v>
          </cell>
          <cell r="AT947">
            <v>45987</v>
          </cell>
          <cell r="AU947">
            <v>0.24518510802469487</v>
          </cell>
          <cell r="AV947">
            <v>7.3555532407408464</v>
          </cell>
          <cell r="AW947">
            <v>0.24518510802469487</v>
          </cell>
          <cell r="AY947">
            <v>12.463691782410024</v>
          </cell>
          <cell r="AZ947" t="str">
            <v>F18</v>
          </cell>
          <cell r="BA947">
            <v>0</v>
          </cell>
          <cell r="BB947" t="str">
            <v>NSBB</v>
          </cell>
          <cell r="BC947" t="str">
            <v>F18</v>
          </cell>
        </row>
        <row r="948">
          <cell r="A948" t="str">
            <v>586C2</v>
          </cell>
          <cell r="B948" t="str">
            <v>3</v>
          </cell>
          <cell r="C948" t="str">
            <v>06</v>
          </cell>
          <cell r="D948">
            <v>20</v>
          </cell>
          <cell r="E948" t="str">
            <v>586C2</v>
          </cell>
          <cell r="F948">
            <v>8.7200000000000006</v>
          </cell>
          <cell r="G948">
            <v>6.97</v>
          </cell>
          <cell r="H948">
            <v>6.97</v>
          </cell>
          <cell r="I948" t="str">
            <v>SC</v>
          </cell>
          <cell r="J948" t="str">
            <v>BB</v>
          </cell>
          <cell r="K948">
            <v>8</v>
          </cell>
          <cell r="L948">
            <v>45869</v>
          </cell>
          <cell r="M948">
            <v>45869</v>
          </cell>
          <cell r="N948">
            <v>125</v>
          </cell>
          <cell r="O948" t="str">
            <v>NS</v>
          </cell>
          <cell r="P948" t="str">
            <v/>
          </cell>
          <cell r="Q948">
            <v>46113</v>
          </cell>
          <cell r="R948" t="str">
            <v/>
          </cell>
          <cell r="S948" t="str">
            <v/>
          </cell>
          <cell r="T948" t="str">
            <v/>
          </cell>
          <cell r="U948">
            <v>68612</v>
          </cell>
          <cell r="V948">
            <v>70575</v>
          </cell>
          <cell r="W948" t="str">
            <v/>
          </cell>
          <cell r="X948" t="str">
            <v>Lokasi Produksi 586C2 ( Pecahan 586C )</v>
          </cell>
          <cell r="Z948">
            <v>8</v>
          </cell>
          <cell r="AA948">
            <v>46113</v>
          </cell>
          <cell r="AM948" t="str">
            <v>OK</v>
          </cell>
          <cell r="AO948">
            <v>4.1785184413580279</v>
          </cell>
          <cell r="AP948">
            <v>-3.8214815586419721</v>
          </cell>
          <cell r="AQ948">
            <v>0</v>
          </cell>
          <cell r="AR948">
            <v>4.1785184413580279</v>
          </cell>
          <cell r="AS948">
            <v>0</v>
          </cell>
          <cell r="AT948">
            <v>46113</v>
          </cell>
          <cell r="AU948">
            <v>-3.8214815586419721</v>
          </cell>
          <cell r="AV948">
            <v>125.35555324074083</v>
          </cell>
          <cell r="AW948">
            <v>-3.8214815586419721</v>
          </cell>
          <cell r="AY948">
            <v>130.46369178241002</v>
          </cell>
          <cell r="AZ948" t="str">
            <v>F18</v>
          </cell>
          <cell r="BA948">
            <v>6.97</v>
          </cell>
          <cell r="BB948" t="str">
            <v>NSSC</v>
          </cell>
          <cell r="BC948" t="str">
            <v>F18</v>
          </cell>
        </row>
        <row r="949">
          <cell r="A949" t="str">
            <v>586D1A</v>
          </cell>
          <cell r="B949" t="str">
            <v>3</v>
          </cell>
          <cell r="C949" t="str">
            <v>06</v>
          </cell>
          <cell r="D949">
            <v>20</v>
          </cell>
          <cell r="E949" t="str">
            <v>586D1A</v>
          </cell>
          <cell r="F949">
            <v>13.26</v>
          </cell>
          <cell r="G949">
            <v>11.2</v>
          </cell>
          <cell r="H949">
            <v>11.2</v>
          </cell>
          <cell r="I949" t="str">
            <v>FC</v>
          </cell>
          <cell r="J949" t="str">
            <v>ST</v>
          </cell>
          <cell r="K949">
            <v>14</v>
          </cell>
          <cell r="L949">
            <v>45570</v>
          </cell>
          <cell r="M949">
            <v>45570</v>
          </cell>
          <cell r="N949">
            <v>424</v>
          </cell>
          <cell r="O949" t="str">
            <v>NS</v>
          </cell>
          <cell r="P949" t="str">
            <v>NSF18CK3</v>
          </cell>
          <cell r="Q949">
            <v>45997</v>
          </cell>
          <cell r="R949" t="str">
            <v/>
          </cell>
          <cell r="S949" t="str">
            <v/>
          </cell>
          <cell r="T949">
            <v>45979</v>
          </cell>
          <cell r="U949">
            <v>63950</v>
          </cell>
          <cell r="V949">
            <v>66799</v>
          </cell>
          <cell r="W949" t="str">
            <v/>
          </cell>
          <cell r="X949" t="str">
            <v>Lokasi Produksi 586D1A ( pecahan 586D1 )</v>
          </cell>
          <cell r="Z949">
            <v>14</v>
          </cell>
          <cell r="AA949">
            <v>45997</v>
          </cell>
          <cell r="AM949" t="str">
            <v>OK</v>
          </cell>
          <cell r="AO949">
            <v>14.145185108024695</v>
          </cell>
          <cell r="AP949">
            <v>0.14518510802469464</v>
          </cell>
          <cell r="AQ949">
            <v>45979</v>
          </cell>
          <cell r="AR949">
            <v>13.633333333333333</v>
          </cell>
          <cell r="AS949">
            <v>0.51185177469136178</v>
          </cell>
          <cell r="AT949">
            <v>45997</v>
          </cell>
          <cell r="AU949">
            <v>0.51185177469136178</v>
          </cell>
          <cell r="AV949">
            <v>409</v>
          </cell>
          <cell r="AW949">
            <v>0.51185177469136178</v>
          </cell>
          <cell r="AY949">
            <v>429.46369178241002</v>
          </cell>
          <cell r="AZ949" t="str">
            <v>F18</v>
          </cell>
          <cell r="BA949">
            <v>11.2</v>
          </cell>
          <cell r="BB949" t="str">
            <v>NSFC</v>
          </cell>
          <cell r="BC949" t="str">
            <v>F18CK</v>
          </cell>
        </row>
        <row r="950">
          <cell r="A950" t="str">
            <v>586D1B</v>
          </cell>
          <cell r="B950" t="str">
            <v>3</v>
          </cell>
          <cell r="C950" t="str">
            <v>06</v>
          </cell>
          <cell r="D950">
            <v>20</v>
          </cell>
          <cell r="E950" t="str">
            <v>586D1B</v>
          </cell>
          <cell r="F950">
            <v>4.53</v>
          </cell>
          <cell r="G950">
            <v>3.84</v>
          </cell>
          <cell r="H950">
            <v>3.84</v>
          </cell>
          <cell r="I950" t="str">
            <v>FC</v>
          </cell>
          <cell r="J950" t="str">
            <v>ST</v>
          </cell>
          <cell r="K950">
            <v>10</v>
          </cell>
          <cell r="L950">
            <v>45586</v>
          </cell>
          <cell r="M950">
            <v>45586</v>
          </cell>
          <cell r="N950">
            <v>408</v>
          </cell>
          <cell r="O950" t="str">
            <v>NS</v>
          </cell>
          <cell r="P950" t="str">
            <v>NSGP3SB3</v>
          </cell>
          <cell r="Q950">
            <v>45891</v>
          </cell>
          <cell r="R950" t="str">
            <v/>
          </cell>
          <cell r="S950" t="str">
            <v/>
          </cell>
          <cell r="T950">
            <v>45853</v>
          </cell>
          <cell r="U950">
            <v>69672</v>
          </cell>
          <cell r="V950">
            <v>70658</v>
          </cell>
          <cell r="W950">
            <v>45487</v>
          </cell>
          <cell r="X950" t="str">
            <v>Lokasi Produksi 586D1B ( pecahan 586D1 )</v>
          </cell>
          <cell r="Z950">
            <v>10</v>
          </cell>
          <cell r="AA950">
            <v>45891</v>
          </cell>
          <cell r="AM950" t="str">
            <v>OK</v>
          </cell>
          <cell r="AO950">
            <v>13.611851774691361</v>
          </cell>
          <cell r="AP950">
            <v>3.6118517746913614</v>
          </cell>
          <cell r="AQ950">
            <v>45853</v>
          </cell>
          <cell r="AR950">
            <v>8.9</v>
          </cell>
          <cell r="AS950">
            <v>4.7118517746913611</v>
          </cell>
          <cell r="AT950">
            <v>45891</v>
          </cell>
          <cell r="AU950">
            <v>4.7118517746913611</v>
          </cell>
          <cell r="AV950">
            <v>267</v>
          </cell>
          <cell r="AW950">
            <v>4.7118517746913611</v>
          </cell>
          <cell r="AY950">
            <v>413.46369178241002</v>
          </cell>
          <cell r="AZ950" t="str">
            <v>GP3</v>
          </cell>
          <cell r="BA950">
            <v>3.84</v>
          </cell>
          <cell r="BB950" t="str">
            <v>NSFC</v>
          </cell>
          <cell r="BC950" t="str">
            <v>GP3SB</v>
          </cell>
        </row>
        <row r="951">
          <cell r="A951" t="str">
            <v>586D2</v>
          </cell>
          <cell r="B951" t="str">
            <v>3</v>
          </cell>
          <cell r="C951" t="str">
            <v>06</v>
          </cell>
          <cell r="D951">
            <v>20</v>
          </cell>
          <cell r="E951" t="str">
            <v>586D2</v>
          </cell>
          <cell r="F951">
            <v>7.78</v>
          </cell>
          <cell r="G951">
            <v>6.44</v>
          </cell>
          <cell r="H951">
            <v>6.44</v>
          </cell>
          <cell r="I951" t="str">
            <v>FC</v>
          </cell>
          <cell r="J951" t="str">
            <v>ST</v>
          </cell>
          <cell r="K951">
            <v>14</v>
          </cell>
          <cell r="L951">
            <v>45635</v>
          </cell>
          <cell r="M951">
            <v>45635</v>
          </cell>
          <cell r="N951">
            <v>359</v>
          </cell>
          <cell r="O951" t="str">
            <v>NS</v>
          </cell>
          <cell r="P951" t="str">
            <v>NSF18CK3</v>
          </cell>
          <cell r="Q951">
            <v>46062</v>
          </cell>
          <cell r="R951" t="str">
            <v/>
          </cell>
          <cell r="S951" t="str">
            <v/>
          </cell>
          <cell r="T951" t="str">
            <v/>
          </cell>
          <cell r="U951">
            <v>66998</v>
          </cell>
          <cell r="V951">
            <v>66173</v>
          </cell>
          <cell r="W951">
            <v>43128</v>
          </cell>
          <cell r="X951" t="str">
            <v>Lokasi Produksi 586D2 ( pecahan 586D )</v>
          </cell>
          <cell r="Z951">
            <v>14</v>
          </cell>
          <cell r="AA951">
            <v>46062</v>
          </cell>
          <cell r="AM951" t="str">
            <v>OK</v>
          </cell>
          <cell r="AO951">
            <v>11.978518441358029</v>
          </cell>
          <cell r="AP951">
            <v>-2.0214815586419714</v>
          </cell>
          <cell r="AQ951">
            <v>0</v>
          </cell>
          <cell r="AR951">
            <v>11.978518441358029</v>
          </cell>
          <cell r="AS951">
            <v>0</v>
          </cell>
          <cell r="AT951">
            <v>46062</v>
          </cell>
          <cell r="AU951">
            <v>-2.0214815586419714</v>
          </cell>
          <cell r="AV951">
            <v>359.35555324074085</v>
          </cell>
          <cell r="AW951">
            <v>-2.0214815586419714</v>
          </cell>
          <cell r="AY951">
            <v>364.46369178241002</v>
          </cell>
          <cell r="AZ951" t="str">
            <v>F18</v>
          </cell>
          <cell r="BA951">
            <v>6.44</v>
          </cell>
          <cell r="BB951" t="str">
            <v>NSFC</v>
          </cell>
          <cell r="BC951" t="str">
            <v>F18CK</v>
          </cell>
        </row>
        <row r="952">
          <cell r="A952" t="str">
            <v>587A1</v>
          </cell>
          <cell r="B952" t="str">
            <v>3</v>
          </cell>
          <cell r="C952" t="str">
            <v>06</v>
          </cell>
          <cell r="D952">
            <v>21</v>
          </cell>
          <cell r="E952" t="str">
            <v>587A1</v>
          </cell>
          <cell r="F952">
            <v>12.74</v>
          </cell>
          <cell r="G952">
            <v>10.210000000000001</v>
          </cell>
          <cell r="H952">
            <v>10.210000000000001</v>
          </cell>
          <cell r="I952" t="str">
            <v>SC</v>
          </cell>
          <cell r="J952" t="str">
            <v>FC</v>
          </cell>
          <cell r="K952">
            <v>8</v>
          </cell>
          <cell r="L952">
            <v>45685</v>
          </cell>
          <cell r="M952">
            <v>45685</v>
          </cell>
          <cell r="N952">
            <v>309</v>
          </cell>
          <cell r="O952" t="str">
            <v>NS</v>
          </cell>
          <cell r="P952" t="str">
            <v/>
          </cell>
          <cell r="Q952">
            <v>45929</v>
          </cell>
          <cell r="R952" t="str">
            <v/>
          </cell>
          <cell r="S952" t="str">
            <v/>
          </cell>
          <cell r="T952">
            <v>45917</v>
          </cell>
          <cell r="U952">
            <v>69226</v>
          </cell>
          <cell r="V952">
            <v>52697</v>
          </cell>
          <cell r="W952" t="str">
            <v/>
          </cell>
          <cell r="X952" t="str">
            <v>Lokasi Produksi 587A1 ( pecahan 587A )</v>
          </cell>
          <cell r="Z952">
            <v>8</v>
          </cell>
          <cell r="AA952">
            <v>45929</v>
          </cell>
          <cell r="AM952" t="str">
            <v>OK</v>
          </cell>
          <cell r="AO952">
            <v>10.311851774691361</v>
          </cell>
          <cell r="AP952">
            <v>2.3118517746913607</v>
          </cell>
          <cell r="AQ952">
            <v>45917</v>
          </cell>
          <cell r="AR952">
            <v>7.7333333333333334</v>
          </cell>
          <cell r="AS952">
            <v>2.5785184413580273</v>
          </cell>
          <cell r="AT952">
            <v>45929</v>
          </cell>
          <cell r="AU952">
            <v>2.5785184413580273</v>
          </cell>
          <cell r="AV952">
            <v>232</v>
          </cell>
          <cell r="AW952">
            <v>2.5785184413580273</v>
          </cell>
          <cell r="AY952">
            <v>314.46369178241002</v>
          </cell>
          <cell r="AZ952" t="str">
            <v>F18</v>
          </cell>
          <cell r="BA952">
            <v>10.210000000000001</v>
          </cell>
          <cell r="BB952" t="str">
            <v>NSSC</v>
          </cell>
          <cell r="BC952" t="str">
            <v>F18</v>
          </cell>
        </row>
        <row r="953">
          <cell r="A953" t="str">
            <v>587A2</v>
          </cell>
          <cell r="B953" t="str">
            <v>3</v>
          </cell>
          <cell r="C953" t="str">
            <v>06</v>
          </cell>
          <cell r="D953">
            <v>21</v>
          </cell>
          <cell r="E953" t="str">
            <v>587A2</v>
          </cell>
          <cell r="F953">
            <v>10</v>
          </cell>
          <cell r="G953">
            <v>7.92</v>
          </cell>
          <cell r="H953">
            <v>7.92</v>
          </cell>
          <cell r="I953" t="str">
            <v>SC</v>
          </cell>
          <cell r="J953" t="str">
            <v>FC</v>
          </cell>
          <cell r="K953">
            <v>8</v>
          </cell>
          <cell r="L953">
            <v>45713</v>
          </cell>
          <cell r="M953">
            <v>45713</v>
          </cell>
          <cell r="N953">
            <v>281</v>
          </cell>
          <cell r="O953" t="str">
            <v>NS</v>
          </cell>
          <cell r="P953" t="str">
            <v/>
          </cell>
          <cell r="Q953">
            <v>45957</v>
          </cell>
          <cell r="R953" t="str">
            <v/>
          </cell>
          <cell r="S953" t="str">
            <v/>
          </cell>
          <cell r="T953">
            <v>45971</v>
          </cell>
          <cell r="U953">
            <v>69208</v>
          </cell>
          <cell r="V953">
            <v>71829</v>
          </cell>
          <cell r="W953" t="str">
            <v/>
          </cell>
          <cell r="X953" t="str">
            <v>Lokasi Produksi 587A2 ( pecahan 587A )</v>
          </cell>
          <cell r="Z953">
            <v>8</v>
          </cell>
          <cell r="AA953">
            <v>45957</v>
          </cell>
          <cell r="AM953" t="str">
            <v>OK</v>
          </cell>
          <cell r="AO953">
            <v>9.3785184413580289</v>
          </cell>
          <cell r="AP953">
            <v>1.3785184413580289</v>
          </cell>
          <cell r="AQ953">
            <v>45971</v>
          </cell>
          <cell r="AR953">
            <v>8.6</v>
          </cell>
          <cell r="AS953">
            <v>0.77851844135802928</v>
          </cell>
          <cell r="AT953">
            <v>45957</v>
          </cell>
          <cell r="AU953">
            <v>0.77851844135802928</v>
          </cell>
          <cell r="AV953">
            <v>258</v>
          </cell>
          <cell r="AW953">
            <v>0.77851844135802928</v>
          </cell>
          <cell r="AY953">
            <v>286.46369178241002</v>
          </cell>
          <cell r="AZ953" t="str">
            <v>F18</v>
          </cell>
          <cell r="BA953">
            <v>7.92</v>
          </cell>
          <cell r="BB953" t="str">
            <v>NSSC</v>
          </cell>
          <cell r="BC953" t="str">
            <v>F18</v>
          </cell>
        </row>
        <row r="954">
          <cell r="A954" t="str">
            <v>587C1</v>
          </cell>
          <cell r="B954" t="str">
            <v>3</v>
          </cell>
          <cell r="C954" t="str">
            <v>06</v>
          </cell>
          <cell r="D954">
            <v>21</v>
          </cell>
          <cell r="E954" t="str">
            <v>587C1</v>
          </cell>
          <cell r="F954">
            <v>3.51</v>
          </cell>
          <cell r="G954">
            <v>2.96</v>
          </cell>
          <cell r="H954">
            <v>2.96</v>
          </cell>
          <cell r="I954" t="str">
            <v>SC</v>
          </cell>
          <cell r="J954" t="str">
            <v>FC</v>
          </cell>
          <cell r="K954">
            <v>8</v>
          </cell>
          <cell r="L954">
            <v>45900</v>
          </cell>
          <cell r="M954">
            <v>45900</v>
          </cell>
          <cell r="N954">
            <v>94</v>
          </cell>
          <cell r="O954" t="str">
            <v>NS</v>
          </cell>
          <cell r="P954" t="str">
            <v/>
          </cell>
          <cell r="Q954">
            <v>46144</v>
          </cell>
          <cell r="R954" t="str">
            <v/>
          </cell>
          <cell r="S954" t="str">
            <v/>
          </cell>
          <cell r="T954" t="str">
            <v/>
          </cell>
          <cell r="U954">
            <v>66962</v>
          </cell>
          <cell r="V954">
            <v>80189</v>
          </cell>
          <cell r="W954" t="str">
            <v/>
          </cell>
          <cell r="X954" t="str">
            <v>Lokasi Produksi 587C1 ( pecahan 587C )</v>
          </cell>
          <cell r="Z954">
            <v>8</v>
          </cell>
          <cell r="AA954">
            <v>46144</v>
          </cell>
          <cell r="AM954" t="str">
            <v>OK</v>
          </cell>
          <cell r="AO954">
            <v>3.1451851080246951</v>
          </cell>
          <cell r="AP954">
            <v>-4.8548148919753054</v>
          </cell>
          <cell r="AQ954">
            <v>0</v>
          </cell>
          <cell r="AR954">
            <v>3.1451851080246951</v>
          </cell>
          <cell r="AS954">
            <v>0</v>
          </cell>
          <cell r="AT954">
            <v>46144</v>
          </cell>
          <cell r="AU954">
            <v>-4.8548148919753054</v>
          </cell>
          <cell r="AV954">
            <v>94.355553240740846</v>
          </cell>
          <cell r="AW954">
            <v>-4.8548148919753054</v>
          </cell>
          <cell r="AY954">
            <v>99.463691782410024</v>
          </cell>
          <cell r="AZ954" t="str">
            <v>F18</v>
          </cell>
          <cell r="BA954">
            <v>2.96</v>
          </cell>
          <cell r="BB954" t="str">
            <v>NSSC</v>
          </cell>
          <cell r="BC954" t="str">
            <v>F18</v>
          </cell>
        </row>
        <row r="955">
          <cell r="A955" t="str">
            <v>587C2</v>
          </cell>
          <cell r="B955" t="str">
            <v>3</v>
          </cell>
          <cell r="C955" t="str">
            <v>06</v>
          </cell>
          <cell r="D955">
            <v>21</v>
          </cell>
          <cell r="E955" t="str">
            <v>587C2</v>
          </cell>
          <cell r="F955">
            <v>9.42</v>
          </cell>
          <cell r="G955">
            <v>7.97</v>
          </cell>
          <cell r="H955">
            <v>7.97</v>
          </cell>
          <cell r="I955" t="str">
            <v>FC</v>
          </cell>
          <cell r="J955" t="str">
            <v>ST</v>
          </cell>
          <cell r="K955">
            <v>12</v>
          </cell>
          <cell r="L955">
            <v>45532</v>
          </cell>
          <cell r="M955">
            <v>45532</v>
          </cell>
          <cell r="N955">
            <v>462</v>
          </cell>
          <cell r="O955" t="str">
            <v>NS</v>
          </cell>
          <cell r="P955" t="str">
            <v>NSF18SS3</v>
          </cell>
          <cell r="Q955">
            <v>45898</v>
          </cell>
          <cell r="R955" t="str">
            <v/>
          </cell>
          <cell r="S955" t="str">
            <v/>
          </cell>
          <cell r="T955">
            <v>45853</v>
          </cell>
          <cell r="U955">
            <v>70152</v>
          </cell>
          <cell r="V955">
            <v>70466</v>
          </cell>
          <cell r="W955">
            <v>44280</v>
          </cell>
          <cell r="X955" t="str">
            <v>Lokasi Produksi 587C2 ( pecahan 587C )</v>
          </cell>
          <cell r="Z955">
            <v>12</v>
          </cell>
          <cell r="AA955">
            <v>45898</v>
          </cell>
          <cell r="AM955" t="str">
            <v>OK</v>
          </cell>
          <cell r="AO955">
            <v>15.411851774691362</v>
          </cell>
          <cell r="AP955">
            <v>3.4118517746913621</v>
          </cell>
          <cell r="AQ955">
            <v>45853</v>
          </cell>
          <cell r="AR955">
            <v>10.7</v>
          </cell>
          <cell r="AS955">
            <v>4.7118517746913628</v>
          </cell>
          <cell r="AT955">
            <v>45898</v>
          </cell>
          <cell r="AU955">
            <v>4.7118517746913628</v>
          </cell>
          <cell r="AV955">
            <v>321</v>
          </cell>
          <cell r="AW955">
            <v>4.7118517746913628</v>
          </cell>
          <cell r="AY955">
            <v>467.46369178241002</v>
          </cell>
          <cell r="AZ955" t="str">
            <v>F18</v>
          </cell>
          <cell r="BA955">
            <v>7.97</v>
          </cell>
          <cell r="BB955" t="str">
            <v>NSFC</v>
          </cell>
          <cell r="BC955" t="str">
            <v>F18SS</v>
          </cell>
        </row>
        <row r="956">
          <cell r="A956" t="str">
            <v>587C3</v>
          </cell>
          <cell r="B956" t="str">
            <v>3</v>
          </cell>
          <cell r="C956" t="str">
            <v>06</v>
          </cell>
          <cell r="D956">
            <v>21</v>
          </cell>
          <cell r="E956" t="str">
            <v>587C3</v>
          </cell>
          <cell r="F956">
            <v>6.49</v>
          </cell>
          <cell r="G956">
            <v>5.51</v>
          </cell>
          <cell r="H956">
            <v>5.51</v>
          </cell>
          <cell r="I956" t="str">
            <v>FC</v>
          </cell>
          <cell r="J956" t="str">
            <v>ST</v>
          </cell>
          <cell r="K956">
            <v>14</v>
          </cell>
          <cell r="L956">
            <v>45517</v>
          </cell>
          <cell r="M956">
            <v>45517</v>
          </cell>
          <cell r="N956">
            <v>477</v>
          </cell>
          <cell r="O956" t="str">
            <v>NS</v>
          </cell>
          <cell r="P956" t="str">
            <v>NSGP3CK3</v>
          </cell>
          <cell r="Q956">
            <v>45944</v>
          </cell>
          <cell r="R956" t="str">
            <v/>
          </cell>
          <cell r="S956" t="str">
            <v/>
          </cell>
          <cell r="T956">
            <v>45913</v>
          </cell>
          <cell r="U956">
            <v>66661</v>
          </cell>
          <cell r="V956">
            <v>69361</v>
          </cell>
          <cell r="W956">
            <v>44280</v>
          </cell>
          <cell r="X956" t="str">
            <v>Lokasi Produksi 587C3 ( pecah 587C )</v>
          </cell>
          <cell r="Z956">
            <v>14</v>
          </cell>
          <cell r="AA956">
            <v>45944</v>
          </cell>
          <cell r="AM956" t="str">
            <v>OK</v>
          </cell>
          <cell r="AO956">
            <v>15.911851774691362</v>
          </cell>
          <cell r="AP956">
            <v>1.9118517746913621</v>
          </cell>
          <cell r="AQ956">
            <v>45913</v>
          </cell>
          <cell r="AR956">
            <v>13.2</v>
          </cell>
          <cell r="AS956">
            <v>2.7118517746913628</v>
          </cell>
          <cell r="AT956">
            <v>45944</v>
          </cell>
          <cell r="AU956">
            <v>2.7118517746913628</v>
          </cell>
          <cell r="AV956">
            <v>396</v>
          </cell>
          <cell r="AW956">
            <v>2.7118517746913628</v>
          </cell>
          <cell r="AY956">
            <v>482.46369178241002</v>
          </cell>
          <cell r="AZ956" t="str">
            <v>GP3</v>
          </cell>
          <cell r="BA956">
            <v>5.51</v>
          </cell>
          <cell r="BB956" t="str">
            <v>NSFC</v>
          </cell>
          <cell r="BC956" t="str">
            <v>GP3CK</v>
          </cell>
        </row>
        <row r="957">
          <cell r="A957" t="str">
            <v>587C4</v>
          </cell>
          <cell r="B957" t="str">
            <v>3</v>
          </cell>
          <cell r="C957" t="str">
            <v>06</v>
          </cell>
          <cell r="D957">
            <v>21</v>
          </cell>
          <cell r="E957" t="str">
            <v>587C4</v>
          </cell>
          <cell r="F957">
            <v>6.32</v>
          </cell>
          <cell r="G957">
            <v>5.35</v>
          </cell>
          <cell r="H957">
            <v>5.35</v>
          </cell>
          <cell r="I957" t="str">
            <v>FC</v>
          </cell>
          <cell r="J957" t="str">
            <v>ST</v>
          </cell>
          <cell r="K957">
            <v>14</v>
          </cell>
          <cell r="L957">
            <v>45517</v>
          </cell>
          <cell r="M957">
            <v>45517</v>
          </cell>
          <cell r="N957">
            <v>477</v>
          </cell>
          <cell r="O957" t="str">
            <v>NS</v>
          </cell>
          <cell r="P957" t="str">
            <v>NSGP3CK3</v>
          </cell>
          <cell r="Q957">
            <v>45944</v>
          </cell>
          <cell r="R957" t="str">
            <v/>
          </cell>
          <cell r="S957" t="str">
            <v/>
          </cell>
          <cell r="T957">
            <v>45916</v>
          </cell>
          <cell r="U957">
            <v>60736</v>
          </cell>
          <cell r="V957">
            <v>68676</v>
          </cell>
          <cell r="W957">
            <v>44280</v>
          </cell>
          <cell r="X957" t="str">
            <v>Lokasi Produksi 587C4 ( pecah 587C )</v>
          </cell>
          <cell r="Z957">
            <v>14</v>
          </cell>
          <cell r="AA957">
            <v>45944</v>
          </cell>
          <cell r="AM957" t="str">
            <v>OK</v>
          </cell>
          <cell r="AO957">
            <v>15.911851774691362</v>
          </cell>
          <cell r="AP957">
            <v>1.9118517746913621</v>
          </cell>
          <cell r="AQ957">
            <v>45916</v>
          </cell>
          <cell r="AR957">
            <v>13.3</v>
          </cell>
          <cell r="AS957">
            <v>2.6118517746913614</v>
          </cell>
          <cell r="AT957">
            <v>45944</v>
          </cell>
          <cell r="AU957">
            <v>2.6118517746913614</v>
          </cell>
          <cell r="AV957">
            <v>399</v>
          </cell>
          <cell r="AW957">
            <v>2.6118517746913614</v>
          </cell>
          <cell r="AY957">
            <v>482.46369178241002</v>
          </cell>
          <cell r="AZ957" t="str">
            <v>GP3</v>
          </cell>
          <cell r="BA957">
            <v>5.35</v>
          </cell>
          <cell r="BB957" t="str">
            <v>NSFC</v>
          </cell>
          <cell r="BC957" t="str">
            <v>GP3CK</v>
          </cell>
        </row>
        <row r="958">
          <cell r="A958" t="str">
            <v>587D1</v>
          </cell>
          <cell r="B958" t="str">
            <v>3</v>
          </cell>
          <cell r="C958" t="str">
            <v>06</v>
          </cell>
          <cell r="D958">
            <v>21</v>
          </cell>
          <cell r="E958" t="str">
            <v>587D1</v>
          </cell>
          <cell r="F958">
            <v>11.31</v>
          </cell>
          <cell r="G958">
            <v>9.0299999999999994</v>
          </cell>
          <cell r="H958">
            <v>9.0299999999999994</v>
          </cell>
          <cell r="I958" t="str">
            <v>SC</v>
          </cell>
          <cell r="J958" t="str">
            <v>FC</v>
          </cell>
          <cell r="K958">
            <v>8</v>
          </cell>
          <cell r="L958">
            <v>45788</v>
          </cell>
          <cell r="M958">
            <v>45788</v>
          </cell>
          <cell r="N958">
            <v>206</v>
          </cell>
          <cell r="O958" t="str">
            <v>NS</v>
          </cell>
          <cell r="P958" t="str">
            <v/>
          </cell>
          <cell r="Q958">
            <v>46032</v>
          </cell>
          <cell r="R958" t="str">
            <v/>
          </cell>
          <cell r="S958" t="str">
            <v/>
          </cell>
          <cell r="T958" t="str">
            <v/>
          </cell>
          <cell r="U958">
            <v>69823</v>
          </cell>
          <cell r="V958">
            <v>69644</v>
          </cell>
          <cell r="W958" t="str">
            <v/>
          </cell>
          <cell r="X958" t="str">
            <v>Lokasi Produksi 587D1 ( pecahan 587 )</v>
          </cell>
          <cell r="Z958">
            <v>8</v>
          </cell>
          <cell r="AA958">
            <v>46032</v>
          </cell>
          <cell r="AM958" t="str">
            <v>OK</v>
          </cell>
          <cell r="AO958">
            <v>6.878518441358028</v>
          </cell>
          <cell r="AP958">
            <v>-1.121481558641972</v>
          </cell>
          <cell r="AQ958">
            <v>0</v>
          </cell>
          <cell r="AR958">
            <v>6.878518441358028</v>
          </cell>
          <cell r="AS958">
            <v>0</v>
          </cell>
          <cell r="AT958">
            <v>46032</v>
          </cell>
          <cell r="AU958">
            <v>-1.121481558641972</v>
          </cell>
          <cell r="AV958">
            <v>206.35555324074085</v>
          </cell>
          <cell r="AW958">
            <v>-1.121481558641972</v>
          </cell>
          <cell r="AY958">
            <v>211.46369178241002</v>
          </cell>
          <cell r="AZ958" t="str">
            <v>F18</v>
          </cell>
          <cell r="BA958">
            <v>9.0299999999999994</v>
          </cell>
          <cell r="BB958" t="str">
            <v>NSSC</v>
          </cell>
          <cell r="BC958" t="str">
            <v>F18</v>
          </cell>
        </row>
        <row r="959">
          <cell r="A959" t="str">
            <v>587D2</v>
          </cell>
          <cell r="B959" t="str">
            <v>3</v>
          </cell>
          <cell r="C959" t="str">
            <v>06</v>
          </cell>
          <cell r="D959">
            <v>21</v>
          </cell>
          <cell r="E959" t="str">
            <v>587D2</v>
          </cell>
          <cell r="F959">
            <v>7.8</v>
          </cell>
          <cell r="G959">
            <v>6.3</v>
          </cell>
          <cell r="H959">
            <v>6.3</v>
          </cell>
          <cell r="I959" t="str">
            <v>SC</v>
          </cell>
          <cell r="J959" t="str">
            <v>FC</v>
          </cell>
          <cell r="K959">
            <v>8</v>
          </cell>
          <cell r="L959">
            <v>45786</v>
          </cell>
          <cell r="M959">
            <v>45786</v>
          </cell>
          <cell r="N959">
            <v>208</v>
          </cell>
          <cell r="O959" t="str">
            <v>NS</v>
          </cell>
          <cell r="P959" t="str">
            <v/>
          </cell>
          <cell r="Q959">
            <v>46030</v>
          </cell>
          <cell r="R959" t="str">
            <v/>
          </cell>
          <cell r="S959" t="str">
            <v/>
          </cell>
          <cell r="T959" t="str">
            <v/>
          </cell>
          <cell r="U959">
            <v>67215</v>
          </cell>
          <cell r="V959">
            <v>69520</v>
          </cell>
          <cell r="W959" t="str">
            <v/>
          </cell>
          <cell r="X959" t="str">
            <v>Lokasi Produksi 587D2 ( pecahan 587D )</v>
          </cell>
          <cell r="Z959">
            <v>8</v>
          </cell>
          <cell r="AA959">
            <v>46030</v>
          </cell>
          <cell r="AM959" t="str">
            <v>OK</v>
          </cell>
          <cell r="AO959">
            <v>6.9451851080246945</v>
          </cell>
          <cell r="AP959">
            <v>-1.0548148919753055</v>
          </cell>
          <cell r="AQ959">
            <v>0</v>
          </cell>
          <cell r="AR959">
            <v>6.9451851080246945</v>
          </cell>
          <cell r="AS959">
            <v>0</v>
          </cell>
          <cell r="AT959">
            <v>46030</v>
          </cell>
          <cell r="AU959">
            <v>-1.0548148919753055</v>
          </cell>
          <cell r="AV959">
            <v>208.35555324074085</v>
          </cell>
          <cell r="AW959">
            <v>-1.0548148919753055</v>
          </cell>
          <cell r="AY959">
            <v>213.46369178241002</v>
          </cell>
          <cell r="AZ959" t="str">
            <v>F18</v>
          </cell>
          <cell r="BA959">
            <v>6.3</v>
          </cell>
          <cell r="BB959" t="str">
            <v>NSSC</v>
          </cell>
          <cell r="BC959" t="str">
            <v>F18</v>
          </cell>
        </row>
        <row r="960">
          <cell r="A960" t="str">
            <v>587D3</v>
          </cell>
          <cell r="B960" t="str">
            <v>3</v>
          </cell>
          <cell r="C960" t="str">
            <v>06</v>
          </cell>
          <cell r="D960">
            <v>21</v>
          </cell>
          <cell r="E960" t="str">
            <v>587D3</v>
          </cell>
          <cell r="F960">
            <v>9.9600000000000009</v>
          </cell>
          <cell r="G960">
            <v>8.02</v>
          </cell>
          <cell r="H960">
            <v>8.02</v>
          </cell>
          <cell r="I960" t="str">
            <v>BB</v>
          </cell>
          <cell r="J960" t="str">
            <v>FC</v>
          </cell>
          <cell r="K960">
            <v>0</v>
          </cell>
          <cell r="L960">
            <v>45786</v>
          </cell>
          <cell r="M960">
            <v>45786</v>
          </cell>
          <cell r="N960">
            <v>208</v>
          </cell>
          <cell r="O960" t="str">
            <v>NS</v>
          </cell>
          <cell r="P960" t="str">
            <v/>
          </cell>
          <cell r="Q960">
            <v>45786</v>
          </cell>
          <cell r="R960" t="str">
            <v/>
          </cell>
          <cell r="S960" t="str">
            <v/>
          </cell>
          <cell r="T960" t="str">
            <v/>
          </cell>
          <cell r="U960">
            <v>69268</v>
          </cell>
          <cell r="V960">
            <v>70444</v>
          </cell>
          <cell r="W960" t="str">
            <v/>
          </cell>
          <cell r="X960" t="str">
            <v>Lokasi Produksi 587D3 ( pecahan 587D )</v>
          </cell>
          <cell r="Z960">
            <v>0</v>
          </cell>
          <cell r="AA960">
            <v>45786</v>
          </cell>
          <cell r="AM960" t="str">
            <v>OK</v>
          </cell>
          <cell r="AO960">
            <v>6.9451851080246945</v>
          </cell>
          <cell r="AP960">
            <v>6.9451851080246945</v>
          </cell>
          <cell r="AQ960">
            <v>0</v>
          </cell>
          <cell r="AR960">
            <v>6.9451851080246945</v>
          </cell>
          <cell r="AS960">
            <v>0</v>
          </cell>
          <cell r="AT960">
            <v>45786</v>
          </cell>
          <cell r="AU960">
            <v>6.9451851080246945</v>
          </cell>
          <cell r="AV960">
            <v>208.35555324074085</v>
          </cell>
          <cell r="AW960">
            <v>6.9451851080246945</v>
          </cell>
          <cell r="AY960">
            <v>213.46369178241002</v>
          </cell>
          <cell r="AZ960" t="str">
            <v>F18</v>
          </cell>
          <cell r="BA960">
            <v>0</v>
          </cell>
          <cell r="BB960" t="str">
            <v>NSBB</v>
          </cell>
          <cell r="BC960" t="str">
            <v>F18</v>
          </cell>
        </row>
        <row r="961">
          <cell r="A961" t="str">
            <v>587E</v>
          </cell>
          <cell r="B961" t="str">
            <v>3</v>
          </cell>
          <cell r="C961" t="str">
            <v>06</v>
          </cell>
          <cell r="D961">
            <v>21</v>
          </cell>
          <cell r="E961" t="str">
            <v>587E</v>
          </cell>
          <cell r="F961">
            <v>16.43</v>
          </cell>
          <cell r="G961">
            <v>13.08</v>
          </cell>
          <cell r="H961">
            <v>13.08</v>
          </cell>
          <cell r="I961" t="str">
            <v>FC</v>
          </cell>
          <cell r="J961" t="str">
            <v>ST</v>
          </cell>
          <cell r="K961">
            <v>14</v>
          </cell>
          <cell r="L961">
            <v>45838</v>
          </cell>
          <cell r="M961">
            <v>45838</v>
          </cell>
          <cell r="N961">
            <v>156</v>
          </cell>
          <cell r="O961" t="str">
            <v>NS</v>
          </cell>
          <cell r="P961" t="str">
            <v>NSGP3CK3</v>
          </cell>
          <cell r="Q961">
            <v>46265</v>
          </cell>
          <cell r="R961" t="str">
            <v/>
          </cell>
          <cell r="S961" t="str">
            <v/>
          </cell>
          <cell r="T961" t="str">
            <v/>
          </cell>
          <cell r="U961">
            <v>55769</v>
          </cell>
          <cell r="V961">
            <v>75281</v>
          </cell>
          <cell r="W961" t="str">
            <v/>
          </cell>
          <cell r="X961" t="str">
            <v>Lokasi Produksi 587E</v>
          </cell>
          <cell r="Z961">
            <v>14</v>
          </cell>
          <cell r="AA961">
            <v>46265</v>
          </cell>
          <cell r="AM961" t="str">
            <v>OK</v>
          </cell>
          <cell r="AO961">
            <v>5.211851774691362</v>
          </cell>
          <cell r="AP961">
            <v>-8.7881482253086389</v>
          </cell>
          <cell r="AQ961">
            <v>0</v>
          </cell>
          <cell r="AR961">
            <v>5.211851774691362</v>
          </cell>
          <cell r="AS961">
            <v>0</v>
          </cell>
          <cell r="AT961">
            <v>46265</v>
          </cell>
          <cell r="AU961">
            <v>-8.7881482253086389</v>
          </cell>
          <cell r="AV961">
            <v>156.35555324074085</v>
          </cell>
          <cell r="AW961">
            <v>-8.7881482253086389</v>
          </cell>
          <cell r="AY961">
            <v>161.46369178241002</v>
          </cell>
          <cell r="AZ961" t="str">
            <v>GP3</v>
          </cell>
          <cell r="BA961">
            <v>13.08</v>
          </cell>
          <cell r="BB961" t="str">
            <v>NSFC</v>
          </cell>
          <cell r="BC961" t="str">
            <v>GP3CK</v>
          </cell>
        </row>
        <row r="962">
          <cell r="A962" t="str">
            <v>587F</v>
          </cell>
          <cell r="B962" t="str">
            <v>3</v>
          </cell>
          <cell r="C962" t="str">
            <v>06</v>
          </cell>
          <cell r="D962">
            <v>21</v>
          </cell>
          <cell r="E962" t="str">
            <v>587F</v>
          </cell>
          <cell r="F962">
            <v>11.73</v>
          </cell>
          <cell r="G962">
            <v>8.6199999999999992</v>
          </cell>
          <cell r="H962">
            <v>8.6199999999999992</v>
          </cell>
          <cell r="I962" t="str">
            <v>SC</v>
          </cell>
          <cell r="J962" t="str">
            <v>FC</v>
          </cell>
          <cell r="K962">
            <v>8</v>
          </cell>
          <cell r="L962">
            <v>45790</v>
          </cell>
          <cell r="M962">
            <v>45790</v>
          </cell>
          <cell r="N962">
            <v>204</v>
          </cell>
          <cell r="O962" t="str">
            <v>NS</v>
          </cell>
          <cell r="P962" t="str">
            <v/>
          </cell>
          <cell r="Q962">
            <v>46034</v>
          </cell>
          <cell r="R962" t="str">
            <v/>
          </cell>
          <cell r="S962" t="str">
            <v/>
          </cell>
          <cell r="T962" t="str">
            <v/>
          </cell>
          <cell r="U962">
            <v>68156</v>
          </cell>
          <cell r="V962">
            <v>71201</v>
          </cell>
          <cell r="W962" t="str">
            <v/>
          </cell>
          <cell r="X962" t="str">
            <v>Lokasi Produksi 587F</v>
          </cell>
          <cell r="Z962">
            <v>8</v>
          </cell>
          <cell r="AA962">
            <v>46034</v>
          </cell>
          <cell r="AM962" t="str">
            <v>OK</v>
          </cell>
          <cell r="AO962">
            <v>6.8118517746913616</v>
          </cell>
          <cell r="AP962">
            <v>-1.1881482253086384</v>
          </cell>
          <cell r="AQ962">
            <v>0</v>
          </cell>
          <cell r="AR962">
            <v>6.8118517746913616</v>
          </cell>
          <cell r="AS962">
            <v>0</v>
          </cell>
          <cell r="AT962">
            <v>46034</v>
          </cell>
          <cell r="AU962">
            <v>-1.1881482253086384</v>
          </cell>
          <cell r="AV962">
            <v>204.35555324074085</v>
          </cell>
          <cell r="AW962">
            <v>-1.1881482253086384</v>
          </cell>
          <cell r="AY962">
            <v>209.46369178241002</v>
          </cell>
          <cell r="AZ962" t="str">
            <v>F18</v>
          </cell>
          <cell r="BA962">
            <v>8.6199999999999992</v>
          </cell>
          <cell r="BB962" t="str">
            <v>NSSC</v>
          </cell>
          <cell r="BC962" t="str">
            <v>F18</v>
          </cell>
        </row>
        <row r="963">
          <cell r="A963" t="str">
            <v>588A</v>
          </cell>
          <cell r="B963" t="str">
            <v>3</v>
          </cell>
          <cell r="C963" t="str">
            <v>06</v>
          </cell>
          <cell r="D963">
            <v>20</v>
          </cell>
          <cell r="E963" t="str">
            <v>588A</v>
          </cell>
          <cell r="F963">
            <v>11.29</v>
          </cell>
          <cell r="G963">
            <v>9.4499999999999993</v>
          </cell>
          <cell r="H963">
            <v>9.4499999999999993</v>
          </cell>
          <cell r="I963" t="str">
            <v>FC</v>
          </cell>
          <cell r="J963" t="str">
            <v>ST</v>
          </cell>
          <cell r="K963">
            <v>14</v>
          </cell>
          <cell r="L963">
            <v>45936</v>
          </cell>
          <cell r="M963">
            <v>45936</v>
          </cell>
          <cell r="N963">
            <v>58</v>
          </cell>
          <cell r="O963" t="str">
            <v>NS</v>
          </cell>
          <cell r="P963" t="str">
            <v>NSGP3CK3</v>
          </cell>
          <cell r="Q963">
            <v>46363</v>
          </cell>
          <cell r="R963" t="str">
            <v/>
          </cell>
          <cell r="S963" t="str">
            <v/>
          </cell>
          <cell r="T963" t="str">
            <v/>
          </cell>
          <cell r="U963">
            <v>69527</v>
          </cell>
          <cell r="V963">
            <v>52690</v>
          </cell>
          <cell r="W963">
            <v>44438</v>
          </cell>
          <cell r="X963" t="str">
            <v>Lokasi Produksi 588A</v>
          </cell>
          <cell r="Z963">
            <v>14</v>
          </cell>
          <cell r="AA963">
            <v>46363</v>
          </cell>
          <cell r="AM963" t="str">
            <v>OK</v>
          </cell>
          <cell r="AO963">
            <v>1.9451851080246949</v>
          </cell>
          <cell r="AP963">
            <v>-12.054814891975305</v>
          </cell>
          <cell r="AQ963">
            <v>0</v>
          </cell>
          <cell r="AR963">
            <v>1.9451851080246949</v>
          </cell>
          <cell r="AS963">
            <v>0</v>
          </cell>
          <cell r="AT963">
            <v>46363</v>
          </cell>
          <cell r="AU963">
            <v>-12.054814891975305</v>
          </cell>
          <cell r="AV963">
            <v>58.355553240740846</v>
          </cell>
          <cell r="AW963">
            <v>-12.054814891975305</v>
          </cell>
          <cell r="AY963">
            <v>63.463691782410024</v>
          </cell>
          <cell r="AZ963" t="str">
            <v>GP3</v>
          </cell>
          <cell r="BA963">
            <v>9.4499999999999993</v>
          </cell>
          <cell r="BB963" t="str">
            <v>NSFC</v>
          </cell>
          <cell r="BC963" t="str">
            <v>GP3CK</v>
          </cell>
        </row>
        <row r="964">
          <cell r="A964" t="str">
            <v>588B1</v>
          </cell>
          <cell r="B964" t="str">
            <v>3</v>
          </cell>
          <cell r="C964" t="str">
            <v>06</v>
          </cell>
          <cell r="D964">
            <v>20</v>
          </cell>
          <cell r="E964" t="str">
            <v>588B1</v>
          </cell>
          <cell r="F964">
            <v>9.9499999999999993</v>
          </cell>
          <cell r="G964">
            <v>8.4600000000000009</v>
          </cell>
          <cell r="H964">
            <v>8.4600000000000009</v>
          </cell>
          <cell r="I964" t="str">
            <v>FC</v>
          </cell>
          <cell r="J964" t="str">
            <v>ST</v>
          </cell>
          <cell r="K964">
            <v>12</v>
          </cell>
          <cell r="L964">
            <v>45968</v>
          </cell>
          <cell r="M964">
            <v>45968</v>
          </cell>
          <cell r="N964">
            <v>26</v>
          </cell>
          <cell r="O964" t="str">
            <v>NS</v>
          </cell>
          <cell r="P964" t="str">
            <v>NSF18SS3</v>
          </cell>
          <cell r="Q964">
            <v>46334</v>
          </cell>
          <cell r="R964" t="str">
            <v/>
          </cell>
          <cell r="S964" t="str">
            <v/>
          </cell>
          <cell r="T964" t="str">
            <v/>
          </cell>
          <cell r="U964">
            <v>20121</v>
          </cell>
          <cell r="V964">
            <v>20302</v>
          </cell>
          <cell r="W964">
            <v>45752</v>
          </cell>
          <cell r="X964" t="str">
            <v>Lokasi Produksi 588B1 ( pecahan 588B )</v>
          </cell>
          <cell r="Z964">
            <v>12</v>
          </cell>
          <cell r="AA964">
            <v>46334</v>
          </cell>
          <cell r="AM964" t="str">
            <v>OK</v>
          </cell>
          <cell r="AO964">
            <v>0.87851844135802826</v>
          </cell>
          <cell r="AP964">
            <v>-11.121481558641971</v>
          </cell>
          <cell r="AQ964">
            <v>0</v>
          </cell>
          <cell r="AR964">
            <v>0.87851844135802826</v>
          </cell>
          <cell r="AS964">
            <v>0</v>
          </cell>
          <cell r="AT964">
            <v>46334</v>
          </cell>
          <cell r="AU964">
            <v>-11.121481558641971</v>
          </cell>
          <cell r="AV964">
            <v>26.355553240740846</v>
          </cell>
          <cell r="AW964">
            <v>-11.121481558641971</v>
          </cell>
          <cell r="AY964">
            <v>31.463691782410024</v>
          </cell>
          <cell r="AZ964" t="str">
            <v>F18</v>
          </cell>
          <cell r="BA964">
            <v>8.4600000000000009</v>
          </cell>
          <cell r="BB964" t="str">
            <v>NSFC</v>
          </cell>
          <cell r="BC964" t="str">
            <v>F18SS</v>
          </cell>
        </row>
        <row r="965">
          <cell r="A965" t="str">
            <v>588B2</v>
          </cell>
          <cell r="B965" t="str">
            <v>3</v>
          </cell>
          <cell r="C965" t="str">
            <v>06</v>
          </cell>
          <cell r="D965">
            <v>20</v>
          </cell>
          <cell r="E965" t="str">
            <v>588B2</v>
          </cell>
          <cell r="F965">
            <v>12.29</v>
          </cell>
          <cell r="G965">
            <v>10.32</v>
          </cell>
          <cell r="H965">
            <v>10.32</v>
          </cell>
          <cell r="I965" t="str">
            <v>FC</v>
          </cell>
          <cell r="J965" t="str">
            <v>ST</v>
          </cell>
          <cell r="K965">
            <v>12</v>
          </cell>
          <cell r="L965">
            <v>45962</v>
          </cell>
          <cell r="M965">
            <v>45962</v>
          </cell>
          <cell r="N965">
            <v>32</v>
          </cell>
          <cell r="O965" t="str">
            <v>NS</v>
          </cell>
          <cell r="P965" t="str">
            <v>NSF18SS3</v>
          </cell>
          <cell r="Q965">
            <v>46328</v>
          </cell>
          <cell r="R965" t="str">
            <v/>
          </cell>
          <cell r="S965" t="str">
            <v/>
          </cell>
          <cell r="T965" t="str">
            <v/>
          </cell>
          <cell r="U965">
            <v>25139</v>
          </cell>
          <cell r="V965">
            <v>65059</v>
          </cell>
          <cell r="W965">
            <v>45752</v>
          </cell>
          <cell r="X965" t="str">
            <v>Lokasi Produksi 588B2 ( pecahan 588B )</v>
          </cell>
          <cell r="Z965">
            <v>12</v>
          </cell>
          <cell r="AA965">
            <v>46328</v>
          </cell>
          <cell r="AM965" t="str">
            <v>OK</v>
          </cell>
          <cell r="AO965">
            <v>1.0785184413580282</v>
          </cell>
          <cell r="AP965">
            <v>-10.921481558641972</v>
          </cell>
          <cell r="AQ965">
            <v>0</v>
          </cell>
          <cell r="AR965">
            <v>1.0785184413580282</v>
          </cell>
          <cell r="AS965">
            <v>0</v>
          </cell>
          <cell r="AT965">
            <v>46328</v>
          </cell>
          <cell r="AU965">
            <v>-10.921481558641972</v>
          </cell>
          <cell r="AV965">
            <v>32.355553240740846</v>
          </cell>
          <cell r="AW965">
            <v>-10.921481558641972</v>
          </cell>
          <cell r="AY965">
            <v>37.463691782410024</v>
          </cell>
          <cell r="AZ965" t="str">
            <v>F18</v>
          </cell>
          <cell r="BA965">
            <v>10.32</v>
          </cell>
          <cell r="BB965" t="str">
            <v>NSFC</v>
          </cell>
          <cell r="BC965" t="str">
            <v>F18SS</v>
          </cell>
        </row>
        <row r="966">
          <cell r="A966" t="str">
            <v>588D</v>
          </cell>
          <cell r="B966" t="str">
            <v>3</v>
          </cell>
          <cell r="C966" t="str">
            <v>06</v>
          </cell>
          <cell r="D966">
            <v>20</v>
          </cell>
          <cell r="E966" t="str">
            <v>588D</v>
          </cell>
          <cell r="F966">
            <v>8.86</v>
          </cell>
          <cell r="G966">
            <v>7.57</v>
          </cell>
          <cell r="H966">
            <v>7.57</v>
          </cell>
          <cell r="I966" t="str">
            <v>FC</v>
          </cell>
          <cell r="J966" t="str">
            <v>ST</v>
          </cell>
          <cell r="K966">
            <v>14</v>
          </cell>
          <cell r="L966">
            <v>45950</v>
          </cell>
          <cell r="M966">
            <v>45950</v>
          </cell>
          <cell r="N966">
            <v>44</v>
          </cell>
          <cell r="O966" t="str">
            <v>NS</v>
          </cell>
          <cell r="P966" t="str">
            <v>NSGP3CK3</v>
          </cell>
          <cell r="Q966">
            <v>46377</v>
          </cell>
          <cell r="R966" t="str">
            <v/>
          </cell>
          <cell r="S966" t="str">
            <v/>
          </cell>
          <cell r="T966" t="str">
            <v/>
          </cell>
          <cell r="U966">
            <v>69940</v>
          </cell>
          <cell r="V966">
            <v>52390</v>
          </cell>
          <cell r="W966">
            <v>44438</v>
          </cell>
          <cell r="X966" t="str">
            <v>Lokasi Produksi 588D</v>
          </cell>
          <cell r="Z966">
            <v>14</v>
          </cell>
          <cell r="AA966">
            <v>46377</v>
          </cell>
          <cell r="AM966" t="str">
            <v>OK</v>
          </cell>
          <cell r="AO966">
            <v>1.4785184413580281</v>
          </cell>
          <cell r="AP966">
            <v>-12.521481558641971</v>
          </cell>
          <cell r="AQ966">
            <v>0</v>
          </cell>
          <cell r="AR966">
            <v>1.4785184413580281</v>
          </cell>
          <cell r="AS966">
            <v>0</v>
          </cell>
          <cell r="AT966">
            <v>46377</v>
          </cell>
          <cell r="AU966">
            <v>-12.521481558641971</v>
          </cell>
          <cell r="AV966">
            <v>44.355553240740846</v>
          </cell>
          <cell r="AW966">
            <v>-12.521481558641971</v>
          </cell>
          <cell r="AY966">
            <v>49.463691782410024</v>
          </cell>
          <cell r="AZ966" t="str">
            <v>GP3</v>
          </cell>
          <cell r="BA966">
            <v>7.57</v>
          </cell>
          <cell r="BB966" t="str">
            <v>NSFC</v>
          </cell>
          <cell r="BC966" t="str">
            <v>GP3CK</v>
          </cell>
        </row>
        <row r="967">
          <cell r="A967" t="str">
            <v>588E1</v>
          </cell>
          <cell r="B967" t="str">
            <v>3</v>
          </cell>
          <cell r="C967" t="str">
            <v>06</v>
          </cell>
          <cell r="D967">
            <v>21</v>
          </cell>
          <cell r="E967" t="str">
            <v>588E1</v>
          </cell>
          <cell r="F967">
            <v>7.11</v>
          </cell>
          <cell r="G967">
            <v>5.67</v>
          </cell>
          <cell r="H967">
            <v>5.67</v>
          </cell>
          <cell r="I967" t="str">
            <v>BK</v>
          </cell>
          <cell r="J967" t="str">
            <v>SC</v>
          </cell>
          <cell r="K967">
            <v>0</v>
          </cell>
          <cell r="L967">
            <v>45984</v>
          </cell>
          <cell r="M967">
            <v>45984</v>
          </cell>
          <cell r="N967">
            <v>10</v>
          </cell>
          <cell r="O967" t="str">
            <v>NS</v>
          </cell>
          <cell r="P967" t="str">
            <v/>
          </cell>
          <cell r="Q967">
            <v>45984</v>
          </cell>
          <cell r="R967" t="str">
            <v/>
          </cell>
          <cell r="S967" t="str">
            <v/>
          </cell>
          <cell r="T967" t="str">
            <v/>
          </cell>
          <cell r="U967">
            <v>72743</v>
          </cell>
          <cell r="V967">
            <v>52508</v>
          </cell>
          <cell r="W967">
            <v>44769</v>
          </cell>
          <cell r="X967" t="str">
            <v>Lokasi Produksi 588E1 ( pecahan 588E )</v>
          </cell>
          <cell r="Z967">
            <v>0</v>
          </cell>
          <cell r="AA967">
            <v>45984</v>
          </cell>
          <cell r="AM967" t="str">
            <v>OK</v>
          </cell>
          <cell r="AO967">
            <v>0.34518510802469488</v>
          </cell>
          <cell r="AP967">
            <v>0.34518510802469488</v>
          </cell>
          <cell r="AQ967">
            <v>0</v>
          </cell>
          <cell r="AR967">
            <v>0.34518510802469488</v>
          </cell>
          <cell r="AS967">
            <v>0</v>
          </cell>
          <cell r="AT967">
            <v>45984</v>
          </cell>
          <cell r="AU967">
            <v>0.34518510802469488</v>
          </cell>
          <cell r="AV967">
            <v>10.355553240740846</v>
          </cell>
          <cell r="AW967">
            <v>0.34518510802469488</v>
          </cell>
          <cell r="AY967">
            <v>15.463691782410024</v>
          </cell>
          <cell r="AZ967" t="str">
            <v>F18</v>
          </cell>
          <cell r="BA967">
            <v>0</v>
          </cell>
          <cell r="BB967" t="str">
            <v>NSBK</v>
          </cell>
          <cell r="BC967" t="str">
            <v>F18</v>
          </cell>
        </row>
        <row r="968">
          <cell r="A968" t="str">
            <v>588E2</v>
          </cell>
          <cell r="B968" t="str">
            <v>3</v>
          </cell>
          <cell r="C968" t="str">
            <v>06</v>
          </cell>
          <cell r="D968">
            <v>21</v>
          </cell>
          <cell r="E968" t="str">
            <v>588E2</v>
          </cell>
          <cell r="F968">
            <v>8.81</v>
          </cell>
          <cell r="G968">
            <v>7.03</v>
          </cell>
          <cell r="H968">
            <v>7.03</v>
          </cell>
          <cell r="I968" t="str">
            <v>SC</v>
          </cell>
          <cell r="J968" t="str">
            <v>FC</v>
          </cell>
          <cell r="K968">
            <v>8</v>
          </cell>
          <cell r="L968">
            <v>45648</v>
          </cell>
          <cell r="M968">
            <v>45648</v>
          </cell>
          <cell r="N968">
            <v>346</v>
          </cell>
          <cell r="O968" t="str">
            <v>NS</v>
          </cell>
          <cell r="P968" t="str">
            <v/>
          </cell>
          <cell r="Q968">
            <v>45892</v>
          </cell>
          <cell r="R968" t="str">
            <v/>
          </cell>
          <cell r="S968" t="str">
            <v/>
          </cell>
          <cell r="T968">
            <v>45890</v>
          </cell>
          <cell r="U968">
            <v>72567</v>
          </cell>
          <cell r="V968">
            <v>53302</v>
          </cell>
          <cell r="W968">
            <v>45653</v>
          </cell>
          <cell r="X968" t="str">
            <v>Lokasi Produksi 588E2 ( pecahan 588E )</v>
          </cell>
          <cell r="Z968">
            <v>8</v>
          </cell>
          <cell r="AA968">
            <v>45892</v>
          </cell>
          <cell r="AM968" t="str">
            <v>OK</v>
          </cell>
          <cell r="AO968">
            <v>11.545185108024695</v>
          </cell>
          <cell r="AP968">
            <v>3.545185108024695</v>
          </cell>
          <cell r="AQ968">
            <v>45890</v>
          </cell>
          <cell r="AR968">
            <v>8.0666666666666664</v>
          </cell>
          <cell r="AS968">
            <v>3.4785184413580286</v>
          </cell>
          <cell r="AT968">
            <v>45892</v>
          </cell>
          <cell r="AU968">
            <v>3.4785184413580286</v>
          </cell>
          <cell r="AV968">
            <v>242</v>
          </cell>
          <cell r="AW968">
            <v>3.4785184413580286</v>
          </cell>
          <cell r="AY968">
            <v>351.46369178241002</v>
          </cell>
          <cell r="AZ968" t="str">
            <v>F18</v>
          </cell>
          <cell r="BA968">
            <v>7.03</v>
          </cell>
          <cell r="BB968" t="str">
            <v>NSSC</v>
          </cell>
          <cell r="BC968" t="str">
            <v>F18</v>
          </cell>
        </row>
        <row r="969">
          <cell r="A969" t="str">
            <v>588E3</v>
          </cell>
          <cell r="B969" t="str">
            <v>3</v>
          </cell>
          <cell r="C969" t="str">
            <v>06</v>
          </cell>
          <cell r="D969">
            <v>21</v>
          </cell>
          <cell r="E969" t="str">
            <v>588E3</v>
          </cell>
          <cell r="F969">
            <v>2.37</v>
          </cell>
          <cell r="G969">
            <v>1.76</v>
          </cell>
          <cell r="H969">
            <v>2.37</v>
          </cell>
          <cell r="I969" t="str">
            <v>FC</v>
          </cell>
          <cell r="J969" t="str">
            <v>ST</v>
          </cell>
          <cell r="K969">
            <v>0</v>
          </cell>
          <cell r="L969">
            <v>45706</v>
          </cell>
          <cell r="M969">
            <v>45706</v>
          </cell>
          <cell r="N969">
            <v>288</v>
          </cell>
          <cell r="O969" t="str">
            <v>SK</v>
          </cell>
          <cell r="P969" t="str">
            <v/>
          </cell>
          <cell r="Q969">
            <v>45706</v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>Lokasi Produksi 588E3 ( singkong )</v>
          </cell>
          <cell r="Z969">
            <v>0</v>
          </cell>
          <cell r="AA969">
            <v>45706</v>
          </cell>
          <cell r="AM969" t="str">
            <v>OK</v>
          </cell>
          <cell r="AO969">
            <v>9.6118517746913614</v>
          </cell>
          <cell r="AP969">
            <v>9.6118517746913614</v>
          </cell>
          <cell r="AQ969">
            <v>0</v>
          </cell>
          <cell r="AR969">
            <v>9.6118517746913614</v>
          </cell>
          <cell r="AS969">
            <v>0</v>
          </cell>
          <cell r="AT969">
            <v>45706</v>
          </cell>
          <cell r="AU969">
            <v>9.6118517746913614</v>
          </cell>
          <cell r="AV969">
            <v>288.35555324074085</v>
          </cell>
          <cell r="AW969">
            <v>9.6118517746913614</v>
          </cell>
          <cell r="AY969">
            <v>293.46369178241002</v>
          </cell>
          <cell r="AZ969" t="str">
            <v>F18</v>
          </cell>
          <cell r="BA969">
            <v>0</v>
          </cell>
          <cell r="BB969" t="str">
            <v>SKFC</v>
          </cell>
          <cell r="BC969" t="str">
            <v>F18</v>
          </cell>
        </row>
        <row r="970">
          <cell r="A970" t="str">
            <v>588ES</v>
          </cell>
          <cell r="B970" t="str">
            <v>3</v>
          </cell>
          <cell r="C970" t="str">
            <v>06</v>
          </cell>
          <cell r="D970">
            <v>21</v>
          </cell>
          <cell r="E970" t="str">
            <v>588ES</v>
          </cell>
          <cell r="F970">
            <v>2.1800000000000002</v>
          </cell>
          <cell r="G970">
            <v>1.91</v>
          </cell>
          <cell r="H970">
            <v>2.0699999999999998</v>
          </cell>
          <cell r="I970" t="str">
            <v>FC</v>
          </cell>
          <cell r="J970" t="str">
            <v>ST</v>
          </cell>
          <cell r="K970">
            <v>0</v>
          </cell>
          <cell r="L970">
            <v>45705</v>
          </cell>
          <cell r="M970">
            <v>45705</v>
          </cell>
          <cell r="N970">
            <v>289</v>
          </cell>
          <cell r="O970" t="str">
            <v>SK</v>
          </cell>
          <cell r="P970" t="str">
            <v/>
          </cell>
          <cell r="Q970">
            <v>45705</v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>Lokasi Produksi ( Singkong )</v>
          </cell>
          <cell r="Z970">
            <v>0</v>
          </cell>
          <cell r="AA970">
            <v>45705</v>
          </cell>
          <cell r="AM970" t="str">
            <v>OK</v>
          </cell>
          <cell r="AO970">
            <v>9.6451851080246946</v>
          </cell>
          <cell r="AP970">
            <v>9.6451851080246946</v>
          </cell>
          <cell r="AQ970">
            <v>0</v>
          </cell>
          <cell r="AR970">
            <v>9.6451851080246946</v>
          </cell>
          <cell r="AS970">
            <v>0</v>
          </cell>
          <cell r="AT970">
            <v>45705</v>
          </cell>
          <cell r="AU970">
            <v>9.6451851080246946</v>
          </cell>
          <cell r="AV970">
            <v>289.35555324074085</v>
          </cell>
          <cell r="AW970">
            <v>9.6451851080246946</v>
          </cell>
          <cell r="AY970">
            <v>294.46369178241002</v>
          </cell>
          <cell r="AZ970" t="str">
            <v>F18</v>
          </cell>
          <cell r="BA970">
            <v>0</v>
          </cell>
          <cell r="BB970" t="str">
            <v>SKFC</v>
          </cell>
          <cell r="BC970" t="str">
            <v>F18</v>
          </cell>
        </row>
        <row r="971">
          <cell r="A971" t="str">
            <v>588F3A</v>
          </cell>
          <cell r="B971" t="str">
            <v>3</v>
          </cell>
          <cell r="C971" t="str">
            <v>06</v>
          </cell>
          <cell r="D971">
            <v>21</v>
          </cell>
          <cell r="E971" t="str">
            <v>588F3A</v>
          </cell>
          <cell r="F971">
            <v>6.81</v>
          </cell>
          <cell r="G971">
            <v>5.53</v>
          </cell>
          <cell r="H971">
            <v>5.53</v>
          </cell>
          <cell r="I971" t="str">
            <v>SC</v>
          </cell>
          <cell r="J971" t="str">
            <v>FC</v>
          </cell>
          <cell r="K971">
            <v>8</v>
          </cell>
          <cell r="L971">
            <v>45638</v>
          </cell>
          <cell r="M971">
            <v>45638</v>
          </cell>
          <cell r="N971">
            <v>356</v>
          </cell>
          <cell r="O971" t="str">
            <v>NS</v>
          </cell>
          <cell r="P971" t="str">
            <v/>
          </cell>
          <cell r="Q971">
            <v>45882</v>
          </cell>
          <cell r="R971" t="str">
            <v/>
          </cell>
          <cell r="S971" t="str">
            <v/>
          </cell>
          <cell r="T971">
            <v>45849</v>
          </cell>
          <cell r="U971">
            <v>71571</v>
          </cell>
          <cell r="V971">
            <v>52364</v>
          </cell>
          <cell r="W971">
            <v>44769</v>
          </cell>
          <cell r="X971" t="str">
            <v>Lokasi Produksi 588F3A ( pecahan 588F3 )</v>
          </cell>
          <cell r="Z971">
            <v>8</v>
          </cell>
          <cell r="AA971">
            <v>45882</v>
          </cell>
          <cell r="AM971" t="str">
            <v>OK</v>
          </cell>
          <cell r="AO971">
            <v>11.878518441358029</v>
          </cell>
          <cell r="AP971">
            <v>3.8785184413580289</v>
          </cell>
          <cell r="AQ971">
            <v>45849</v>
          </cell>
          <cell r="AR971">
            <v>7.0333333333333332</v>
          </cell>
          <cell r="AS971">
            <v>4.8451851080246957</v>
          </cell>
          <cell r="AT971">
            <v>45882</v>
          </cell>
          <cell r="AU971">
            <v>4.8451851080246957</v>
          </cell>
          <cell r="AV971">
            <v>211</v>
          </cell>
          <cell r="AW971">
            <v>4.8451851080246957</v>
          </cell>
          <cell r="AY971">
            <v>361.46369178241002</v>
          </cell>
          <cell r="AZ971" t="str">
            <v>F18</v>
          </cell>
          <cell r="BA971">
            <v>5.53</v>
          </cell>
          <cell r="BB971" t="str">
            <v>NSSC</v>
          </cell>
          <cell r="BC971" t="str">
            <v>F18</v>
          </cell>
        </row>
        <row r="972">
          <cell r="A972" t="str">
            <v>588F3B</v>
          </cell>
          <cell r="B972" t="str">
            <v>3</v>
          </cell>
          <cell r="C972" t="str">
            <v>06</v>
          </cell>
          <cell r="D972">
            <v>21</v>
          </cell>
          <cell r="E972" t="str">
            <v>588F3B</v>
          </cell>
          <cell r="F972">
            <v>4.09</v>
          </cell>
          <cell r="G972">
            <v>3.28</v>
          </cell>
          <cell r="H972">
            <v>3.28</v>
          </cell>
          <cell r="I972" t="str">
            <v>SC</v>
          </cell>
          <cell r="J972" t="str">
            <v>FC</v>
          </cell>
          <cell r="K972">
            <v>8</v>
          </cell>
          <cell r="L972">
            <v>45638</v>
          </cell>
          <cell r="M972">
            <v>45638</v>
          </cell>
          <cell r="N972">
            <v>356</v>
          </cell>
          <cell r="O972" t="str">
            <v>NS</v>
          </cell>
          <cell r="P972" t="str">
            <v/>
          </cell>
          <cell r="Q972">
            <v>45882</v>
          </cell>
          <cell r="R972" t="str">
            <v/>
          </cell>
          <cell r="S972" t="str">
            <v/>
          </cell>
          <cell r="T972">
            <v>45849</v>
          </cell>
          <cell r="U972">
            <v>71580</v>
          </cell>
          <cell r="V972">
            <v>52378</v>
          </cell>
          <cell r="W972">
            <v>44893</v>
          </cell>
          <cell r="X972" t="str">
            <v>Lokasi Produksi 588F3B ( pecahan 588F3 ) "J"</v>
          </cell>
          <cell r="Z972">
            <v>8</v>
          </cell>
          <cell r="AA972">
            <v>45882</v>
          </cell>
          <cell r="AM972" t="str">
            <v>OK</v>
          </cell>
          <cell r="AO972">
            <v>11.878518441358029</v>
          </cell>
          <cell r="AP972">
            <v>3.8785184413580289</v>
          </cell>
          <cell r="AQ972">
            <v>45849</v>
          </cell>
          <cell r="AR972">
            <v>7.0333333333333332</v>
          </cell>
          <cell r="AS972">
            <v>4.8451851080246957</v>
          </cell>
          <cell r="AT972">
            <v>45882</v>
          </cell>
          <cell r="AU972">
            <v>4.8451851080246957</v>
          </cell>
          <cell r="AV972">
            <v>211</v>
          </cell>
          <cell r="AW972">
            <v>4.8451851080246957</v>
          </cell>
          <cell r="AY972">
            <v>361.46369178241002</v>
          </cell>
          <cell r="AZ972" t="str">
            <v>F18</v>
          </cell>
          <cell r="BA972">
            <v>3.28</v>
          </cell>
          <cell r="BB972" t="str">
            <v>NSSC</v>
          </cell>
          <cell r="BC972" t="str">
            <v>F18</v>
          </cell>
        </row>
        <row r="973">
          <cell r="A973" t="str">
            <v>588F4A1</v>
          </cell>
          <cell r="B973" t="str">
            <v>3</v>
          </cell>
          <cell r="C973" t="str">
            <v>06</v>
          </cell>
          <cell r="D973">
            <v>21</v>
          </cell>
          <cell r="E973" t="str">
            <v>588F4A1</v>
          </cell>
          <cell r="F973">
            <v>6.69</v>
          </cell>
          <cell r="G973">
            <v>5.41</v>
          </cell>
          <cell r="H973">
            <v>5.41</v>
          </cell>
          <cell r="I973" t="str">
            <v>BK</v>
          </cell>
          <cell r="J973" t="str">
            <v>SC</v>
          </cell>
          <cell r="K973">
            <v>0</v>
          </cell>
          <cell r="L973">
            <v>45984</v>
          </cell>
          <cell r="M973">
            <v>45984</v>
          </cell>
          <cell r="N973">
            <v>10</v>
          </cell>
          <cell r="O973" t="str">
            <v>NS</v>
          </cell>
          <cell r="P973" t="str">
            <v/>
          </cell>
          <cell r="Q973">
            <v>45984</v>
          </cell>
          <cell r="R973" t="str">
            <v/>
          </cell>
          <cell r="S973" t="str">
            <v/>
          </cell>
          <cell r="T973" t="str">
            <v/>
          </cell>
          <cell r="U973">
            <v>71653</v>
          </cell>
          <cell r="V973">
            <v>51924</v>
          </cell>
          <cell r="W973">
            <v>45015</v>
          </cell>
          <cell r="X973" t="str">
            <v>Lokasi Produksi 588F4A1 ( pecahan 588F4 ) ( Gab 588F4A1&amp;A2 )</v>
          </cell>
          <cell r="Z973">
            <v>0</v>
          </cell>
          <cell r="AA973">
            <v>45984</v>
          </cell>
          <cell r="AM973" t="str">
            <v>OK</v>
          </cell>
          <cell r="AO973">
            <v>0.34518510802469488</v>
          </cell>
          <cell r="AP973">
            <v>0.34518510802469488</v>
          </cell>
          <cell r="AQ973">
            <v>0</v>
          </cell>
          <cell r="AR973">
            <v>0.34518510802469488</v>
          </cell>
          <cell r="AS973">
            <v>0</v>
          </cell>
          <cell r="AT973">
            <v>45984</v>
          </cell>
          <cell r="AU973">
            <v>0.34518510802469488</v>
          </cell>
          <cell r="AV973">
            <v>10.355553240740846</v>
          </cell>
          <cell r="AW973">
            <v>0.34518510802469488</v>
          </cell>
          <cell r="AY973">
            <v>15.463691782410024</v>
          </cell>
          <cell r="AZ973" t="str">
            <v>F18</v>
          </cell>
          <cell r="BA973">
            <v>0</v>
          </cell>
          <cell r="BB973" t="str">
            <v>NSBK</v>
          </cell>
          <cell r="BC973" t="str">
            <v>F18</v>
          </cell>
        </row>
        <row r="974">
          <cell r="A974" t="str">
            <v>588F4B</v>
          </cell>
          <cell r="B974" t="str">
            <v>3</v>
          </cell>
          <cell r="C974" t="str">
            <v>06</v>
          </cell>
          <cell r="D974">
            <v>21</v>
          </cell>
          <cell r="E974" t="str">
            <v>588F4B</v>
          </cell>
          <cell r="F974">
            <v>9.69</v>
          </cell>
          <cell r="G974">
            <v>7.77</v>
          </cell>
          <cell r="H974">
            <v>7.77</v>
          </cell>
          <cell r="I974" t="str">
            <v>SC</v>
          </cell>
          <cell r="J974" t="str">
            <v>FC</v>
          </cell>
          <cell r="K974">
            <v>8</v>
          </cell>
          <cell r="L974">
            <v>45639</v>
          </cell>
          <cell r="M974">
            <v>45639</v>
          </cell>
          <cell r="N974">
            <v>355</v>
          </cell>
          <cell r="O974" t="str">
            <v>NS</v>
          </cell>
          <cell r="P974" t="str">
            <v/>
          </cell>
          <cell r="Q974">
            <v>45883</v>
          </cell>
          <cell r="R974" t="str">
            <v/>
          </cell>
          <cell r="S974" t="str">
            <v/>
          </cell>
          <cell r="T974">
            <v>45849</v>
          </cell>
          <cell r="U974">
            <v>72590</v>
          </cell>
          <cell r="V974">
            <v>52387</v>
          </cell>
          <cell r="W974">
            <v>44893</v>
          </cell>
          <cell r="X974" t="str">
            <v>Lokasi Produksi 588F4B ( pecahan 588F4 )</v>
          </cell>
          <cell r="Z974">
            <v>8</v>
          </cell>
          <cell r="AA974">
            <v>45883</v>
          </cell>
          <cell r="AM974" t="str">
            <v>OK</v>
          </cell>
          <cell r="AO974">
            <v>11.845185108024696</v>
          </cell>
          <cell r="AP974">
            <v>3.8451851080246957</v>
          </cell>
          <cell r="AQ974">
            <v>45849</v>
          </cell>
          <cell r="AR974">
            <v>7</v>
          </cell>
          <cell r="AS974">
            <v>4.8451851080246957</v>
          </cell>
          <cell r="AT974">
            <v>45883</v>
          </cell>
          <cell r="AU974">
            <v>4.8451851080246957</v>
          </cell>
          <cell r="AV974">
            <v>210</v>
          </cell>
          <cell r="AW974">
            <v>4.8451851080246957</v>
          </cell>
          <cell r="AY974">
            <v>360.46369178241002</v>
          </cell>
          <cell r="AZ974" t="str">
            <v>F18</v>
          </cell>
          <cell r="BA974">
            <v>7.77</v>
          </cell>
          <cell r="BB974" t="str">
            <v>NSSC</v>
          </cell>
          <cell r="BC974" t="str">
            <v>F18</v>
          </cell>
        </row>
        <row r="975">
          <cell r="A975" t="str">
            <v>589A1</v>
          </cell>
          <cell r="B975" t="str">
            <v>3</v>
          </cell>
          <cell r="C975" t="str">
            <v>06</v>
          </cell>
          <cell r="D975">
            <v>20</v>
          </cell>
          <cell r="E975" t="str">
            <v>589A1</v>
          </cell>
          <cell r="F975">
            <v>6.92</v>
          </cell>
          <cell r="G975">
            <v>5.48</v>
          </cell>
          <cell r="H975">
            <v>5.48</v>
          </cell>
          <cell r="I975" t="str">
            <v>SC</v>
          </cell>
          <cell r="J975" t="str">
            <v>FC</v>
          </cell>
          <cell r="K975">
            <v>8</v>
          </cell>
          <cell r="L975">
            <v>45638</v>
          </cell>
          <cell r="M975">
            <v>45638</v>
          </cell>
          <cell r="N975">
            <v>356</v>
          </cell>
          <cell r="O975" t="str">
            <v>NS</v>
          </cell>
          <cell r="P975" t="str">
            <v/>
          </cell>
          <cell r="Q975">
            <v>45882</v>
          </cell>
          <cell r="R975" t="str">
            <v/>
          </cell>
          <cell r="S975" t="str">
            <v/>
          </cell>
          <cell r="T975">
            <v>45894</v>
          </cell>
          <cell r="U975">
            <v>70951</v>
          </cell>
          <cell r="V975">
            <v>52233</v>
          </cell>
          <cell r="W975">
            <v>44769</v>
          </cell>
          <cell r="X975" t="str">
            <v>Lokasi Produksi 589A1 ( pecahan 589A )</v>
          </cell>
          <cell r="Z975">
            <v>8</v>
          </cell>
          <cell r="AA975">
            <v>45882</v>
          </cell>
          <cell r="AM975" t="str">
            <v>OK</v>
          </cell>
          <cell r="AO975">
            <v>11.878518441358029</v>
          </cell>
          <cell r="AP975">
            <v>3.8785184413580289</v>
          </cell>
          <cell r="AQ975">
            <v>45894</v>
          </cell>
          <cell r="AR975">
            <v>8.5333333333333332</v>
          </cell>
          <cell r="AS975">
            <v>3.3451851080246957</v>
          </cell>
          <cell r="AT975">
            <v>45882</v>
          </cell>
          <cell r="AU975">
            <v>3.3451851080246957</v>
          </cell>
          <cell r="AV975">
            <v>256</v>
          </cell>
          <cell r="AW975">
            <v>3.3451851080246957</v>
          </cell>
          <cell r="AY975">
            <v>361.46369178241002</v>
          </cell>
          <cell r="AZ975" t="str">
            <v>F18</v>
          </cell>
          <cell r="BA975">
            <v>5.48</v>
          </cell>
          <cell r="BB975" t="str">
            <v>NSSC</v>
          </cell>
          <cell r="BC975" t="str">
            <v>F18</v>
          </cell>
        </row>
        <row r="976">
          <cell r="A976" t="str">
            <v>589A2</v>
          </cell>
          <cell r="B976" t="str">
            <v>3</v>
          </cell>
          <cell r="C976" t="str">
            <v>06</v>
          </cell>
          <cell r="D976">
            <v>20</v>
          </cell>
          <cell r="E976" t="str">
            <v>589A2</v>
          </cell>
          <cell r="F976">
            <v>7.74</v>
          </cell>
          <cell r="G976">
            <v>6.03</v>
          </cell>
          <cell r="H976">
            <v>6.03</v>
          </cell>
          <cell r="I976" t="str">
            <v>SC</v>
          </cell>
          <cell r="J976" t="str">
            <v>FC</v>
          </cell>
          <cell r="K976">
            <v>8</v>
          </cell>
          <cell r="L976">
            <v>45635</v>
          </cell>
          <cell r="M976">
            <v>45635</v>
          </cell>
          <cell r="N976">
            <v>359</v>
          </cell>
          <cell r="O976" t="str">
            <v>NS</v>
          </cell>
          <cell r="P976" t="str">
            <v/>
          </cell>
          <cell r="Q976">
            <v>45879</v>
          </cell>
          <cell r="R976" t="str">
            <v/>
          </cell>
          <cell r="S976" t="str">
            <v/>
          </cell>
          <cell r="T976">
            <v>45894</v>
          </cell>
          <cell r="U976">
            <v>70471</v>
          </cell>
          <cell r="V976">
            <v>52341</v>
          </cell>
          <cell r="W976">
            <v>43517</v>
          </cell>
          <cell r="X976" t="str">
            <v>Lokasi Produksi 589A2 ( pecahan 589A )</v>
          </cell>
          <cell r="Z976">
            <v>8</v>
          </cell>
          <cell r="AA976">
            <v>45879</v>
          </cell>
          <cell r="AM976" t="str">
            <v>OK</v>
          </cell>
          <cell r="AO976">
            <v>11.978518441358029</v>
          </cell>
          <cell r="AP976">
            <v>3.9785184413580286</v>
          </cell>
          <cell r="AQ976">
            <v>45894</v>
          </cell>
          <cell r="AR976">
            <v>8.6333333333333329</v>
          </cell>
          <cell r="AS976">
            <v>3.3451851080246957</v>
          </cell>
          <cell r="AT976">
            <v>45879</v>
          </cell>
          <cell r="AU976">
            <v>3.3451851080246957</v>
          </cell>
          <cell r="AV976">
            <v>259</v>
          </cell>
          <cell r="AW976">
            <v>3.3451851080246957</v>
          </cell>
          <cell r="AY976">
            <v>364.46369178241002</v>
          </cell>
          <cell r="AZ976" t="str">
            <v>F18</v>
          </cell>
          <cell r="BA976">
            <v>6.03</v>
          </cell>
          <cell r="BB976" t="str">
            <v>NSSC</v>
          </cell>
          <cell r="BC976" t="str">
            <v>F18</v>
          </cell>
        </row>
        <row r="977">
          <cell r="A977" t="str">
            <v>589AS1</v>
          </cell>
          <cell r="B977" t="str">
            <v>3</v>
          </cell>
          <cell r="C977" t="str">
            <v>06</v>
          </cell>
          <cell r="D977">
            <v>20</v>
          </cell>
          <cell r="E977" t="str">
            <v>589AS1</v>
          </cell>
          <cell r="F977">
            <v>9.31</v>
          </cell>
          <cell r="G977">
            <v>7.81</v>
          </cell>
          <cell r="H977">
            <v>7.81</v>
          </cell>
          <cell r="I977" t="str">
            <v>FC</v>
          </cell>
          <cell r="J977" t="str">
            <v>ST</v>
          </cell>
          <cell r="K977">
            <v>14</v>
          </cell>
          <cell r="L977">
            <v>45830</v>
          </cell>
          <cell r="M977">
            <v>45830</v>
          </cell>
          <cell r="N977">
            <v>164</v>
          </cell>
          <cell r="O977" t="str">
            <v>NS</v>
          </cell>
          <cell r="P977" t="str">
            <v>NSF18CK3</v>
          </cell>
          <cell r="Q977">
            <v>46257</v>
          </cell>
          <cell r="R977" t="str">
            <v/>
          </cell>
          <cell r="S977" t="str">
            <v/>
          </cell>
          <cell r="T977" t="str">
            <v/>
          </cell>
          <cell r="U977">
            <v>55838</v>
          </cell>
          <cell r="V977" t="str">
            <v/>
          </cell>
          <cell r="W977" t="str">
            <v/>
          </cell>
          <cell r="X977" t="str">
            <v>Lokasi Produksi 589AS1</v>
          </cell>
          <cell r="Z977">
            <v>14</v>
          </cell>
          <cell r="AA977">
            <v>46257</v>
          </cell>
          <cell r="AM977" t="str">
            <v>OK</v>
          </cell>
          <cell r="AO977">
            <v>5.4785184413580286</v>
          </cell>
          <cell r="AP977">
            <v>-8.5214815586419714</v>
          </cell>
          <cell r="AQ977">
            <v>0</v>
          </cell>
          <cell r="AR977">
            <v>5.4785184413580286</v>
          </cell>
          <cell r="AS977">
            <v>0</v>
          </cell>
          <cell r="AT977">
            <v>46257</v>
          </cell>
          <cell r="AU977">
            <v>-8.5214815586419714</v>
          </cell>
          <cell r="AV977">
            <v>164.35555324074085</v>
          </cell>
          <cell r="AW977">
            <v>-8.5214815586419714</v>
          </cell>
          <cell r="AY977">
            <v>169.46369178241002</v>
          </cell>
          <cell r="AZ977" t="str">
            <v>F18</v>
          </cell>
          <cell r="BA977">
            <v>7.81</v>
          </cell>
          <cell r="BB977" t="str">
            <v>NSFC</v>
          </cell>
          <cell r="BC977" t="str">
            <v>F18CK</v>
          </cell>
        </row>
        <row r="978">
          <cell r="A978" t="str">
            <v>589B</v>
          </cell>
          <cell r="B978" t="str">
            <v>3</v>
          </cell>
          <cell r="C978" t="str">
            <v>06</v>
          </cell>
          <cell r="D978">
            <v>20</v>
          </cell>
          <cell r="E978" t="str">
            <v>589B</v>
          </cell>
          <cell r="F978">
            <v>11.46</v>
          </cell>
          <cell r="G978">
            <v>9.58</v>
          </cell>
          <cell r="H978">
            <v>9.58</v>
          </cell>
          <cell r="I978" t="str">
            <v>FC</v>
          </cell>
          <cell r="J978" t="str">
            <v>ST</v>
          </cell>
          <cell r="K978">
            <v>14</v>
          </cell>
          <cell r="L978">
            <v>45829</v>
          </cell>
          <cell r="M978">
            <v>45829</v>
          </cell>
          <cell r="N978">
            <v>165</v>
          </cell>
          <cell r="O978" t="str">
            <v>NS</v>
          </cell>
          <cell r="P978" t="str">
            <v>NSGP3CK3</v>
          </cell>
          <cell r="Q978">
            <v>46256</v>
          </cell>
          <cell r="R978" t="str">
            <v/>
          </cell>
          <cell r="S978" t="str">
            <v/>
          </cell>
          <cell r="T978" t="str">
            <v/>
          </cell>
          <cell r="U978">
            <v>66061</v>
          </cell>
          <cell r="V978">
            <v>49249</v>
          </cell>
          <cell r="W978" t="str">
            <v/>
          </cell>
          <cell r="X978" t="str">
            <v>Lokasi Produksi 589B</v>
          </cell>
          <cell r="Z978">
            <v>14</v>
          </cell>
          <cell r="AA978">
            <v>46256</v>
          </cell>
          <cell r="AM978" t="str">
            <v>OK</v>
          </cell>
          <cell r="AO978">
            <v>5.5118517746913618</v>
          </cell>
          <cell r="AP978">
            <v>-8.4881482253086382</v>
          </cell>
          <cell r="AQ978">
            <v>0</v>
          </cell>
          <cell r="AR978">
            <v>5.5118517746913618</v>
          </cell>
          <cell r="AS978">
            <v>0</v>
          </cell>
          <cell r="AT978">
            <v>46256</v>
          </cell>
          <cell r="AU978">
            <v>-8.4881482253086382</v>
          </cell>
          <cell r="AV978">
            <v>165.35555324074085</v>
          </cell>
          <cell r="AW978">
            <v>-8.4881482253086382</v>
          </cell>
          <cell r="AY978">
            <v>170.46369178241002</v>
          </cell>
          <cell r="AZ978" t="str">
            <v>GP3</v>
          </cell>
          <cell r="BA978">
            <v>9.58</v>
          </cell>
          <cell r="BB978" t="str">
            <v>NSFC</v>
          </cell>
          <cell r="BC978" t="str">
            <v>GP3CK</v>
          </cell>
        </row>
        <row r="979">
          <cell r="A979" t="str">
            <v>589C1</v>
          </cell>
          <cell r="B979" t="str">
            <v>3</v>
          </cell>
          <cell r="C979" t="str">
            <v>06</v>
          </cell>
          <cell r="D979">
            <v>20</v>
          </cell>
          <cell r="E979" t="str">
            <v>589C1</v>
          </cell>
          <cell r="F979">
            <v>7.01</v>
          </cell>
          <cell r="G979">
            <v>5.69</v>
          </cell>
          <cell r="H979">
            <v>5.69</v>
          </cell>
          <cell r="I979" t="str">
            <v>BK</v>
          </cell>
          <cell r="J979" t="str">
            <v>BB</v>
          </cell>
          <cell r="K979">
            <v>0</v>
          </cell>
          <cell r="L979">
            <v>45900</v>
          </cell>
          <cell r="M979">
            <v>45900</v>
          </cell>
          <cell r="N979">
            <v>94</v>
          </cell>
          <cell r="O979" t="str">
            <v>NS</v>
          </cell>
          <cell r="P979" t="str">
            <v/>
          </cell>
          <cell r="Q979">
            <v>45900</v>
          </cell>
          <cell r="R979" t="str">
            <v/>
          </cell>
          <cell r="S979" t="str">
            <v/>
          </cell>
          <cell r="T979" t="str">
            <v/>
          </cell>
          <cell r="U979">
            <v>71905</v>
          </cell>
          <cell r="V979">
            <v>75949</v>
          </cell>
          <cell r="W979">
            <v>44862</v>
          </cell>
          <cell r="X979" t="str">
            <v>Lokasi Produksi 589C1 ( pecahan 589C )</v>
          </cell>
          <cell r="Z979">
            <v>0</v>
          </cell>
          <cell r="AA979">
            <v>45900</v>
          </cell>
          <cell r="AM979" t="str">
            <v>OK</v>
          </cell>
          <cell r="AO979">
            <v>3.1451851080246951</v>
          </cell>
          <cell r="AP979">
            <v>3.1451851080246951</v>
          </cell>
          <cell r="AQ979">
            <v>0</v>
          </cell>
          <cell r="AR979">
            <v>3.1451851080246951</v>
          </cell>
          <cell r="AS979">
            <v>0</v>
          </cell>
          <cell r="AT979">
            <v>45900</v>
          </cell>
          <cell r="AU979">
            <v>3.1451851080246951</v>
          </cell>
          <cell r="AV979">
            <v>94.355553240740846</v>
          </cell>
          <cell r="AW979">
            <v>3.1451851080246951</v>
          </cell>
          <cell r="AY979">
            <v>99.463691782410024</v>
          </cell>
          <cell r="AZ979" t="str">
            <v>F18</v>
          </cell>
          <cell r="BA979">
            <v>0</v>
          </cell>
          <cell r="BB979" t="str">
            <v>NSBK</v>
          </cell>
          <cell r="BC979" t="str">
            <v>F18</v>
          </cell>
        </row>
        <row r="980">
          <cell r="A980" t="str">
            <v>589C2</v>
          </cell>
          <cell r="B980" t="str">
            <v>3</v>
          </cell>
          <cell r="C980" t="str">
            <v>06</v>
          </cell>
          <cell r="D980">
            <v>20</v>
          </cell>
          <cell r="E980" t="str">
            <v>589C2</v>
          </cell>
          <cell r="F980">
            <v>9.76</v>
          </cell>
          <cell r="G980">
            <v>7.82</v>
          </cell>
          <cell r="H980">
            <v>7.82</v>
          </cell>
          <cell r="I980" t="str">
            <v>BK</v>
          </cell>
          <cell r="J980" t="str">
            <v>SC</v>
          </cell>
          <cell r="K980">
            <v>0</v>
          </cell>
          <cell r="L980">
            <v>45952</v>
          </cell>
          <cell r="M980">
            <v>45952</v>
          </cell>
          <cell r="N980">
            <v>42</v>
          </cell>
          <cell r="O980" t="str">
            <v>NS</v>
          </cell>
          <cell r="P980" t="str">
            <v/>
          </cell>
          <cell r="Q980">
            <v>45952</v>
          </cell>
          <cell r="R980" t="str">
            <v/>
          </cell>
          <cell r="S980" t="str">
            <v/>
          </cell>
          <cell r="T980" t="str">
            <v/>
          </cell>
          <cell r="U980">
            <v>72728</v>
          </cell>
          <cell r="V980">
            <v>52528</v>
          </cell>
          <cell r="W980">
            <v>44862</v>
          </cell>
          <cell r="X980" t="str">
            <v>Lokasi Produksi 589C2 ( pecahan 589C )</v>
          </cell>
          <cell r="Z980">
            <v>0</v>
          </cell>
          <cell r="AA980">
            <v>45952</v>
          </cell>
          <cell r="AM980" t="str">
            <v>OK</v>
          </cell>
          <cell r="AO980">
            <v>1.4118517746913615</v>
          </cell>
          <cell r="AP980">
            <v>1.4118517746913615</v>
          </cell>
          <cell r="AQ980">
            <v>0</v>
          </cell>
          <cell r="AR980">
            <v>1.4118517746913615</v>
          </cell>
          <cell r="AS980">
            <v>0</v>
          </cell>
          <cell r="AT980">
            <v>45952</v>
          </cell>
          <cell r="AU980">
            <v>1.4118517746913615</v>
          </cell>
          <cell r="AV980">
            <v>42.355553240740846</v>
          </cell>
          <cell r="AW980">
            <v>1.4118517746913615</v>
          </cell>
          <cell r="AY980">
            <v>47.463691782410024</v>
          </cell>
          <cell r="AZ980" t="str">
            <v>F18</v>
          </cell>
          <cell r="BA980">
            <v>0</v>
          </cell>
          <cell r="BB980" t="str">
            <v>NSBK</v>
          </cell>
          <cell r="BC980" t="str">
            <v>F18</v>
          </cell>
        </row>
        <row r="981">
          <cell r="A981" t="str">
            <v>589D4</v>
          </cell>
          <cell r="B981" t="str">
            <v>3</v>
          </cell>
          <cell r="C981" t="str">
            <v>06</v>
          </cell>
          <cell r="D981">
            <v>20</v>
          </cell>
          <cell r="E981" t="str">
            <v>589D4</v>
          </cell>
          <cell r="F981">
            <v>4.18</v>
          </cell>
          <cell r="G981">
            <v>3.51</v>
          </cell>
          <cell r="H981">
            <v>3.51</v>
          </cell>
          <cell r="I981" t="str">
            <v>SC</v>
          </cell>
          <cell r="J981" t="str">
            <v>BB</v>
          </cell>
          <cell r="K981">
            <v>8</v>
          </cell>
          <cell r="L981">
            <v>45955</v>
          </cell>
          <cell r="M981">
            <v>45955</v>
          </cell>
          <cell r="N981">
            <v>39</v>
          </cell>
          <cell r="O981" t="str">
            <v>NS</v>
          </cell>
          <cell r="P981" t="str">
            <v/>
          </cell>
          <cell r="Q981">
            <v>46199</v>
          </cell>
          <cell r="R981" t="str">
            <v/>
          </cell>
          <cell r="S981" t="str">
            <v/>
          </cell>
          <cell r="T981" t="str">
            <v/>
          </cell>
          <cell r="U981">
            <v>70718</v>
          </cell>
          <cell r="V981">
            <v>71300</v>
          </cell>
          <cell r="W981">
            <v>45311</v>
          </cell>
          <cell r="X981" t="str">
            <v>Lokasi Produksi 589D4 (pecahan 589D1)</v>
          </cell>
          <cell r="Z981">
            <v>8</v>
          </cell>
          <cell r="AA981">
            <v>46199</v>
          </cell>
          <cell r="AM981" t="str">
            <v>OK</v>
          </cell>
          <cell r="AO981">
            <v>1.3118517746913616</v>
          </cell>
          <cell r="AP981">
            <v>-6.6881482253086384</v>
          </cell>
          <cell r="AQ981">
            <v>0</v>
          </cell>
          <cell r="AR981">
            <v>1.3118517746913616</v>
          </cell>
          <cell r="AS981">
            <v>0</v>
          </cell>
          <cell r="AT981">
            <v>46199</v>
          </cell>
          <cell r="AU981">
            <v>-6.6881482253086384</v>
          </cell>
          <cell r="AV981">
            <v>39.355553240740846</v>
          </cell>
          <cell r="AW981">
            <v>-6.6881482253086384</v>
          </cell>
          <cell r="AY981">
            <v>44.463691782410024</v>
          </cell>
          <cell r="AZ981" t="str">
            <v>F18</v>
          </cell>
          <cell r="BA981">
            <v>3.51</v>
          </cell>
          <cell r="BB981" t="str">
            <v>NSSC</v>
          </cell>
          <cell r="BC981" t="str">
            <v>F18</v>
          </cell>
        </row>
        <row r="982">
          <cell r="A982" t="str">
            <v>589D5</v>
          </cell>
          <cell r="B982" t="str">
            <v>3</v>
          </cell>
          <cell r="C982" t="str">
            <v>06</v>
          </cell>
          <cell r="D982">
            <v>20</v>
          </cell>
          <cell r="E982" t="str">
            <v>589D5</v>
          </cell>
          <cell r="F982">
            <v>5.48</v>
          </cell>
          <cell r="G982">
            <v>4.6500000000000004</v>
          </cell>
          <cell r="H982">
            <v>4.6500000000000004</v>
          </cell>
          <cell r="I982" t="str">
            <v>BB</v>
          </cell>
          <cell r="J982" t="str">
            <v>SC</v>
          </cell>
          <cell r="K982">
            <v>0</v>
          </cell>
          <cell r="L982">
            <v>45955</v>
          </cell>
          <cell r="M982">
            <v>45955</v>
          </cell>
          <cell r="N982">
            <v>39</v>
          </cell>
          <cell r="O982" t="str">
            <v>NS</v>
          </cell>
          <cell r="P982" t="str">
            <v/>
          </cell>
          <cell r="Q982">
            <v>45955</v>
          </cell>
          <cell r="R982" t="str">
            <v/>
          </cell>
          <cell r="S982" t="str">
            <v/>
          </cell>
          <cell r="T982" t="str">
            <v/>
          </cell>
          <cell r="U982">
            <v>69682</v>
          </cell>
          <cell r="V982">
            <v>72634</v>
          </cell>
          <cell r="W982">
            <v>45311</v>
          </cell>
          <cell r="X982" t="str">
            <v>Lokasi Produksi 589D5 (pecahan 589D1)</v>
          </cell>
          <cell r="Z982">
            <v>0</v>
          </cell>
          <cell r="AA982">
            <v>45955</v>
          </cell>
          <cell r="AM982" t="str">
            <v>OK</v>
          </cell>
          <cell r="AO982">
            <v>1.3118517746913616</v>
          </cell>
          <cell r="AP982">
            <v>1.3118517746913616</v>
          </cell>
          <cell r="AQ982">
            <v>0</v>
          </cell>
          <cell r="AR982">
            <v>1.3118517746913616</v>
          </cell>
          <cell r="AS982">
            <v>0</v>
          </cell>
          <cell r="AT982">
            <v>45955</v>
          </cell>
          <cell r="AU982">
            <v>1.3118517746913616</v>
          </cell>
          <cell r="AV982">
            <v>39.355553240740846</v>
          </cell>
          <cell r="AW982">
            <v>1.3118517746913616</v>
          </cell>
          <cell r="AY982">
            <v>44.463691782410024</v>
          </cell>
          <cell r="AZ982" t="str">
            <v>F18</v>
          </cell>
          <cell r="BA982">
            <v>0</v>
          </cell>
          <cell r="BB982" t="str">
            <v>NSBB</v>
          </cell>
          <cell r="BC982" t="str">
            <v>F18</v>
          </cell>
        </row>
        <row r="983">
          <cell r="A983" t="str">
            <v>589D7</v>
          </cell>
          <cell r="B983" t="str">
            <v>3</v>
          </cell>
          <cell r="C983" t="str">
            <v>06</v>
          </cell>
          <cell r="D983">
            <v>20</v>
          </cell>
          <cell r="E983" t="str">
            <v>589D7</v>
          </cell>
          <cell r="F983">
            <v>7.92</v>
          </cell>
          <cell r="G983">
            <v>6.65</v>
          </cell>
          <cell r="H983">
            <v>6.65</v>
          </cell>
          <cell r="I983" t="str">
            <v>FC</v>
          </cell>
          <cell r="J983" t="str">
            <v>ST</v>
          </cell>
          <cell r="K983">
            <v>10</v>
          </cell>
          <cell r="L983">
            <v>45862</v>
          </cell>
          <cell r="M983">
            <v>45862</v>
          </cell>
          <cell r="N983">
            <v>132</v>
          </cell>
          <cell r="O983" t="str">
            <v>NS</v>
          </cell>
          <cell r="P983" t="str">
            <v>NSGP3SB3</v>
          </cell>
          <cell r="Q983">
            <v>46167</v>
          </cell>
          <cell r="R983" t="str">
            <v/>
          </cell>
          <cell r="S983" t="str">
            <v/>
          </cell>
          <cell r="T983" t="str">
            <v/>
          </cell>
          <cell r="U983">
            <v>69291</v>
          </cell>
          <cell r="V983">
            <v>71524</v>
          </cell>
          <cell r="W983">
            <v>45311</v>
          </cell>
          <cell r="X983" t="str">
            <v>Lokasi Produksi 589D7 (pecahan 589D2)</v>
          </cell>
          <cell r="Z983">
            <v>10</v>
          </cell>
          <cell r="AA983">
            <v>46167</v>
          </cell>
          <cell r="AM983" t="str">
            <v>OK</v>
          </cell>
          <cell r="AO983">
            <v>4.4118517746913612</v>
          </cell>
          <cell r="AP983">
            <v>-5.5881482253086388</v>
          </cell>
          <cell r="AQ983">
            <v>0</v>
          </cell>
          <cell r="AR983">
            <v>4.4118517746913612</v>
          </cell>
          <cell r="AS983">
            <v>0</v>
          </cell>
          <cell r="AT983">
            <v>46167</v>
          </cell>
          <cell r="AU983">
            <v>-5.5881482253086388</v>
          </cell>
          <cell r="AV983">
            <v>132.35555324074085</v>
          </cell>
          <cell r="AW983">
            <v>-5.5881482253086388</v>
          </cell>
          <cell r="AY983">
            <v>137.46369178241002</v>
          </cell>
          <cell r="AZ983" t="str">
            <v>GP3</v>
          </cell>
          <cell r="BA983">
            <v>6.65</v>
          </cell>
          <cell r="BB983" t="str">
            <v>NSFC</v>
          </cell>
          <cell r="BC983" t="str">
            <v>GP3SB</v>
          </cell>
        </row>
        <row r="984">
          <cell r="A984" t="str">
            <v>590A1</v>
          </cell>
          <cell r="B984" t="str">
            <v>3</v>
          </cell>
          <cell r="C984" t="str">
            <v>06</v>
          </cell>
          <cell r="D984">
            <v>20</v>
          </cell>
          <cell r="E984" t="str">
            <v>590A1</v>
          </cell>
          <cell r="F984">
            <v>13.79</v>
          </cell>
          <cell r="G984">
            <v>10.88</v>
          </cell>
          <cell r="H984">
            <v>10.88</v>
          </cell>
          <cell r="I984" t="str">
            <v>BK</v>
          </cell>
          <cell r="J984" t="str">
            <v>SC</v>
          </cell>
          <cell r="K984">
            <v>0</v>
          </cell>
          <cell r="L984">
            <v>45978</v>
          </cell>
          <cell r="M984">
            <v>45978</v>
          </cell>
          <cell r="N984">
            <v>16</v>
          </cell>
          <cell r="O984" t="str">
            <v>NS</v>
          </cell>
          <cell r="P984" t="str">
            <v/>
          </cell>
          <cell r="Q984">
            <v>45978</v>
          </cell>
          <cell r="R984" t="str">
            <v/>
          </cell>
          <cell r="S984" t="str">
            <v/>
          </cell>
          <cell r="T984" t="str">
            <v/>
          </cell>
          <cell r="U984">
            <v>71476</v>
          </cell>
          <cell r="V984">
            <v>52472</v>
          </cell>
          <cell r="W984">
            <v>44769</v>
          </cell>
          <cell r="X984" t="str">
            <v>Lokasi Produksi 590A1 ( pecahan 590A )</v>
          </cell>
          <cell r="Z984">
            <v>0</v>
          </cell>
          <cell r="AA984">
            <v>45978</v>
          </cell>
          <cell r="AM984" t="str">
            <v>OK</v>
          </cell>
          <cell r="AO984">
            <v>0.54518510802469489</v>
          </cell>
          <cell r="AP984">
            <v>0.54518510802469489</v>
          </cell>
          <cell r="AQ984">
            <v>0</v>
          </cell>
          <cell r="AR984">
            <v>0.54518510802469489</v>
          </cell>
          <cell r="AS984">
            <v>0</v>
          </cell>
          <cell r="AT984">
            <v>45978</v>
          </cell>
          <cell r="AU984">
            <v>0.54518510802469489</v>
          </cell>
          <cell r="AV984">
            <v>16.355553240740846</v>
          </cell>
          <cell r="AW984">
            <v>0.54518510802469489</v>
          </cell>
          <cell r="AY984">
            <v>21.463691782410024</v>
          </cell>
          <cell r="AZ984" t="str">
            <v>F18</v>
          </cell>
          <cell r="BA984">
            <v>0</v>
          </cell>
          <cell r="BB984" t="str">
            <v>NSBK</v>
          </cell>
          <cell r="BC984" t="str">
            <v>F18</v>
          </cell>
        </row>
        <row r="985">
          <cell r="A985" t="str">
            <v>590A2</v>
          </cell>
          <cell r="B985" t="str">
            <v>3</v>
          </cell>
          <cell r="C985" t="str">
            <v>06</v>
          </cell>
          <cell r="D985">
            <v>20</v>
          </cell>
          <cell r="E985" t="str">
            <v>590A2</v>
          </cell>
          <cell r="F985">
            <v>6.73</v>
          </cell>
          <cell r="G985">
            <v>5.39</v>
          </cell>
          <cell r="H985">
            <v>5.39</v>
          </cell>
          <cell r="I985" t="str">
            <v>BK</v>
          </cell>
          <cell r="J985" t="str">
            <v>SC</v>
          </cell>
          <cell r="K985">
            <v>0</v>
          </cell>
          <cell r="L985">
            <v>45980</v>
          </cell>
          <cell r="M985">
            <v>45980</v>
          </cell>
          <cell r="N985">
            <v>14</v>
          </cell>
          <cell r="O985" t="str">
            <v>NS</v>
          </cell>
          <cell r="P985" t="str">
            <v/>
          </cell>
          <cell r="Q985">
            <v>45980</v>
          </cell>
          <cell r="R985" t="str">
            <v/>
          </cell>
          <cell r="S985" t="str">
            <v/>
          </cell>
          <cell r="T985" t="str">
            <v/>
          </cell>
          <cell r="U985">
            <v>71766</v>
          </cell>
          <cell r="V985">
            <v>52217</v>
          </cell>
          <cell r="W985">
            <v>45058</v>
          </cell>
          <cell r="X985" t="str">
            <v>Lokasi Produksi 590A2 ( pecahan 590A )</v>
          </cell>
          <cell r="Z985">
            <v>0</v>
          </cell>
          <cell r="AA985">
            <v>45980</v>
          </cell>
          <cell r="AM985" t="str">
            <v>OK</v>
          </cell>
          <cell r="AO985">
            <v>0.47851844135802823</v>
          </cell>
          <cell r="AP985">
            <v>0.47851844135802823</v>
          </cell>
          <cell r="AQ985">
            <v>0</v>
          </cell>
          <cell r="AR985">
            <v>0.47851844135802823</v>
          </cell>
          <cell r="AS985">
            <v>0</v>
          </cell>
          <cell r="AT985">
            <v>45980</v>
          </cell>
          <cell r="AU985">
            <v>0.47851844135802823</v>
          </cell>
          <cell r="AV985">
            <v>14.355553240740846</v>
          </cell>
          <cell r="AW985">
            <v>0.47851844135802823</v>
          </cell>
          <cell r="AY985">
            <v>19.463691782410024</v>
          </cell>
          <cell r="AZ985" t="str">
            <v>F18</v>
          </cell>
          <cell r="BA985">
            <v>0</v>
          </cell>
          <cell r="BB985" t="str">
            <v>NSBK</v>
          </cell>
          <cell r="BC985" t="str">
            <v>F18</v>
          </cell>
        </row>
        <row r="986">
          <cell r="A986" t="str">
            <v>590SS</v>
          </cell>
          <cell r="B986" t="str">
            <v>3</v>
          </cell>
          <cell r="C986" t="str">
            <v>06</v>
          </cell>
          <cell r="D986">
            <v>20</v>
          </cell>
          <cell r="E986" t="str">
            <v>590SS</v>
          </cell>
          <cell r="F986">
            <v>5.69</v>
          </cell>
          <cell r="G986">
            <v>5.52</v>
          </cell>
          <cell r="H986">
            <v>5.52</v>
          </cell>
          <cell r="I986" t="str">
            <v>FC</v>
          </cell>
          <cell r="J986" t="str">
            <v>ST</v>
          </cell>
          <cell r="K986">
            <v>0</v>
          </cell>
          <cell r="L986">
            <v>45625</v>
          </cell>
          <cell r="M986">
            <v>45625</v>
          </cell>
          <cell r="N986">
            <v>369</v>
          </cell>
          <cell r="O986" t="str">
            <v>SK</v>
          </cell>
          <cell r="P986" t="str">
            <v/>
          </cell>
          <cell r="Q986">
            <v>45625</v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>Lokasi Produksi 590ss ( Singkong )</v>
          </cell>
          <cell r="Z986">
            <v>0</v>
          </cell>
          <cell r="AA986">
            <v>45625</v>
          </cell>
          <cell r="AM986" t="str">
            <v>OK</v>
          </cell>
          <cell r="AO986">
            <v>12.311851774691361</v>
          </cell>
          <cell r="AP986">
            <v>12.311851774691361</v>
          </cell>
          <cell r="AQ986">
            <v>0</v>
          </cell>
          <cell r="AR986">
            <v>12.311851774691361</v>
          </cell>
          <cell r="AS986">
            <v>0</v>
          </cell>
          <cell r="AT986">
            <v>45625</v>
          </cell>
          <cell r="AU986">
            <v>12.311851774691361</v>
          </cell>
          <cell r="AV986">
            <v>369.35555324074085</v>
          </cell>
          <cell r="AW986">
            <v>12.311851774691361</v>
          </cell>
          <cell r="AY986">
            <v>374.46369178241002</v>
          </cell>
          <cell r="AZ986" t="str">
            <v>F18</v>
          </cell>
          <cell r="BA986">
            <v>0</v>
          </cell>
          <cell r="BB986" t="str">
            <v>SKFC</v>
          </cell>
          <cell r="BC986" t="str">
            <v>F18</v>
          </cell>
        </row>
        <row r="987">
          <cell r="A987" t="str">
            <v>PSTPG3</v>
          </cell>
          <cell r="B987" t="str">
            <v>3</v>
          </cell>
          <cell r="C987" t="str">
            <v>05</v>
          </cell>
          <cell r="D987">
            <v>16</v>
          </cell>
          <cell r="E987" t="str">
            <v>PSTPG3</v>
          </cell>
          <cell r="F987">
            <v>5</v>
          </cell>
          <cell r="G987">
            <v>5</v>
          </cell>
          <cell r="H987">
            <v>5</v>
          </cell>
          <cell r="I987" t="str">
            <v>TG</v>
          </cell>
          <cell r="J987" t="str">
            <v>TG</v>
          </cell>
          <cell r="K987">
            <v>0</v>
          </cell>
          <cell r="L987">
            <v>45231</v>
          </cell>
          <cell r="M987">
            <v>45231</v>
          </cell>
          <cell r="N987">
            <v>763</v>
          </cell>
          <cell r="O987" t="str">
            <v>SK</v>
          </cell>
          <cell r="P987" t="str">
            <v/>
          </cell>
          <cell r="Q987">
            <v>45231</v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>lokasi pool singkong tanggul PG3</v>
          </cell>
          <cell r="Z987">
            <v>0</v>
          </cell>
          <cell r="AA987">
            <v>45231</v>
          </cell>
          <cell r="AM987" t="str">
            <v>OK</v>
          </cell>
          <cell r="AO987">
            <v>25.445185108024695</v>
          </cell>
          <cell r="AP987">
            <v>25.445185108024695</v>
          </cell>
          <cell r="AQ987">
            <v>0</v>
          </cell>
          <cell r="AR987">
            <v>25.445185108024695</v>
          </cell>
          <cell r="AS987">
            <v>0</v>
          </cell>
          <cell r="AT987">
            <v>45231</v>
          </cell>
          <cell r="AU987">
            <v>25.445185108024695</v>
          </cell>
          <cell r="AV987">
            <v>763.35555324074085</v>
          </cell>
          <cell r="AW987">
            <v>25.445185108024695</v>
          </cell>
          <cell r="AY987">
            <v>768.46369178241002</v>
          </cell>
          <cell r="AZ987" t="str">
            <v>F18</v>
          </cell>
          <cell r="BA987">
            <v>0</v>
          </cell>
          <cell r="BB987" t="str">
            <v>SKTG</v>
          </cell>
          <cell r="BC987" t="str">
            <v>F18</v>
          </cell>
        </row>
        <row r="988">
          <cell r="A988" t="str">
            <v>509W</v>
          </cell>
          <cell r="B988" t="str">
            <v>3</v>
          </cell>
          <cell r="C988" t="str">
            <v>05</v>
          </cell>
          <cell r="D988">
            <v>16</v>
          </cell>
          <cell r="E988" t="str">
            <v>509W</v>
          </cell>
          <cell r="F988">
            <v>0.75</v>
          </cell>
          <cell r="G988">
            <v>0.75</v>
          </cell>
          <cell r="H988">
            <v>0.75</v>
          </cell>
          <cell r="I988" t="str">
            <v>FC</v>
          </cell>
          <cell r="J988" t="str">
            <v/>
          </cell>
          <cell r="K988">
            <v>0</v>
          </cell>
          <cell r="L988">
            <v>45757</v>
          </cell>
          <cell r="M988">
            <v>45757</v>
          </cell>
          <cell r="N988">
            <v>237</v>
          </cell>
          <cell r="O988" t="str">
            <v>TP</v>
          </cell>
          <cell r="P988" t="str">
            <v/>
          </cell>
          <cell r="Q988">
            <v>45757</v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>Lokasi Marginal 509W ( Gamal )</v>
          </cell>
          <cell r="Z988">
            <v>0</v>
          </cell>
          <cell r="AA988">
            <v>45757</v>
          </cell>
          <cell r="AM988" t="str">
            <v>OK</v>
          </cell>
          <cell r="AO988">
            <v>7.9118517746913612</v>
          </cell>
          <cell r="AP988">
            <v>7.9118517746913612</v>
          </cell>
          <cell r="AQ988">
            <v>0</v>
          </cell>
          <cell r="AR988">
            <v>7.9118517746913612</v>
          </cell>
          <cell r="AS988">
            <v>0</v>
          </cell>
          <cell r="AT988">
            <v>45757</v>
          </cell>
          <cell r="AU988">
            <v>7.9118517746913612</v>
          </cell>
          <cell r="AV988">
            <v>237.35555324074085</v>
          </cell>
          <cell r="AW988">
            <v>7.9118517746913612</v>
          </cell>
          <cell r="AY988">
            <v>242.46369178241002</v>
          </cell>
          <cell r="AZ988" t="str">
            <v>F18</v>
          </cell>
          <cell r="BA988">
            <v>0</v>
          </cell>
          <cell r="BB988" t="str">
            <v>TPFC</v>
          </cell>
          <cell r="BC988" t="str">
            <v>F18</v>
          </cell>
        </row>
        <row r="989">
          <cell r="A989" t="str">
            <v>510W</v>
          </cell>
          <cell r="B989" t="str">
            <v>3</v>
          </cell>
          <cell r="C989" t="str">
            <v>05</v>
          </cell>
          <cell r="D989">
            <v>16</v>
          </cell>
          <cell r="E989" t="str">
            <v>510W</v>
          </cell>
          <cell r="F989">
            <v>0.75</v>
          </cell>
          <cell r="G989">
            <v>0.75</v>
          </cell>
          <cell r="H989">
            <v>0.75</v>
          </cell>
          <cell r="I989" t="str">
            <v>FC</v>
          </cell>
          <cell r="J989" t="str">
            <v/>
          </cell>
          <cell r="K989">
            <v>0</v>
          </cell>
          <cell r="L989">
            <v>45775</v>
          </cell>
          <cell r="M989">
            <v>45775</v>
          </cell>
          <cell r="N989">
            <v>219</v>
          </cell>
          <cell r="O989" t="str">
            <v>TP</v>
          </cell>
          <cell r="P989" t="str">
            <v/>
          </cell>
          <cell r="Q989">
            <v>45775</v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>Lokasi Marginal 510W ( Gamal )</v>
          </cell>
          <cell r="Z989">
            <v>0</v>
          </cell>
          <cell r="AA989">
            <v>45775</v>
          </cell>
          <cell r="AM989" t="str">
            <v>OK</v>
          </cell>
          <cell r="AO989">
            <v>7.3118517746913616</v>
          </cell>
          <cell r="AP989">
            <v>7.3118517746913616</v>
          </cell>
          <cell r="AQ989">
            <v>0</v>
          </cell>
          <cell r="AR989">
            <v>7.3118517746913616</v>
          </cell>
          <cell r="AS989">
            <v>0</v>
          </cell>
          <cell r="AT989">
            <v>45775</v>
          </cell>
          <cell r="AU989">
            <v>7.3118517746913616</v>
          </cell>
          <cell r="AV989">
            <v>219.35555324074085</v>
          </cell>
          <cell r="AW989">
            <v>7.3118517746913616</v>
          </cell>
          <cell r="AY989">
            <v>224.46369178241002</v>
          </cell>
          <cell r="AZ989" t="str">
            <v>F18</v>
          </cell>
          <cell r="BA989">
            <v>0</v>
          </cell>
          <cell r="BB989" t="str">
            <v>TPFC</v>
          </cell>
          <cell r="BC989" t="str">
            <v>F18</v>
          </cell>
        </row>
        <row r="990">
          <cell r="A990" t="str">
            <v/>
          </cell>
          <cell r="B990" t="str">
            <v>3</v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>
            <v>0</v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e">
            <v>#VALUE!</v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Z990">
            <v>0</v>
          </cell>
          <cell r="AA990" t="e">
            <v>#VALUE!</v>
          </cell>
          <cell r="AM990" t="str">
            <v/>
          </cell>
          <cell r="AO990" t="e">
            <v>#VALUE!</v>
          </cell>
          <cell r="AP990" t="e">
            <v>#VALUE!</v>
          </cell>
          <cell r="AQ990">
            <v>0</v>
          </cell>
          <cell r="AR990" t="e">
            <v>#VALUE!</v>
          </cell>
          <cell r="AS990" t="e">
            <v>#VALUE!</v>
          </cell>
          <cell r="AT990" t="e">
            <v>#VALUE!</v>
          </cell>
          <cell r="AU990" t="e">
            <v>#VALUE!</v>
          </cell>
          <cell r="AV990" t="e">
            <v>#VALUE!</v>
          </cell>
          <cell r="AW990" t="e">
            <v>#VALUE!</v>
          </cell>
          <cell r="AY990" t="e">
            <v>#VALUE!</v>
          </cell>
          <cell r="AZ990" t="str">
            <v>F18</v>
          </cell>
          <cell r="BA990">
            <v>0</v>
          </cell>
          <cell r="BB990" t="str">
            <v/>
          </cell>
          <cell r="BC990" t="str">
            <v>F18</v>
          </cell>
        </row>
        <row r="991">
          <cell r="A991" t="str">
            <v/>
          </cell>
          <cell r="B991" t="str">
            <v>3</v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>
            <v>0</v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e">
            <v>#VALUE!</v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Z991">
            <v>0</v>
          </cell>
          <cell r="AA991" t="e">
            <v>#VALUE!</v>
          </cell>
          <cell r="AM991" t="str">
            <v/>
          </cell>
          <cell r="AO991" t="e">
            <v>#VALUE!</v>
          </cell>
          <cell r="AP991" t="e">
            <v>#VALUE!</v>
          </cell>
          <cell r="AQ991">
            <v>0</v>
          </cell>
          <cell r="AR991" t="e">
            <v>#VALUE!</v>
          </cell>
          <cell r="AS991" t="e">
            <v>#VALUE!</v>
          </cell>
          <cell r="AT991" t="e">
            <v>#VALUE!</v>
          </cell>
          <cell r="AU991" t="e">
            <v>#VALUE!</v>
          </cell>
          <cell r="AV991" t="e">
            <v>#VALUE!</v>
          </cell>
          <cell r="AW991" t="e">
            <v>#VALUE!</v>
          </cell>
          <cell r="AY991" t="e">
            <v>#VALUE!</v>
          </cell>
          <cell r="AZ991" t="str">
            <v>F18</v>
          </cell>
          <cell r="BA991">
            <v>0</v>
          </cell>
          <cell r="BB991" t="str">
            <v/>
          </cell>
          <cell r="BC991" t="str">
            <v>F18</v>
          </cell>
        </row>
        <row r="992">
          <cell r="A992" t="str">
            <v/>
          </cell>
          <cell r="B992" t="str">
            <v>3</v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>
            <v>0</v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e">
            <v>#VALUE!</v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Z992">
            <v>0</v>
          </cell>
          <cell r="AA992" t="e">
            <v>#VALUE!</v>
          </cell>
          <cell r="AM992" t="str">
            <v/>
          </cell>
          <cell r="AO992" t="e">
            <v>#VALUE!</v>
          </cell>
          <cell r="AP992" t="e">
            <v>#VALUE!</v>
          </cell>
          <cell r="AQ992">
            <v>0</v>
          </cell>
          <cell r="AR992" t="e">
            <v>#VALUE!</v>
          </cell>
          <cell r="AS992" t="e">
            <v>#VALUE!</v>
          </cell>
          <cell r="AT992" t="e">
            <v>#VALUE!</v>
          </cell>
          <cell r="AU992" t="e">
            <v>#VALUE!</v>
          </cell>
          <cell r="AV992" t="e">
            <v>#VALUE!</v>
          </cell>
          <cell r="AW992" t="e">
            <v>#VALUE!</v>
          </cell>
          <cell r="AY992" t="e">
            <v>#VALUE!</v>
          </cell>
          <cell r="AZ992" t="str">
            <v>F18</v>
          </cell>
          <cell r="BA992">
            <v>0</v>
          </cell>
          <cell r="BB992" t="str">
            <v/>
          </cell>
          <cell r="BC992" t="str">
            <v>F18</v>
          </cell>
        </row>
        <row r="993">
          <cell r="A993" t="str">
            <v/>
          </cell>
          <cell r="B993" t="str">
            <v>3</v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>
            <v>0</v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e">
            <v>#VALUE!</v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Z993">
            <v>0</v>
          </cell>
          <cell r="AA993" t="e">
            <v>#VALUE!</v>
          </cell>
          <cell r="AM993" t="str">
            <v/>
          </cell>
          <cell r="AO993" t="e">
            <v>#VALUE!</v>
          </cell>
          <cell r="AP993" t="e">
            <v>#VALUE!</v>
          </cell>
          <cell r="AQ993">
            <v>0</v>
          </cell>
          <cell r="AR993" t="e">
            <v>#VALUE!</v>
          </cell>
          <cell r="AS993" t="e">
            <v>#VALUE!</v>
          </cell>
          <cell r="AT993" t="e">
            <v>#VALUE!</v>
          </cell>
          <cell r="AU993" t="e">
            <v>#VALUE!</v>
          </cell>
          <cell r="AV993" t="e">
            <v>#VALUE!</v>
          </cell>
          <cell r="AW993" t="e">
            <v>#VALUE!</v>
          </cell>
          <cell r="AY993" t="e">
            <v>#VALUE!</v>
          </cell>
          <cell r="AZ993" t="str">
            <v>F18</v>
          </cell>
          <cell r="BA993">
            <v>0</v>
          </cell>
          <cell r="BB993" t="str">
            <v/>
          </cell>
          <cell r="BC993" t="str">
            <v>F18</v>
          </cell>
        </row>
        <row r="994">
          <cell r="A994" t="str">
            <v/>
          </cell>
          <cell r="B994" t="str">
            <v>3</v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>
            <v>0</v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e">
            <v>#VALUE!</v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Z994">
            <v>0</v>
          </cell>
          <cell r="AA994" t="e">
            <v>#VALUE!</v>
          </cell>
          <cell r="AM994" t="str">
            <v/>
          </cell>
          <cell r="AO994" t="e">
            <v>#VALUE!</v>
          </cell>
          <cell r="AP994" t="e">
            <v>#VALUE!</v>
          </cell>
          <cell r="AQ994">
            <v>0</v>
          </cell>
          <cell r="AR994" t="e">
            <v>#VALUE!</v>
          </cell>
          <cell r="AS994" t="e">
            <v>#VALUE!</v>
          </cell>
          <cell r="AT994" t="e">
            <v>#VALUE!</v>
          </cell>
          <cell r="AU994" t="e">
            <v>#VALUE!</v>
          </cell>
          <cell r="AV994" t="e">
            <v>#VALUE!</v>
          </cell>
          <cell r="AW994" t="e">
            <v>#VALUE!</v>
          </cell>
          <cell r="AY994" t="e">
            <v>#VALUE!</v>
          </cell>
          <cell r="AZ994" t="str">
            <v>F18</v>
          </cell>
          <cell r="BA994">
            <v>0</v>
          </cell>
          <cell r="BB994" t="str">
            <v/>
          </cell>
          <cell r="BC994" t="str">
            <v>F18</v>
          </cell>
        </row>
        <row r="995">
          <cell r="A995" t="str">
            <v/>
          </cell>
          <cell r="B995" t="str">
            <v>3</v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>
            <v>0</v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e">
            <v>#VALUE!</v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Z995">
            <v>0</v>
          </cell>
          <cell r="AA995" t="e">
            <v>#VALUE!</v>
          </cell>
          <cell r="AM995" t="str">
            <v/>
          </cell>
          <cell r="AO995" t="e">
            <v>#VALUE!</v>
          </cell>
          <cell r="AP995" t="e">
            <v>#VALUE!</v>
          </cell>
          <cell r="AQ995">
            <v>0</v>
          </cell>
          <cell r="AR995" t="e">
            <v>#VALUE!</v>
          </cell>
          <cell r="AS995" t="e">
            <v>#VALUE!</v>
          </cell>
          <cell r="AT995" t="e">
            <v>#VALUE!</v>
          </cell>
          <cell r="AU995" t="e">
            <v>#VALUE!</v>
          </cell>
          <cell r="AV995" t="e">
            <v>#VALUE!</v>
          </cell>
          <cell r="AW995" t="e">
            <v>#VALUE!</v>
          </cell>
          <cell r="AY995" t="e">
            <v>#VALUE!</v>
          </cell>
          <cell r="AZ995" t="str">
            <v>F18</v>
          </cell>
          <cell r="BA995">
            <v>0</v>
          </cell>
          <cell r="BB995" t="str">
            <v/>
          </cell>
          <cell r="BC995" t="str">
            <v>F18</v>
          </cell>
        </row>
        <row r="996">
          <cell r="A996" t="str">
            <v/>
          </cell>
          <cell r="B996" t="str">
            <v>3</v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>
            <v>0</v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e">
            <v>#VALUE!</v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Z996">
            <v>0</v>
          </cell>
          <cell r="AA996" t="e">
            <v>#VALUE!</v>
          </cell>
          <cell r="AM996" t="str">
            <v/>
          </cell>
          <cell r="AO996" t="e">
            <v>#VALUE!</v>
          </cell>
          <cell r="AP996" t="e">
            <v>#VALUE!</v>
          </cell>
          <cell r="AQ996">
            <v>0</v>
          </cell>
          <cell r="AR996" t="e">
            <v>#VALUE!</v>
          </cell>
          <cell r="AS996" t="e">
            <v>#VALUE!</v>
          </cell>
          <cell r="AT996" t="e">
            <v>#VALUE!</v>
          </cell>
          <cell r="AU996" t="e">
            <v>#VALUE!</v>
          </cell>
          <cell r="AV996" t="e">
            <v>#VALUE!</v>
          </cell>
          <cell r="AW996" t="e">
            <v>#VALUE!</v>
          </cell>
          <cell r="AY996" t="e">
            <v>#VALUE!</v>
          </cell>
          <cell r="AZ996" t="str">
            <v>F18</v>
          </cell>
          <cell r="BA996">
            <v>0</v>
          </cell>
          <cell r="BB996" t="str">
            <v/>
          </cell>
          <cell r="BC996" t="str">
            <v>F18</v>
          </cell>
        </row>
        <row r="997">
          <cell r="A997" t="str">
            <v/>
          </cell>
          <cell r="B997" t="str">
            <v>3</v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>
            <v>0</v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e">
            <v>#VALUE!</v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Z997">
            <v>0</v>
          </cell>
          <cell r="AA997" t="e">
            <v>#VALUE!</v>
          </cell>
          <cell r="AM997" t="str">
            <v/>
          </cell>
          <cell r="AO997" t="e">
            <v>#VALUE!</v>
          </cell>
          <cell r="AP997" t="e">
            <v>#VALUE!</v>
          </cell>
          <cell r="AQ997">
            <v>0</v>
          </cell>
          <cell r="AR997" t="e">
            <v>#VALUE!</v>
          </cell>
          <cell r="AS997" t="e">
            <v>#VALUE!</v>
          </cell>
          <cell r="AT997" t="e">
            <v>#VALUE!</v>
          </cell>
          <cell r="AU997" t="e">
            <v>#VALUE!</v>
          </cell>
          <cell r="AV997" t="e">
            <v>#VALUE!</v>
          </cell>
          <cell r="AW997" t="e">
            <v>#VALUE!</v>
          </cell>
          <cell r="AY997" t="e">
            <v>#VALUE!</v>
          </cell>
          <cell r="AZ997" t="str">
            <v>F18</v>
          </cell>
          <cell r="BA997">
            <v>0</v>
          </cell>
          <cell r="BB997" t="str">
            <v/>
          </cell>
          <cell r="BC997" t="str">
            <v>F18</v>
          </cell>
        </row>
        <row r="998">
          <cell r="A998" t="str">
            <v/>
          </cell>
          <cell r="B998" t="str">
            <v>3</v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>
            <v>0</v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e">
            <v>#VALUE!</v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Z998">
            <v>0</v>
          </cell>
          <cell r="AA998" t="e">
            <v>#VALUE!</v>
          </cell>
          <cell r="AM998" t="str">
            <v/>
          </cell>
          <cell r="AO998" t="e">
            <v>#VALUE!</v>
          </cell>
          <cell r="AP998" t="e">
            <v>#VALUE!</v>
          </cell>
          <cell r="AQ998">
            <v>0</v>
          </cell>
          <cell r="AR998" t="e">
            <v>#VALUE!</v>
          </cell>
          <cell r="AS998" t="e">
            <v>#VALUE!</v>
          </cell>
          <cell r="AT998" t="e">
            <v>#VALUE!</v>
          </cell>
          <cell r="AU998" t="e">
            <v>#VALUE!</v>
          </cell>
          <cell r="AV998" t="e">
            <v>#VALUE!</v>
          </cell>
          <cell r="AW998" t="e">
            <v>#VALUE!</v>
          </cell>
          <cell r="AY998" t="e">
            <v>#VALUE!</v>
          </cell>
          <cell r="AZ998" t="str">
            <v>F18</v>
          </cell>
          <cell r="BA998">
            <v>0</v>
          </cell>
          <cell r="BB998" t="str">
            <v/>
          </cell>
          <cell r="BC998" t="str">
            <v>F18</v>
          </cell>
        </row>
        <row r="999">
          <cell r="A999" t="str">
            <v/>
          </cell>
          <cell r="B999" t="str">
            <v>3</v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>
            <v>0</v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e">
            <v>#VALUE!</v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X999" t="str">
            <v/>
          </cell>
          <cell r="Z999">
            <v>0</v>
          </cell>
          <cell r="AA999" t="e">
            <v>#VALUE!</v>
          </cell>
          <cell r="AM999" t="str">
            <v/>
          </cell>
          <cell r="AO999" t="e">
            <v>#VALUE!</v>
          </cell>
          <cell r="AP999" t="e">
            <v>#VALUE!</v>
          </cell>
          <cell r="AQ999">
            <v>0</v>
          </cell>
          <cell r="AR999" t="e">
            <v>#VALUE!</v>
          </cell>
          <cell r="AS999" t="e">
            <v>#VALUE!</v>
          </cell>
          <cell r="AT999" t="e">
            <v>#VALUE!</v>
          </cell>
          <cell r="AU999" t="e">
            <v>#VALUE!</v>
          </cell>
          <cell r="AV999" t="e">
            <v>#VALUE!</v>
          </cell>
          <cell r="AW999" t="e">
            <v>#VALUE!</v>
          </cell>
          <cell r="AY999" t="e">
            <v>#VALUE!</v>
          </cell>
          <cell r="AZ999" t="str">
            <v>F18</v>
          </cell>
          <cell r="BA999">
            <v>0</v>
          </cell>
          <cell r="BB999" t="str">
            <v/>
          </cell>
          <cell r="BC999" t="str">
            <v>F18</v>
          </cell>
        </row>
        <row r="1000">
          <cell r="A1000" t="str">
            <v/>
          </cell>
          <cell r="B1000" t="str">
            <v>3</v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>
            <v>0</v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e">
            <v>#VALUE!</v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X1000" t="str">
            <v/>
          </cell>
          <cell r="Z1000">
            <v>0</v>
          </cell>
          <cell r="AA1000" t="e">
            <v>#VALUE!</v>
          </cell>
          <cell r="AM1000" t="str">
            <v/>
          </cell>
          <cell r="AO1000" t="e">
            <v>#VALUE!</v>
          </cell>
          <cell r="AP1000" t="e">
            <v>#VALUE!</v>
          </cell>
          <cell r="AQ1000">
            <v>0</v>
          </cell>
          <cell r="AR1000" t="e">
            <v>#VALUE!</v>
          </cell>
          <cell r="AS1000" t="e">
            <v>#VALUE!</v>
          </cell>
          <cell r="AT1000" t="e">
            <v>#VALUE!</v>
          </cell>
          <cell r="AU1000" t="e">
            <v>#VALUE!</v>
          </cell>
          <cell r="AV1000" t="e">
            <v>#VALUE!</v>
          </cell>
          <cell r="AW1000" t="e">
            <v>#VALUE!</v>
          </cell>
          <cell r="AY1000" t="e">
            <v>#VALUE!</v>
          </cell>
          <cell r="AZ1000" t="str">
            <v>F18</v>
          </cell>
          <cell r="BA1000">
            <v>0</v>
          </cell>
          <cell r="BB1000" t="str">
            <v/>
          </cell>
          <cell r="BC1000" t="str">
            <v>F18</v>
          </cell>
        </row>
        <row r="1001">
          <cell r="A1001" t="str">
            <v/>
          </cell>
          <cell r="B1001" t="str">
            <v>3</v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>
            <v>0</v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e">
            <v>#VALUE!</v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X1001" t="str">
            <v/>
          </cell>
          <cell r="Z1001">
            <v>0</v>
          </cell>
          <cell r="AA1001" t="e">
            <v>#VALUE!</v>
          </cell>
          <cell r="AM1001" t="str">
            <v/>
          </cell>
          <cell r="AO1001" t="e">
            <v>#VALUE!</v>
          </cell>
          <cell r="AP1001" t="e">
            <v>#VALUE!</v>
          </cell>
          <cell r="AQ1001">
            <v>0</v>
          </cell>
          <cell r="AR1001" t="e">
            <v>#VALUE!</v>
          </cell>
          <cell r="AS1001" t="e">
            <v>#VALUE!</v>
          </cell>
          <cell r="AT1001" t="e">
            <v>#VALUE!</v>
          </cell>
          <cell r="AU1001" t="e">
            <v>#VALUE!</v>
          </cell>
          <cell r="AV1001" t="e">
            <v>#VALUE!</v>
          </cell>
          <cell r="AW1001" t="e">
            <v>#VALUE!</v>
          </cell>
          <cell r="AY1001" t="e">
            <v>#VALUE!</v>
          </cell>
          <cell r="AZ1001" t="str">
            <v>F18</v>
          </cell>
          <cell r="BA1001">
            <v>0</v>
          </cell>
          <cell r="BB1001" t="str">
            <v/>
          </cell>
          <cell r="BC1001" t="str">
            <v>F18</v>
          </cell>
        </row>
        <row r="1002">
          <cell r="A1002" t="str">
            <v/>
          </cell>
          <cell r="B1002" t="str">
            <v>3</v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>
            <v>0</v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e">
            <v>#VALUE!</v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X1002" t="str">
            <v/>
          </cell>
          <cell r="Z1002">
            <v>0</v>
          </cell>
          <cell r="AA1002" t="e">
            <v>#VALUE!</v>
          </cell>
          <cell r="AM1002" t="str">
            <v/>
          </cell>
          <cell r="AO1002" t="e">
            <v>#VALUE!</v>
          </cell>
          <cell r="AP1002" t="e">
            <v>#VALUE!</v>
          </cell>
          <cell r="AQ1002">
            <v>0</v>
          </cell>
          <cell r="AR1002" t="e">
            <v>#VALUE!</v>
          </cell>
          <cell r="AS1002" t="e">
            <v>#VALUE!</v>
          </cell>
          <cell r="AT1002" t="e">
            <v>#VALUE!</v>
          </cell>
          <cell r="AU1002" t="e">
            <v>#VALUE!</v>
          </cell>
          <cell r="AV1002" t="e">
            <v>#VALUE!</v>
          </cell>
          <cell r="AW1002" t="e">
            <v>#VALUE!</v>
          </cell>
          <cell r="AY1002" t="e">
            <v>#VALUE!</v>
          </cell>
          <cell r="AZ1002" t="str">
            <v>F18</v>
          </cell>
          <cell r="BA1002">
            <v>0</v>
          </cell>
          <cell r="BB1002" t="str">
            <v/>
          </cell>
          <cell r="BC1002" t="str">
            <v>F18</v>
          </cell>
        </row>
        <row r="1003">
          <cell r="A1003" t="str">
            <v/>
          </cell>
          <cell r="B1003" t="str">
            <v>3</v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>
            <v>0</v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e">
            <v>#VALUE!</v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X1003" t="str">
            <v/>
          </cell>
          <cell r="Z1003">
            <v>0</v>
          </cell>
          <cell r="AA1003" t="e">
            <v>#VALUE!</v>
          </cell>
          <cell r="AM1003" t="str">
            <v/>
          </cell>
          <cell r="AO1003" t="e">
            <v>#VALUE!</v>
          </cell>
          <cell r="AP1003" t="e">
            <v>#VALUE!</v>
          </cell>
          <cell r="AQ1003">
            <v>0</v>
          </cell>
          <cell r="AR1003" t="e">
            <v>#VALUE!</v>
          </cell>
          <cell r="AS1003" t="e">
            <v>#VALUE!</v>
          </cell>
          <cell r="AT1003" t="e">
            <v>#VALUE!</v>
          </cell>
          <cell r="AU1003" t="e">
            <v>#VALUE!</v>
          </cell>
          <cell r="AV1003" t="e">
            <v>#VALUE!</v>
          </cell>
          <cell r="AW1003" t="e">
            <v>#VALUE!</v>
          </cell>
          <cell r="AY1003" t="e">
            <v>#VALUE!</v>
          </cell>
          <cell r="AZ1003" t="str">
            <v>F18</v>
          </cell>
          <cell r="BA1003">
            <v>0</v>
          </cell>
          <cell r="BB1003" t="str">
            <v/>
          </cell>
          <cell r="BC1003" t="str">
            <v>F18</v>
          </cell>
        </row>
        <row r="1004">
          <cell r="A1004" t="str">
            <v/>
          </cell>
          <cell r="B1004" t="str">
            <v>3</v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>
            <v>0</v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e">
            <v>#VALUE!</v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X1004" t="str">
            <v/>
          </cell>
          <cell r="Z1004">
            <v>0</v>
          </cell>
          <cell r="AA1004" t="e">
            <v>#VALUE!</v>
          </cell>
          <cell r="AM1004" t="str">
            <v/>
          </cell>
          <cell r="AO1004" t="e">
            <v>#VALUE!</v>
          </cell>
          <cell r="AP1004" t="e">
            <v>#VALUE!</v>
          </cell>
          <cell r="AQ1004">
            <v>0</v>
          </cell>
          <cell r="AR1004" t="e">
            <v>#VALUE!</v>
          </cell>
          <cell r="AS1004" t="e">
            <v>#VALUE!</v>
          </cell>
          <cell r="AT1004" t="e">
            <v>#VALUE!</v>
          </cell>
          <cell r="AU1004" t="e">
            <v>#VALUE!</v>
          </cell>
          <cell r="AV1004" t="e">
            <v>#VALUE!</v>
          </cell>
          <cell r="AW1004" t="e">
            <v>#VALUE!</v>
          </cell>
          <cell r="AY1004" t="e">
            <v>#VALUE!</v>
          </cell>
          <cell r="AZ1004" t="str">
            <v>F18</v>
          </cell>
          <cell r="BA1004">
            <v>0</v>
          </cell>
          <cell r="BB1004" t="str">
            <v/>
          </cell>
          <cell r="BC1004" t="str">
            <v>F18</v>
          </cell>
        </row>
        <row r="1005">
          <cell r="A1005" t="str">
            <v/>
          </cell>
          <cell r="B1005" t="str">
            <v>3</v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>
            <v>0</v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e">
            <v>#VALUE!</v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 t="str">
            <v/>
          </cell>
          <cell r="Z1005">
            <v>0</v>
          </cell>
          <cell r="AA1005" t="e">
            <v>#VALUE!</v>
          </cell>
          <cell r="AM1005" t="str">
            <v/>
          </cell>
          <cell r="AO1005" t="e">
            <v>#VALUE!</v>
          </cell>
          <cell r="AP1005" t="e">
            <v>#VALUE!</v>
          </cell>
          <cell r="AQ1005">
            <v>0</v>
          </cell>
          <cell r="AR1005" t="e">
            <v>#VALUE!</v>
          </cell>
          <cell r="AS1005" t="e">
            <v>#VALUE!</v>
          </cell>
          <cell r="AT1005" t="e">
            <v>#VALUE!</v>
          </cell>
          <cell r="AU1005" t="e">
            <v>#VALUE!</v>
          </cell>
          <cell r="AV1005" t="e">
            <v>#VALUE!</v>
          </cell>
          <cell r="AW1005" t="e">
            <v>#VALUE!</v>
          </cell>
          <cell r="AY1005" t="e">
            <v>#VALUE!</v>
          </cell>
          <cell r="AZ1005" t="str">
            <v>F18</v>
          </cell>
          <cell r="BA1005">
            <v>0</v>
          </cell>
          <cell r="BB1005" t="str">
            <v/>
          </cell>
          <cell r="BC1005" t="str">
            <v>F18</v>
          </cell>
        </row>
        <row r="1006">
          <cell r="A1006" t="str">
            <v/>
          </cell>
          <cell r="B1006" t="str">
            <v>3</v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>
            <v>0</v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e">
            <v>#VALUE!</v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 t="str">
            <v/>
          </cell>
          <cell r="Z1006">
            <v>0</v>
          </cell>
          <cell r="AA1006" t="e">
            <v>#VALUE!</v>
          </cell>
          <cell r="AM1006" t="str">
            <v/>
          </cell>
          <cell r="AO1006" t="e">
            <v>#VALUE!</v>
          </cell>
          <cell r="AP1006" t="e">
            <v>#VALUE!</v>
          </cell>
          <cell r="AQ1006">
            <v>0</v>
          </cell>
          <cell r="AR1006" t="e">
            <v>#VALUE!</v>
          </cell>
          <cell r="AS1006" t="e">
            <v>#VALUE!</v>
          </cell>
          <cell r="AT1006" t="e">
            <v>#VALUE!</v>
          </cell>
          <cell r="AU1006" t="e">
            <v>#VALUE!</v>
          </cell>
          <cell r="AV1006" t="e">
            <v>#VALUE!</v>
          </cell>
          <cell r="AW1006" t="e">
            <v>#VALUE!</v>
          </cell>
          <cell r="AY1006" t="e">
            <v>#VALUE!</v>
          </cell>
          <cell r="AZ1006" t="str">
            <v>F18</v>
          </cell>
          <cell r="BA1006">
            <v>0</v>
          </cell>
          <cell r="BB1006" t="str">
            <v/>
          </cell>
          <cell r="BC1006" t="str">
            <v>F18</v>
          </cell>
        </row>
        <row r="1007">
          <cell r="A1007" t="str">
            <v/>
          </cell>
          <cell r="B1007" t="str">
            <v>3</v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>
            <v>0</v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e">
            <v>#VALUE!</v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 t="str">
            <v/>
          </cell>
          <cell r="Z1007">
            <v>0</v>
          </cell>
          <cell r="AA1007" t="e">
            <v>#VALUE!</v>
          </cell>
          <cell r="AM1007" t="str">
            <v/>
          </cell>
          <cell r="AO1007" t="e">
            <v>#VALUE!</v>
          </cell>
          <cell r="AP1007" t="e">
            <v>#VALUE!</v>
          </cell>
          <cell r="AQ1007">
            <v>0</v>
          </cell>
          <cell r="AR1007" t="e">
            <v>#VALUE!</v>
          </cell>
          <cell r="AS1007" t="e">
            <v>#VALUE!</v>
          </cell>
          <cell r="AT1007" t="e">
            <v>#VALUE!</v>
          </cell>
          <cell r="AU1007" t="e">
            <v>#VALUE!</v>
          </cell>
          <cell r="AV1007" t="e">
            <v>#VALUE!</v>
          </cell>
          <cell r="AW1007" t="e">
            <v>#VALUE!</v>
          </cell>
          <cell r="AY1007" t="e">
            <v>#VALUE!</v>
          </cell>
          <cell r="AZ1007" t="str">
            <v>F18</v>
          </cell>
          <cell r="BA1007">
            <v>0</v>
          </cell>
          <cell r="BB1007" t="str">
            <v/>
          </cell>
          <cell r="BC1007" t="str">
            <v>F18</v>
          </cell>
        </row>
        <row r="1008">
          <cell r="A1008" t="str">
            <v/>
          </cell>
          <cell r="B1008" t="str">
            <v>3</v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>
            <v>0</v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e">
            <v>#VALUE!</v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/>
          </cell>
          <cell r="W1008" t="str">
            <v/>
          </cell>
          <cell r="X1008" t="str">
            <v/>
          </cell>
          <cell r="Z1008">
            <v>0</v>
          </cell>
          <cell r="AA1008" t="e">
            <v>#VALUE!</v>
          </cell>
          <cell r="AM1008" t="str">
            <v/>
          </cell>
          <cell r="AO1008" t="e">
            <v>#VALUE!</v>
          </cell>
          <cell r="AP1008" t="e">
            <v>#VALUE!</v>
          </cell>
          <cell r="AQ1008">
            <v>0</v>
          </cell>
          <cell r="AR1008" t="e">
            <v>#VALUE!</v>
          </cell>
          <cell r="AS1008" t="e">
            <v>#VALUE!</v>
          </cell>
          <cell r="AT1008" t="e">
            <v>#VALUE!</v>
          </cell>
          <cell r="AU1008" t="e">
            <v>#VALUE!</v>
          </cell>
          <cell r="AV1008" t="e">
            <v>#VALUE!</v>
          </cell>
          <cell r="AW1008" t="e">
            <v>#VALUE!</v>
          </cell>
          <cell r="AY1008" t="e">
            <v>#VALUE!</v>
          </cell>
          <cell r="AZ1008" t="str">
            <v>F18</v>
          </cell>
          <cell r="BA1008">
            <v>0</v>
          </cell>
          <cell r="BB1008" t="str">
            <v/>
          </cell>
          <cell r="BC1008" t="str">
            <v>F18</v>
          </cell>
        </row>
        <row r="1009">
          <cell r="A1009" t="str">
            <v/>
          </cell>
          <cell r="B1009" t="str">
            <v>3</v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>
            <v>0</v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e">
            <v>#VALUE!</v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/>
          </cell>
          <cell r="W1009" t="str">
            <v/>
          </cell>
          <cell r="X1009" t="str">
            <v/>
          </cell>
          <cell r="Z1009">
            <v>0</v>
          </cell>
          <cell r="AA1009" t="e">
            <v>#VALUE!</v>
          </cell>
          <cell r="AM1009" t="str">
            <v/>
          </cell>
          <cell r="AO1009" t="e">
            <v>#VALUE!</v>
          </cell>
          <cell r="AP1009" t="e">
            <v>#VALUE!</v>
          </cell>
          <cell r="AQ1009">
            <v>0</v>
          </cell>
          <cell r="AR1009" t="e">
            <v>#VALUE!</v>
          </cell>
          <cell r="AS1009" t="e">
            <v>#VALUE!</v>
          </cell>
          <cell r="AT1009" t="e">
            <v>#VALUE!</v>
          </cell>
          <cell r="AU1009" t="e">
            <v>#VALUE!</v>
          </cell>
          <cell r="AV1009" t="e">
            <v>#VALUE!</v>
          </cell>
          <cell r="AW1009" t="e">
            <v>#VALUE!</v>
          </cell>
          <cell r="AY1009" t="e">
            <v>#VALUE!</v>
          </cell>
          <cell r="AZ1009" t="str">
            <v>F18</v>
          </cell>
          <cell r="BA1009">
            <v>0</v>
          </cell>
          <cell r="BB1009" t="str">
            <v/>
          </cell>
          <cell r="BC1009" t="str">
            <v>F18</v>
          </cell>
        </row>
        <row r="1010">
          <cell r="A1010" t="str">
            <v/>
          </cell>
          <cell r="B1010" t="str">
            <v>3</v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>
            <v>0</v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e">
            <v>#VALUE!</v>
          </cell>
          <cell r="R1010" t="str">
            <v/>
          </cell>
          <cell r="S1010" t="str">
            <v/>
          </cell>
          <cell r="T1010" t="str">
            <v/>
          </cell>
          <cell r="U1010" t="str">
            <v/>
          </cell>
          <cell r="V1010" t="str">
            <v/>
          </cell>
          <cell r="W1010" t="str">
            <v/>
          </cell>
          <cell r="X1010" t="str">
            <v/>
          </cell>
          <cell r="Z1010">
            <v>0</v>
          </cell>
          <cell r="AA1010" t="e">
            <v>#VALUE!</v>
          </cell>
          <cell r="AM1010" t="str">
            <v/>
          </cell>
          <cell r="AO1010" t="e">
            <v>#VALUE!</v>
          </cell>
          <cell r="AP1010" t="e">
            <v>#VALUE!</v>
          </cell>
          <cell r="AQ1010">
            <v>0</v>
          </cell>
          <cell r="AR1010" t="e">
            <v>#VALUE!</v>
          </cell>
          <cell r="AS1010" t="e">
            <v>#VALUE!</v>
          </cell>
          <cell r="AT1010" t="e">
            <v>#VALUE!</v>
          </cell>
          <cell r="AU1010" t="e">
            <v>#VALUE!</v>
          </cell>
          <cell r="AV1010" t="e">
            <v>#VALUE!</v>
          </cell>
          <cell r="AW1010" t="e">
            <v>#VALUE!</v>
          </cell>
          <cell r="AY1010" t="e">
            <v>#VALUE!</v>
          </cell>
          <cell r="AZ1010" t="str">
            <v>F18</v>
          </cell>
          <cell r="BA1010">
            <v>0</v>
          </cell>
          <cell r="BB1010" t="str">
            <v/>
          </cell>
          <cell r="BC1010" t="str">
            <v>F18</v>
          </cell>
        </row>
        <row r="1011">
          <cell r="A1011" t="str">
            <v/>
          </cell>
          <cell r="B1011" t="str">
            <v>3</v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>
            <v>0</v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e">
            <v>#VALUE!</v>
          </cell>
          <cell r="R1011" t="str">
            <v/>
          </cell>
          <cell r="S1011" t="str">
            <v/>
          </cell>
          <cell r="T1011" t="str">
            <v/>
          </cell>
          <cell r="U1011" t="str">
            <v/>
          </cell>
          <cell r="V1011" t="str">
            <v/>
          </cell>
          <cell r="W1011" t="str">
            <v/>
          </cell>
          <cell r="X1011" t="str">
            <v/>
          </cell>
          <cell r="Z1011">
            <v>0</v>
          </cell>
          <cell r="AA1011" t="e">
            <v>#VALUE!</v>
          </cell>
          <cell r="AM1011" t="str">
            <v/>
          </cell>
          <cell r="AO1011" t="e">
            <v>#VALUE!</v>
          </cell>
          <cell r="AP1011" t="e">
            <v>#VALUE!</v>
          </cell>
          <cell r="AQ1011">
            <v>0</v>
          </cell>
          <cell r="AR1011" t="e">
            <v>#VALUE!</v>
          </cell>
          <cell r="AS1011" t="e">
            <v>#VALUE!</v>
          </cell>
          <cell r="AT1011" t="e">
            <v>#VALUE!</v>
          </cell>
          <cell r="AU1011" t="e">
            <v>#VALUE!</v>
          </cell>
          <cell r="AV1011" t="e">
            <v>#VALUE!</v>
          </cell>
          <cell r="AW1011" t="e">
            <v>#VALUE!</v>
          </cell>
          <cell r="AY1011" t="e">
            <v>#VALUE!</v>
          </cell>
          <cell r="AZ1011" t="str">
            <v>F18</v>
          </cell>
          <cell r="BA1011">
            <v>0</v>
          </cell>
          <cell r="BB1011" t="str">
            <v/>
          </cell>
          <cell r="BC1011" t="str">
            <v>F18</v>
          </cell>
        </row>
        <row r="1012">
          <cell r="A1012" t="str">
            <v/>
          </cell>
          <cell r="B1012" t="str">
            <v>3</v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>
            <v>0</v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e">
            <v>#VALUE!</v>
          </cell>
          <cell r="R1012" t="str">
            <v/>
          </cell>
          <cell r="S1012" t="str">
            <v/>
          </cell>
          <cell r="T1012" t="str">
            <v/>
          </cell>
          <cell r="U1012" t="str">
            <v/>
          </cell>
          <cell r="V1012" t="str">
            <v/>
          </cell>
          <cell r="W1012" t="str">
            <v/>
          </cell>
          <cell r="X1012" t="str">
            <v/>
          </cell>
          <cell r="Z1012">
            <v>0</v>
          </cell>
          <cell r="AA1012" t="e">
            <v>#VALUE!</v>
          </cell>
          <cell r="AM1012" t="str">
            <v/>
          </cell>
          <cell r="AO1012" t="e">
            <v>#VALUE!</v>
          </cell>
          <cell r="AP1012" t="e">
            <v>#VALUE!</v>
          </cell>
          <cell r="AQ1012">
            <v>0</v>
          </cell>
          <cell r="AR1012" t="e">
            <v>#VALUE!</v>
          </cell>
          <cell r="AS1012" t="e">
            <v>#VALUE!</v>
          </cell>
          <cell r="AT1012" t="e">
            <v>#VALUE!</v>
          </cell>
          <cell r="AU1012" t="e">
            <v>#VALUE!</v>
          </cell>
          <cell r="AV1012" t="e">
            <v>#VALUE!</v>
          </cell>
          <cell r="AW1012" t="e">
            <v>#VALUE!</v>
          </cell>
          <cell r="AY1012" t="e">
            <v>#VALUE!</v>
          </cell>
          <cell r="AZ1012" t="str">
            <v>F18</v>
          </cell>
          <cell r="BA1012">
            <v>0</v>
          </cell>
          <cell r="BB1012" t="str">
            <v/>
          </cell>
          <cell r="BC1012" t="str">
            <v>F18</v>
          </cell>
        </row>
        <row r="1013">
          <cell r="A1013" t="str">
            <v/>
          </cell>
          <cell r="B1013" t="str">
            <v>3</v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>
            <v>0</v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e">
            <v>#VALUE!</v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 t="str">
            <v/>
          </cell>
          <cell r="W1013" t="str">
            <v/>
          </cell>
          <cell r="X1013" t="str">
            <v/>
          </cell>
          <cell r="Z1013">
            <v>0</v>
          </cell>
          <cell r="AA1013" t="e">
            <v>#VALUE!</v>
          </cell>
          <cell r="AM1013" t="str">
            <v/>
          </cell>
          <cell r="AO1013" t="e">
            <v>#VALUE!</v>
          </cell>
          <cell r="AP1013" t="e">
            <v>#VALUE!</v>
          </cell>
          <cell r="AQ1013">
            <v>0</v>
          </cell>
          <cell r="AR1013" t="e">
            <v>#VALUE!</v>
          </cell>
          <cell r="AS1013" t="e">
            <v>#VALUE!</v>
          </cell>
          <cell r="AT1013" t="e">
            <v>#VALUE!</v>
          </cell>
          <cell r="AU1013" t="e">
            <v>#VALUE!</v>
          </cell>
          <cell r="AV1013" t="e">
            <v>#VALUE!</v>
          </cell>
          <cell r="AW1013" t="e">
            <v>#VALUE!</v>
          </cell>
          <cell r="AY1013" t="e">
            <v>#VALUE!</v>
          </cell>
          <cell r="AZ1013" t="str">
            <v>F18</v>
          </cell>
          <cell r="BA1013">
            <v>0</v>
          </cell>
          <cell r="BB1013" t="str">
            <v/>
          </cell>
          <cell r="BC1013" t="str">
            <v>F18</v>
          </cell>
        </row>
        <row r="1014">
          <cell r="A1014" t="str">
            <v/>
          </cell>
          <cell r="B1014" t="str">
            <v>3</v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>
            <v>0</v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e">
            <v>#VALUE!</v>
          </cell>
          <cell r="R1014" t="str">
            <v/>
          </cell>
          <cell r="S1014" t="str">
            <v/>
          </cell>
          <cell r="T1014" t="str">
            <v/>
          </cell>
          <cell r="U1014" t="str">
            <v/>
          </cell>
          <cell r="V1014" t="str">
            <v/>
          </cell>
          <cell r="W1014" t="str">
            <v/>
          </cell>
          <cell r="X1014" t="str">
            <v/>
          </cell>
          <cell r="Z1014">
            <v>0</v>
          </cell>
          <cell r="AA1014" t="e">
            <v>#VALUE!</v>
          </cell>
          <cell r="AM1014" t="str">
            <v/>
          </cell>
          <cell r="AO1014" t="e">
            <v>#VALUE!</v>
          </cell>
          <cell r="AP1014" t="e">
            <v>#VALUE!</v>
          </cell>
          <cell r="AQ1014">
            <v>0</v>
          </cell>
          <cell r="AR1014" t="e">
            <v>#VALUE!</v>
          </cell>
          <cell r="AS1014" t="e">
            <v>#VALUE!</v>
          </cell>
          <cell r="AT1014" t="e">
            <v>#VALUE!</v>
          </cell>
          <cell r="AU1014" t="e">
            <v>#VALUE!</v>
          </cell>
          <cell r="AV1014" t="e">
            <v>#VALUE!</v>
          </cell>
          <cell r="AW1014" t="e">
            <v>#VALUE!</v>
          </cell>
          <cell r="AY1014" t="e">
            <v>#VALUE!</v>
          </cell>
          <cell r="AZ1014" t="str">
            <v>F18</v>
          </cell>
          <cell r="BA1014">
            <v>0</v>
          </cell>
          <cell r="BB1014" t="str">
            <v/>
          </cell>
          <cell r="BC1014" t="str">
            <v>F18</v>
          </cell>
        </row>
        <row r="1015">
          <cell r="A1015" t="str">
            <v/>
          </cell>
          <cell r="B1015" t="str">
            <v>3</v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>
            <v>0</v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e">
            <v>#VALUE!</v>
          </cell>
          <cell r="R1015" t="str">
            <v/>
          </cell>
          <cell r="S1015" t="str">
            <v/>
          </cell>
          <cell r="T1015" t="str">
            <v/>
          </cell>
          <cell r="U1015" t="str">
            <v/>
          </cell>
          <cell r="V1015" t="str">
            <v/>
          </cell>
          <cell r="W1015" t="str">
            <v/>
          </cell>
          <cell r="X1015" t="str">
            <v/>
          </cell>
          <cell r="Z1015">
            <v>0</v>
          </cell>
          <cell r="AA1015" t="e">
            <v>#VALUE!</v>
          </cell>
          <cell r="AM1015" t="str">
            <v/>
          </cell>
          <cell r="AO1015" t="e">
            <v>#VALUE!</v>
          </cell>
          <cell r="AP1015" t="e">
            <v>#VALUE!</v>
          </cell>
          <cell r="AQ1015">
            <v>0</v>
          </cell>
          <cell r="AR1015" t="e">
            <v>#VALUE!</v>
          </cell>
          <cell r="AS1015" t="e">
            <v>#VALUE!</v>
          </cell>
          <cell r="AT1015" t="e">
            <v>#VALUE!</v>
          </cell>
          <cell r="AU1015" t="e">
            <v>#VALUE!</v>
          </cell>
          <cell r="AV1015" t="e">
            <v>#VALUE!</v>
          </cell>
          <cell r="AW1015" t="e">
            <v>#VALUE!</v>
          </cell>
          <cell r="AY1015" t="e">
            <v>#VALUE!</v>
          </cell>
          <cell r="AZ1015" t="str">
            <v>F18</v>
          </cell>
          <cell r="BA1015">
            <v>0</v>
          </cell>
          <cell r="BB1015" t="str">
            <v/>
          </cell>
          <cell r="BC1015" t="str">
            <v>F18</v>
          </cell>
        </row>
        <row r="1016">
          <cell r="A1016" t="str">
            <v/>
          </cell>
          <cell r="B1016" t="str">
            <v>3</v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>
            <v>0</v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e">
            <v>#VALUE!</v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/>
          </cell>
          <cell r="W1016" t="str">
            <v/>
          </cell>
          <cell r="X1016" t="str">
            <v/>
          </cell>
          <cell r="Z1016">
            <v>0</v>
          </cell>
          <cell r="AA1016" t="e">
            <v>#VALUE!</v>
          </cell>
          <cell r="AM1016" t="str">
            <v/>
          </cell>
          <cell r="AO1016" t="e">
            <v>#VALUE!</v>
          </cell>
          <cell r="AP1016" t="e">
            <v>#VALUE!</v>
          </cell>
          <cell r="AQ1016">
            <v>0</v>
          </cell>
          <cell r="AR1016" t="e">
            <v>#VALUE!</v>
          </cell>
          <cell r="AS1016" t="e">
            <v>#VALUE!</v>
          </cell>
          <cell r="AT1016" t="e">
            <v>#VALUE!</v>
          </cell>
          <cell r="AU1016" t="e">
            <v>#VALUE!</v>
          </cell>
          <cell r="AV1016" t="e">
            <v>#VALUE!</v>
          </cell>
          <cell r="AW1016" t="e">
            <v>#VALUE!</v>
          </cell>
          <cell r="AY1016" t="e">
            <v>#VALUE!</v>
          </cell>
          <cell r="AZ1016" t="str">
            <v>F18</v>
          </cell>
          <cell r="BA1016">
            <v>0</v>
          </cell>
          <cell r="BB1016" t="str">
            <v/>
          </cell>
          <cell r="BC1016" t="str">
            <v>F18</v>
          </cell>
        </row>
        <row r="1017">
          <cell r="A1017" t="str">
            <v/>
          </cell>
          <cell r="B1017" t="str">
            <v>3</v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>
            <v>0</v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e">
            <v>#VALUE!</v>
          </cell>
          <cell r="R1017" t="str">
            <v/>
          </cell>
          <cell r="S1017" t="str">
            <v/>
          </cell>
          <cell r="T1017" t="str">
            <v/>
          </cell>
          <cell r="U1017" t="str">
            <v/>
          </cell>
          <cell r="V1017" t="str">
            <v/>
          </cell>
          <cell r="W1017" t="str">
            <v/>
          </cell>
          <cell r="X1017" t="str">
            <v/>
          </cell>
          <cell r="Z1017">
            <v>0</v>
          </cell>
          <cell r="AA1017" t="e">
            <v>#VALUE!</v>
          </cell>
          <cell r="AM1017" t="str">
            <v/>
          </cell>
          <cell r="AO1017" t="e">
            <v>#VALUE!</v>
          </cell>
          <cell r="AP1017" t="e">
            <v>#VALUE!</v>
          </cell>
          <cell r="AQ1017">
            <v>0</v>
          </cell>
          <cell r="AR1017" t="e">
            <v>#VALUE!</v>
          </cell>
          <cell r="AS1017" t="e">
            <v>#VALUE!</v>
          </cell>
          <cell r="AT1017" t="e">
            <v>#VALUE!</v>
          </cell>
          <cell r="AU1017" t="e">
            <v>#VALUE!</v>
          </cell>
          <cell r="AV1017" t="e">
            <v>#VALUE!</v>
          </cell>
          <cell r="AW1017" t="e">
            <v>#VALUE!</v>
          </cell>
          <cell r="AY1017" t="e">
            <v>#VALUE!</v>
          </cell>
          <cell r="AZ1017" t="str">
            <v>F18</v>
          </cell>
          <cell r="BA1017">
            <v>0</v>
          </cell>
          <cell r="BB1017" t="str">
            <v/>
          </cell>
          <cell r="BC1017" t="str">
            <v>F18</v>
          </cell>
        </row>
        <row r="1018">
          <cell r="A1018" t="str">
            <v/>
          </cell>
          <cell r="B1018" t="str">
            <v>3</v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>
            <v>0</v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e">
            <v>#VALUE!</v>
          </cell>
          <cell r="R1018" t="str">
            <v/>
          </cell>
          <cell r="S1018" t="str">
            <v/>
          </cell>
          <cell r="T1018" t="str">
            <v/>
          </cell>
          <cell r="U1018" t="str">
            <v/>
          </cell>
          <cell r="V1018" t="str">
            <v/>
          </cell>
          <cell r="W1018" t="str">
            <v/>
          </cell>
          <cell r="X1018" t="str">
            <v/>
          </cell>
          <cell r="Z1018">
            <v>0</v>
          </cell>
          <cell r="AA1018" t="e">
            <v>#VALUE!</v>
          </cell>
          <cell r="AM1018" t="str">
            <v/>
          </cell>
          <cell r="AO1018" t="e">
            <v>#VALUE!</v>
          </cell>
          <cell r="AP1018" t="e">
            <v>#VALUE!</v>
          </cell>
          <cell r="AQ1018">
            <v>0</v>
          </cell>
          <cell r="AR1018" t="e">
            <v>#VALUE!</v>
          </cell>
          <cell r="AS1018" t="e">
            <v>#VALUE!</v>
          </cell>
          <cell r="AT1018" t="e">
            <v>#VALUE!</v>
          </cell>
          <cell r="AU1018" t="e">
            <v>#VALUE!</v>
          </cell>
          <cell r="AV1018" t="e">
            <v>#VALUE!</v>
          </cell>
          <cell r="AW1018" t="e">
            <v>#VALUE!</v>
          </cell>
          <cell r="AY1018" t="e">
            <v>#VALUE!</v>
          </cell>
          <cell r="AZ1018" t="str">
            <v>F18</v>
          </cell>
          <cell r="BA1018">
            <v>0</v>
          </cell>
          <cell r="BB1018" t="str">
            <v/>
          </cell>
          <cell r="BC1018" t="str">
            <v>F18</v>
          </cell>
        </row>
        <row r="1019">
          <cell r="A1019" t="str">
            <v/>
          </cell>
          <cell r="B1019" t="str">
            <v>3</v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>
            <v>0</v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e">
            <v>#VALUE!</v>
          </cell>
          <cell r="R1019" t="str">
            <v/>
          </cell>
          <cell r="S1019" t="str">
            <v/>
          </cell>
          <cell r="T1019" t="str">
            <v/>
          </cell>
          <cell r="U1019" t="str">
            <v/>
          </cell>
          <cell r="V1019" t="str">
            <v/>
          </cell>
          <cell r="W1019" t="str">
            <v/>
          </cell>
          <cell r="X1019" t="str">
            <v/>
          </cell>
          <cell r="Z1019">
            <v>0</v>
          </cell>
          <cell r="AA1019" t="e">
            <v>#VALUE!</v>
          </cell>
          <cell r="AM1019" t="str">
            <v/>
          </cell>
          <cell r="AO1019" t="e">
            <v>#VALUE!</v>
          </cell>
          <cell r="AP1019" t="e">
            <v>#VALUE!</v>
          </cell>
          <cell r="AQ1019">
            <v>0</v>
          </cell>
          <cell r="AR1019" t="e">
            <v>#VALUE!</v>
          </cell>
          <cell r="AS1019" t="e">
            <v>#VALUE!</v>
          </cell>
          <cell r="AT1019" t="e">
            <v>#VALUE!</v>
          </cell>
          <cell r="AU1019" t="e">
            <v>#VALUE!</v>
          </cell>
          <cell r="AV1019" t="e">
            <v>#VALUE!</v>
          </cell>
          <cell r="AW1019" t="e">
            <v>#VALUE!</v>
          </cell>
          <cell r="AY1019" t="e">
            <v>#VALUE!</v>
          </cell>
          <cell r="AZ1019" t="str">
            <v>F18</v>
          </cell>
          <cell r="BA1019">
            <v>0</v>
          </cell>
          <cell r="BB1019" t="str">
            <v/>
          </cell>
          <cell r="BC1019" t="str">
            <v>F18</v>
          </cell>
        </row>
        <row r="1020">
          <cell r="A1020" t="str">
            <v/>
          </cell>
          <cell r="B1020" t="str">
            <v>3</v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>
            <v>0</v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e">
            <v>#VALUE!</v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/>
          </cell>
          <cell r="X1020" t="str">
            <v/>
          </cell>
          <cell r="Z1020">
            <v>0</v>
          </cell>
          <cell r="AA1020" t="e">
            <v>#VALUE!</v>
          </cell>
          <cell r="AM1020" t="str">
            <v/>
          </cell>
          <cell r="AO1020" t="e">
            <v>#VALUE!</v>
          </cell>
          <cell r="AP1020" t="e">
            <v>#VALUE!</v>
          </cell>
          <cell r="AQ1020">
            <v>0</v>
          </cell>
          <cell r="AR1020" t="e">
            <v>#VALUE!</v>
          </cell>
          <cell r="AS1020" t="e">
            <v>#VALUE!</v>
          </cell>
          <cell r="AT1020" t="e">
            <v>#VALUE!</v>
          </cell>
          <cell r="AU1020" t="e">
            <v>#VALUE!</v>
          </cell>
          <cell r="AV1020" t="e">
            <v>#VALUE!</v>
          </cell>
          <cell r="AW1020" t="e">
            <v>#VALUE!</v>
          </cell>
          <cell r="AY1020" t="e">
            <v>#VALUE!</v>
          </cell>
          <cell r="AZ1020" t="str">
            <v>F18</v>
          </cell>
          <cell r="BA1020">
            <v>0</v>
          </cell>
          <cell r="BB1020" t="str">
            <v/>
          </cell>
          <cell r="BC1020" t="str">
            <v>F18</v>
          </cell>
        </row>
        <row r="1021">
          <cell r="A1021" t="str">
            <v/>
          </cell>
          <cell r="B1021" t="str">
            <v>3</v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>
            <v>0</v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e">
            <v>#VALUE!</v>
          </cell>
          <cell r="R1021" t="str">
            <v/>
          </cell>
          <cell r="S1021" t="str">
            <v/>
          </cell>
          <cell r="T1021" t="str">
            <v/>
          </cell>
          <cell r="U1021" t="str">
            <v/>
          </cell>
          <cell r="V1021" t="str">
            <v/>
          </cell>
          <cell r="W1021" t="str">
            <v/>
          </cell>
          <cell r="X1021" t="str">
            <v/>
          </cell>
          <cell r="Z1021">
            <v>0</v>
          </cell>
          <cell r="AA1021" t="e">
            <v>#VALUE!</v>
          </cell>
          <cell r="AM1021" t="str">
            <v/>
          </cell>
          <cell r="AO1021" t="e">
            <v>#VALUE!</v>
          </cell>
          <cell r="AP1021" t="e">
            <v>#VALUE!</v>
          </cell>
          <cell r="AQ1021">
            <v>0</v>
          </cell>
          <cell r="AR1021" t="e">
            <v>#VALUE!</v>
          </cell>
          <cell r="AS1021" t="e">
            <v>#VALUE!</v>
          </cell>
          <cell r="AT1021" t="e">
            <v>#VALUE!</v>
          </cell>
          <cell r="AU1021" t="e">
            <v>#VALUE!</v>
          </cell>
          <cell r="AV1021" t="e">
            <v>#VALUE!</v>
          </cell>
          <cell r="AW1021" t="e">
            <v>#VALUE!</v>
          </cell>
          <cell r="AY1021" t="e">
            <v>#VALUE!</v>
          </cell>
          <cell r="AZ1021" t="str">
            <v>F18</v>
          </cell>
          <cell r="BA1021">
            <v>0</v>
          </cell>
          <cell r="BB1021" t="str">
            <v/>
          </cell>
          <cell r="BC1021" t="str">
            <v>F18</v>
          </cell>
        </row>
        <row r="1022">
          <cell r="A1022" t="str">
            <v/>
          </cell>
          <cell r="B1022" t="str">
            <v>3</v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>
            <v>0</v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e">
            <v>#VALUE!</v>
          </cell>
          <cell r="R1022" t="str">
            <v/>
          </cell>
          <cell r="S1022" t="str">
            <v/>
          </cell>
          <cell r="T1022" t="str">
            <v/>
          </cell>
          <cell r="U1022" t="str">
            <v/>
          </cell>
          <cell r="V1022" t="str">
            <v/>
          </cell>
          <cell r="W1022" t="str">
            <v/>
          </cell>
          <cell r="X1022" t="str">
            <v/>
          </cell>
          <cell r="Z1022">
            <v>0</v>
          </cell>
          <cell r="AA1022" t="e">
            <v>#VALUE!</v>
          </cell>
          <cell r="AM1022" t="str">
            <v/>
          </cell>
          <cell r="AO1022" t="e">
            <v>#VALUE!</v>
          </cell>
          <cell r="AP1022" t="e">
            <v>#VALUE!</v>
          </cell>
          <cell r="AQ1022">
            <v>0</v>
          </cell>
          <cell r="AR1022" t="e">
            <v>#VALUE!</v>
          </cell>
          <cell r="AS1022" t="e">
            <v>#VALUE!</v>
          </cell>
          <cell r="AT1022" t="e">
            <v>#VALUE!</v>
          </cell>
          <cell r="AU1022" t="e">
            <v>#VALUE!</v>
          </cell>
          <cell r="AV1022" t="e">
            <v>#VALUE!</v>
          </cell>
          <cell r="AW1022" t="e">
            <v>#VALUE!</v>
          </cell>
          <cell r="AY1022" t="e">
            <v>#VALUE!</v>
          </cell>
          <cell r="AZ1022" t="str">
            <v>F18</v>
          </cell>
          <cell r="BA1022">
            <v>0</v>
          </cell>
          <cell r="BB1022" t="str">
            <v/>
          </cell>
          <cell r="BC1022" t="str">
            <v>F18</v>
          </cell>
        </row>
        <row r="1023">
          <cell r="A1023" t="str">
            <v/>
          </cell>
          <cell r="B1023" t="str">
            <v>3</v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>
            <v>0</v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e">
            <v>#VALUE!</v>
          </cell>
          <cell r="R1023" t="str">
            <v/>
          </cell>
          <cell r="S1023" t="str">
            <v/>
          </cell>
          <cell r="T1023" t="str">
            <v/>
          </cell>
          <cell r="U1023" t="str">
            <v/>
          </cell>
          <cell r="V1023" t="str">
            <v/>
          </cell>
          <cell r="W1023" t="str">
            <v/>
          </cell>
          <cell r="X1023" t="str">
            <v/>
          </cell>
          <cell r="Z1023">
            <v>0</v>
          </cell>
          <cell r="AA1023" t="e">
            <v>#VALUE!</v>
          </cell>
          <cell r="AM1023" t="str">
            <v/>
          </cell>
          <cell r="AO1023" t="e">
            <v>#VALUE!</v>
          </cell>
          <cell r="AP1023" t="e">
            <v>#VALUE!</v>
          </cell>
          <cell r="AQ1023">
            <v>0</v>
          </cell>
          <cell r="AR1023" t="e">
            <v>#VALUE!</v>
          </cell>
          <cell r="AS1023" t="e">
            <v>#VALUE!</v>
          </cell>
          <cell r="AT1023" t="e">
            <v>#VALUE!</v>
          </cell>
          <cell r="AU1023" t="e">
            <v>#VALUE!</v>
          </cell>
          <cell r="AV1023" t="e">
            <v>#VALUE!</v>
          </cell>
          <cell r="AW1023" t="e">
            <v>#VALUE!</v>
          </cell>
          <cell r="AY1023" t="e">
            <v>#VALUE!</v>
          </cell>
          <cell r="AZ1023" t="str">
            <v>F18</v>
          </cell>
          <cell r="BA1023">
            <v>0</v>
          </cell>
          <cell r="BB1023" t="str">
            <v/>
          </cell>
          <cell r="BC1023" t="str">
            <v>F18</v>
          </cell>
        </row>
        <row r="1024">
          <cell r="A1024" t="str">
            <v/>
          </cell>
          <cell r="B1024" t="str">
            <v>3</v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>
            <v>0</v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e">
            <v>#VALUE!</v>
          </cell>
          <cell r="R1024" t="str">
            <v/>
          </cell>
          <cell r="S1024" t="str">
            <v/>
          </cell>
          <cell r="T1024" t="str">
            <v/>
          </cell>
          <cell r="U1024" t="str">
            <v/>
          </cell>
          <cell r="V1024" t="str">
            <v/>
          </cell>
          <cell r="W1024" t="str">
            <v/>
          </cell>
          <cell r="X1024" t="str">
            <v/>
          </cell>
          <cell r="Z1024">
            <v>0</v>
          </cell>
          <cell r="AA1024" t="e">
            <v>#VALUE!</v>
          </cell>
          <cell r="AM1024" t="str">
            <v/>
          </cell>
          <cell r="AO1024" t="e">
            <v>#VALUE!</v>
          </cell>
          <cell r="AP1024" t="e">
            <v>#VALUE!</v>
          </cell>
          <cell r="AQ1024">
            <v>0</v>
          </cell>
          <cell r="AR1024" t="e">
            <v>#VALUE!</v>
          </cell>
          <cell r="AS1024" t="e">
            <v>#VALUE!</v>
          </cell>
          <cell r="AT1024" t="e">
            <v>#VALUE!</v>
          </cell>
          <cell r="AU1024" t="e">
            <v>#VALUE!</v>
          </cell>
          <cell r="AV1024" t="e">
            <v>#VALUE!</v>
          </cell>
          <cell r="AW1024" t="e">
            <v>#VALUE!</v>
          </cell>
          <cell r="AY1024" t="e">
            <v>#VALUE!</v>
          </cell>
          <cell r="AZ1024" t="str">
            <v>F18</v>
          </cell>
          <cell r="BA1024">
            <v>0</v>
          </cell>
          <cell r="BB1024" t="str">
            <v/>
          </cell>
          <cell r="BC1024" t="str">
            <v>F18</v>
          </cell>
        </row>
        <row r="1025">
          <cell r="A1025" t="str">
            <v/>
          </cell>
          <cell r="B1025" t="str">
            <v>3</v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>
            <v>0</v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e">
            <v>#VALUE!</v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 t="str">
            <v/>
          </cell>
          <cell r="W1025" t="str">
            <v/>
          </cell>
          <cell r="X1025" t="str">
            <v/>
          </cell>
          <cell r="Z1025">
            <v>0</v>
          </cell>
          <cell r="AA1025" t="e">
            <v>#VALUE!</v>
          </cell>
          <cell r="AM1025" t="str">
            <v/>
          </cell>
          <cell r="AO1025" t="e">
            <v>#VALUE!</v>
          </cell>
          <cell r="AP1025" t="e">
            <v>#VALUE!</v>
          </cell>
          <cell r="AQ1025">
            <v>0</v>
          </cell>
          <cell r="AR1025" t="e">
            <v>#VALUE!</v>
          </cell>
          <cell r="AS1025" t="e">
            <v>#VALUE!</v>
          </cell>
          <cell r="AT1025" t="e">
            <v>#VALUE!</v>
          </cell>
          <cell r="AU1025" t="e">
            <v>#VALUE!</v>
          </cell>
          <cell r="AV1025" t="e">
            <v>#VALUE!</v>
          </cell>
          <cell r="AW1025" t="e">
            <v>#VALUE!</v>
          </cell>
          <cell r="AY1025" t="e">
            <v>#VALUE!</v>
          </cell>
          <cell r="AZ1025" t="str">
            <v>F18</v>
          </cell>
          <cell r="BA1025">
            <v>0</v>
          </cell>
          <cell r="BB1025" t="str">
            <v/>
          </cell>
          <cell r="BC1025" t="str">
            <v>F18</v>
          </cell>
        </row>
        <row r="1026">
          <cell r="A1026" t="str">
            <v/>
          </cell>
          <cell r="B1026" t="str">
            <v>3</v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>
            <v>0</v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e">
            <v>#VALUE!</v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 t="str">
            <v/>
          </cell>
          <cell r="W1026" t="str">
            <v/>
          </cell>
          <cell r="X1026" t="str">
            <v/>
          </cell>
          <cell r="Z1026">
            <v>0</v>
          </cell>
          <cell r="AA1026" t="e">
            <v>#VALUE!</v>
          </cell>
          <cell r="AM1026" t="str">
            <v/>
          </cell>
          <cell r="AO1026" t="e">
            <v>#VALUE!</v>
          </cell>
          <cell r="AP1026" t="e">
            <v>#VALUE!</v>
          </cell>
          <cell r="AQ1026">
            <v>0</v>
          </cell>
          <cell r="AR1026" t="e">
            <v>#VALUE!</v>
          </cell>
          <cell r="AS1026" t="e">
            <v>#VALUE!</v>
          </cell>
          <cell r="AT1026" t="e">
            <v>#VALUE!</v>
          </cell>
          <cell r="AU1026" t="e">
            <v>#VALUE!</v>
          </cell>
          <cell r="AV1026" t="e">
            <v>#VALUE!</v>
          </cell>
          <cell r="AW1026" t="e">
            <v>#VALUE!</v>
          </cell>
          <cell r="AY1026" t="e">
            <v>#VALUE!</v>
          </cell>
          <cell r="AZ1026" t="str">
            <v>F18</v>
          </cell>
          <cell r="BA1026">
            <v>0</v>
          </cell>
          <cell r="BB1026" t="str">
            <v/>
          </cell>
          <cell r="BC1026" t="str">
            <v>F18</v>
          </cell>
        </row>
        <row r="1027">
          <cell r="A1027" t="str">
            <v/>
          </cell>
          <cell r="B1027" t="str">
            <v>3</v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>
            <v>0</v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e">
            <v>#VALUE!</v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 t="str">
            <v/>
          </cell>
          <cell r="W1027" t="str">
            <v/>
          </cell>
          <cell r="X1027" t="str">
            <v/>
          </cell>
          <cell r="Z1027">
            <v>0</v>
          </cell>
          <cell r="AA1027" t="e">
            <v>#VALUE!</v>
          </cell>
          <cell r="AM1027" t="str">
            <v/>
          </cell>
          <cell r="AO1027" t="e">
            <v>#VALUE!</v>
          </cell>
          <cell r="AP1027" t="e">
            <v>#VALUE!</v>
          </cell>
          <cell r="AQ1027">
            <v>0</v>
          </cell>
          <cell r="AR1027" t="e">
            <v>#VALUE!</v>
          </cell>
          <cell r="AS1027" t="e">
            <v>#VALUE!</v>
          </cell>
          <cell r="AT1027" t="e">
            <v>#VALUE!</v>
          </cell>
          <cell r="AU1027" t="e">
            <v>#VALUE!</v>
          </cell>
          <cell r="AV1027" t="e">
            <v>#VALUE!</v>
          </cell>
          <cell r="AW1027" t="e">
            <v>#VALUE!</v>
          </cell>
          <cell r="AY1027" t="e">
            <v>#VALUE!</v>
          </cell>
          <cell r="AZ1027" t="str">
            <v>F18</v>
          </cell>
          <cell r="BA1027">
            <v>0</v>
          </cell>
          <cell r="BB1027" t="str">
            <v/>
          </cell>
          <cell r="BC1027" t="str">
            <v>F18</v>
          </cell>
        </row>
        <row r="1028">
          <cell r="A1028" t="str">
            <v/>
          </cell>
          <cell r="B1028" t="str">
            <v>3</v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>
            <v>0</v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e">
            <v>#VALUE!</v>
          </cell>
          <cell r="R1028" t="str">
            <v/>
          </cell>
          <cell r="S1028" t="str">
            <v/>
          </cell>
          <cell r="T1028" t="str">
            <v/>
          </cell>
          <cell r="U1028" t="str">
            <v/>
          </cell>
          <cell r="V1028" t="str">
            <v/>
          </cell>
          <cell r="W1028" t="str">
            <v/>
          </cell>
          <cell r="X1028" t="str">
            <v/>
          </cell>
          <cell r="Z1028">
            <v>0</v>
          </cell>
          <cell r="AA1028" t="e">
            <v>#VALUE!</v>
          </cell>
          <cell r="AM1028" t="str">
            <v/>
          </cell>
          <cell r="AO1028" t="e">
            <v>#VALUE!</v>
          </cell>
          <cell r="AP1028" t="e">
            <v>#VALUE!</v>
          </cell>
          <cell r="AQ1028">
            <v>0</v>
          </cell>
          <cell r="AR1028" t="e">
            <v>#VALUE!</v>
          </cell>
          <cell r="AS1028" t="e">
            <v>#VALUE!</v>
          </cell>
          <cell r="AT1028" t="e">
            <v>#VALUE!</v>
          </cell>
          <cell r="AU1028" t="e">
            <v>#VALUE!</v>
          </cell>
          <cell r="AV1028" t="e">
            <v>#VALUE!</v>
          </cell>
          <cell r="AW1028" t="e">
            <v>#VALUE!</v>
          </cell>
          <cell r="AY1028" t="e">
            <v>#VALUE!</v>
          </cell>
          <cell r="AZ1028" t="str">
            <v>F18</v>
          </cell>
          <cell r="BA1028">
            <v>0</v>
          </cell>
          <cell r="BB1028" t="str">
            <v/>
          </cell>
          <cell r="BC1028" t="str">
            <v>F18</v>
          </cell>
        </row>
        <row r="1029">
          <cell r="A1029" t="str">
            <v/>
          </cell>
          <cell r="B1029" t="str">
            <v>3</v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>
            <v>0</v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e">
            <v>#VALUE!</v>
          </cell>
          <cell r="R1029" t="str">
            <v/>
          </cell>
          <cell r="S1029" t="str">
            <v/>
          </cell>
          <cell r="T1029" t="str">
            <v/>
          </cell>
          <cell r="U1029" t="str">
            <v/>
          </cell>
          <cell r="V1029" t="str">
            <v/>
          </cell>
          <cell r="W1029" t="str">
            <v/>
          </cell>
          <cell r="X1029" t="str">
            <v/>
          </cell>
          <cell r="Z1029">
            <v>0</v>
          </cell>
          <cell r="AA1029" t="e">
            <v>#VALUE!</v>
          </cell>
          <cell r="AM1029" t="str">
            <v/>
          </cell>
          <cell r="AO1029" t="e">
            <v>#VALUE!</v>
          </cell>
          <cell r="AP1029" t="e">
            <v>#VALUE!</v>
          </cell>
          <cell r="AQ1029">
            <v>0</v>
          </cell>
          <cell r="AR1029" t="e">
            <v>#VALUE!</v>
          </cell>
          <cell r="AS1029" t="e">
            <v>#VALUE!</v>
          </cell>
          <cell r="AT1029" t="e">
            <v>#VALUE!</v>
          </cell>
          <cell r="AU1029" t="e">
            <v>#VALUE!</v>
          </cell>
          <cell r="AV1029" t="e">
            <v>#VALUE!</v>
          </cell>
          <cell r="AW1029" t="e">
            <v>#VALUE!</v>
          </cell>
          <cell r="AY1029" t="e">
            <v>#VALUE!</v>
          </cell>
          <cell r="AZ1029" t="str">
            <v>F18</v>
          </cell>
          <cell r="BA1029">
            <v>0</v>
          </cell>
          <cell r="BB1029" t="str">
            <v/>
          </cell>
          <cell r="BC1029" t="str">
            <v>F18</v>
          </cell>
        </row>
        <row r="1030">
          <cell r="A1030" t="str">
            <v/>
          </cell>
          <cell r="B1030" t="str">
            <v>3</v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>
            <v>0</v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e">
            <v>#VALUE!</v>
          </cell>
          <cell r="R1030" t="str">
            <v/>
          </cell>
          <cell r="S1030" t="str">
            <v/>
          </cell>
          <cell r="T1030" t="str">
            <v/>
          </cell>
          <cell r="U1030" t="str">
            <v/>
          </cell>
          <cell r="V1030" t="str">
            <v/>
          </cell>
          <cell r="W1030" t="str">
            <v/>
          </cell>
          <cell r="X1030" t="str">
            <v/>
          </cell>
          <cell r="Z1030">
            <v>0</v>
          </cell>
          <cell r="AA1030" t="e">
            <v>#VALUE!</v>
          </cell>
          <cell r="AM1030" t="str">
            <v/>
          </cell>
          <cell r="AO1030" t="e">
            <v>#VALUE!</v>
          </cell>
          <cell r="AP1030" t="e">
            <v>#VALUE!</v>
          </cell>
          <cell r="AQ1030">
            <v>0</v>
          </cell>
          <cell r="AR1030" t="e">
            <v>#VALUE!</v>
          </cell>
          <cell r="AS1030" t="e">
            <v>#VALUE!</v>
          </cell>
          <cell r="AT1030" t="e">
            <v>#VALUE!</v>
          </cell>
          <cell r="AU1030" t="e">
            <v>#VALUE!</v>
          </cell>
          <cell r="AV1030" t="e">
            <v>#VALUE!</v>
          </cell>
          <cell r="AW1030" t="e">
            <v>#VALUE!</v>
          </cell>
          <cell r="AY1030" t="e">
            <v>#VALUE!</v>
          </cell>
          <cell r="AZ1030" t="str">
            <v>F18</v>
          </cell>
          <cell r="BA1030">
            <v>0</v>
          </cell>
          <cell r="BB1030" t="str">
            <v/>
          </cell>
          <cell r="BC1030" t="str">
            <v>F18</v>
          </cell>
        </row>
        <row r="1031">
          <cell r="A1031" t="str">
            <v/>
          </cell>
          <cell r="B1031" t="str">
            <v>3</v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>
            <v>0</v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e">
            <v>#VALUE!</v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 t="str">
            <v/>
          </cell>
          <cell r="W1031" t="str">
            <v/>
          </cell>
          <cell r="X1031" t="str">
            <v/>
          </cell>
          <cell r="Z1031">
            <v>0</v>
          </cell>
          <cell r="AA1031" t="e">
            <v>#VALUE!</v>
          </cell>
          <cell r="AM1031" t="str">
            <v/>
          </cell>
          <cell r="AO1031" t="e">
            <v>#VALUE!</v>
          </cell>
          <cell r="AP1031" t="e">
            <v>#VALUE!</v>
          </cell>
          <cell r="AQ1031">
            <v>0</v>
          </cell>
          <cell r="AR1031" t="e">
            <v>#VALUE!</v>
          </cell>
          <cell r="AS1031" t="e">
            <v>#VALUE!</v>
          </cell>
          <cell r="AT1031" t="e">
            <v>#VALUE!</v>
          </cell>
          <cell r="AU1031" t="e">
            <v>#VALUE!</v>
          </cell>
          <cell r="AV1031" t="e">
            <v>#VALUE!</v>
          </cell>
          <cell r="AW1031" t="e">
            <v>#VALUE!</v>
          </cell>
          <cell r="AY1031" t="e">
            <v>#VALUE!</v>
          </cell>
          <cell r="AZ1031" t="str">
            <v>F18</v>
          </cell>
          <cell r="BA1031">
            <v>0</v>
          </cell>
          <cell r="BB1031" t="str">
            <v/>
          </cell>
          <cell r="BC1031" t="str">
            <v>F18</v>
          </cell>
        </row>
        <row r="1032">
          <cell r="A1032" t="str">
            <v/>
          </cell>
          <cell r="B1032" t="str">
            <v>3</v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>
            <v>0</v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e">
            <v>#VALUE!</v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 t="str">
            <v/>
          </cell>
          <cell r="W1032" t="str">
            <v/>
          </cell>
          <cell r="X1032" t="str">
            <v/>
          </cell>
          <cell r="Z1032">
            <v>0</v>
          </cell>
          <cell r="AA1032" t="e">
            <v>#VALUE!</v>
          </cell>
          <cell r="AM1032" t="str">
            <v/>
          </cell>
          <cell r="AO1032" t="e">
            <v>#VALUE!</v>
          </cell>
          <cell r="AP1032" t="e">
            <v>#VALUE!</v>
          </cell>
          <cell r="AQ1032">
            <v>0</v>
          </cell>
          <cell r="AR1032" t="e">
            <v>#VALUE!</v>
          </cell>
          <cell r="AS1032" t="e">
            <v>#VALUE!</v>
          </cell>
          <cell r="AT1032" t="e">
            <v>#VALUE!</v>
          </cell>
          <cell r="AU1032" t="e">
            <v>#VALUE!</v>
          </cell>
          <cell r="AV1032" t="e">
            <v>#VALUE!</v>
          </cell>
          <cell r="AW1032" t="e">
            <v>#VALUE!</v>
          </cell>
          <cell r="AY1032" t="e">
            <v>#VALUE!</v>
          </cell>
          <cell r="AZ1032" t="str">
            <v>F18</v>
          </cell>
          <cell r="BA1032">
            <v>0</v>
          </cell>
          <cell r="BB1032" t="str">
            <v/>
          </cell>
          <cell r="BC1032" t="str">
            <v>F18</v>
          </cell>
        </row>
        <row r="1033">
          <cell r="A1033" t="str">
            <v/>
          </cell>
          <cell r="B1033" t="str">
            <v>3</v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>
            <v>0</v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e">
            <v>#VALUE!</v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/>
          </cell>
          <cell r="X1033" t="str">
            <v/>
          </cell>
          <cell r="Z1033">
            <v>0</v>
          </cell>
          <cell r="AA1033" t="e">
            <v>#VALUE!</v>
          </cell>
          <cell r="AM1033" t="str">
            <v/>
          </cell>
          <cell r="AO1033" t="e">
            <v>#VALUE!</v>
          </cell>
          <cell r="AP1033" t="e">
            <v>#VALUE!</v>
          </cell>
          <cell r="AQ1033">
            <v>0</v>
          </cell>
          <cell r="AR1033" t="e">
            <v>#VALUE!</v>
          </cell>
          <cell r="AS1033" t="e">
            <v>#VALUE!</v>
          </cell>
          <cell r="AT1033" t="e">
            <v>#VALUE!</v>
          </cell>
          <cell r="AU1033" t="e">
            <v>#VALUE!</v>
          </cell>
          <cell r="AV1033" t="e">
            <v>#VALUE!</v>
          </cell>
          <cell r="AW1033" t="e">
            <v>#VALUE!</v>
          </cell>
          <cell r="AY1033" t="e">
            <v>#VALUE!</v>
          </cell>
          <cell r="AZ1033" t="str">
            <v>F18</v>
          </cell>
          <cell r="BA1033">
            <v>0</v>
          </cell>
          <cell r="BB1033" t="str">
            <v/>
          </cell>
          <cell r="BC1033" t="str">
            <v>F18</v>
          </cell>
        </row>
        <row r="1034">
          <cell r="A1034" t="str">
            <v/>
          </cell>
          <cell r="B1034" t="str">
            <v>3</v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>
            <v>0</v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e">
            <v>#VALUE!</v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/>
          </cell>
          <cell r="X1034" t="str">
            <v/>
          </cell>
          <cell r="Z1034">
            <v>0</v>
          </cell>
          <cell r="AA1034" t="e">
            <v>#VALUE!</v>
          </cell>
          <cell r="AM1034" t="str">
            <v/>
          </cell>
          <cell r="AO1034" t="e">
            <v>#VALUE!</v>
          </cell>
          <cell r="AP1034" t="e">
            <v>#VALUE!</v>
          </cell>
          <cell r="AQ1034">
            <v>0</v>
          </cell>
          <cell r="AR1034" t="e">
            <v>#VALUE!</v>
          </cell>
          <cell r="AS1034" t="e">
            <v>#VALUE!</v>
          </cell>
          <cell r="AT1034" t="e">
            <v>#VALUE!</v>
          </cell>
          <cell r="AU1034" t="e">
            <v>#VALUE!</v>
          </cell>
          <cell r="AV1034" t="e">
            <v>#VALUE!</v>
          </cell>
          <cell r="AW1034" t="e">
            <v>#VALUE!</v>
          </cell>
          <cell r="AY1034" t="e">
            <v>#VALUE!</v>
          </cell>
          <cell r="AZ1034" t="str">
            <v>F18</v>
          </cell>
          <cell r="BA1034">
            <v>0</v>
          </cell>
          <cell r="BB1034" t="str">
            <v/>
          </cell>
          <cell r="BC1034" t="str">
            <v>F18</v>
          </cell>
        </row>
        <row r="1035">
          <cell r="A1035" t="str">
            <v/>
          </cell>
          <cell r="B1035" t="str">
            <v>3</v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>
            <v>0</v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e">
            <v>#VALUE!</v>
          </cell>
          <cell r="R1035" t="str">
            <v/>
          </cell>
          <cell r="S1035" t="str">
            <v/>
          </cell>
          <cell r="T1035" t="str">
            <v/>
          </cell>
          <cell r="U1035" t="str">
            <v/>
          </cell>
          <cell r="V1035" t="str">
            <v/>
          </cell>
          <cell r="W1035" t="str">
            <v/>
          </cell>
          <cell r="X1035" t="str">
            <v/>
          </cell>
          <cell r="Z1035">
            <v>0</v>
          </cell>
          <cell r="AA1035" t="e">
            <v>#VALUE!</v>
          </cell>
          <cell r="AM1035" t="str">
            <v/>
          </cell>
          <cell r="AO1035" t="e">
            <v>#VALUE!</v>
          </cell>
          <cell r="AP1035" t="e">
            <v>#VALUE!</v>
          </cell>
          <cell r="AQ1035">
            <v>0</v>
          </cell>
          <cell r="AR1035" t="e">
            <v>#VALUE!</v>
          </cell>
          <cell r="AS1035" t="e">
            <v>#VALUE!</v>
          </cell>
          <cell r="AT1035" t="e">
            <v>#VALUE!</v>
          </cell>
          <cell r="AU1035" t="e">
            <v>#VALUE!</v>
          </cell>
          <cell r="AV1035" t="e">
            <v>#VALUE!</v>
          </cell>
          <cell r="AW1035" t="e">
            <v>#VALUE!</v>
          </cell>
          <cell r="AY1035" t="e">
            <v>#VALUE!</v>
          </cell>
          <cell r="AZ1035" t="str">
            <v>F18</v>
          </cell>
          <cell r="BA1035">
            <v>0</v>
          </cell>
          <cell r="BB1035" t="str">
            <v/>
          </cell>
          <cell r="BC1035" t="str">
            <v>F18</v>
          </cell>
        </row>
        <row r="1036">
          <cell r="A1036" t="str">
            <v/>
          </cell>
          <cell r="B1036" t="str">
            <v>3</v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>
            <v>0</v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e">
            <v>#VALUE!</v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/>
          </cell>
          <cell r="W1036" t="str">
            <v/>
          </cell>
          <cell r="X1036" t="str">
            <v/>
          </cell>
          <cell r="Z1036">
            <v>0</v>
          </cell>
          <cell r="AA1036" t="e">
            <v>#VALUE!</v>
          </cell>
          <cell r="AM1036" t="str">
            <v/>
          </cell>
          <cell r="AO1036" t="e">
            <v>#VALUE!</v>
          </cell>
          <cell r="AP1036" t="e">
            <v>#VALUE!</v>
          </cell>
          <cell r="AQ1036">
            <v>0</v>
          </cell>
          <cell r="AR1036" t="e">
            <v>#VALUE!</v>
          </cell>
          <cell r="AS1036" t="e">
            <v>#VALUE!</v>
          </cell>
          <cell r="AT1036" t="e">
            <v>#VALUE!</v>
          </cell>
          <cell r="AU1036" t="e">
            <v>#VALUE!</v>
          </cell>
          <cell r="AV1036" t="e">
            <v>#VALUE!</v>
          </cell>
          <cell r="AW1036" t="e">
            <v>#VALUE!</v>
          </cell>
          <cell r="AY1036" t="e">
            <v>#VALUE!</v>
          </cell>
          <cell r="AZ1036" t="str">
            <v>F18</v>
          </cell>
          <cell r="BA1036">
            <v>0</v>
          </cell>
          <cell r="BB1036" t="str">
            <v/>
          </cell>
          <cell r="BC1036" t="str">
            <v>F18</v>
          </cell>
        </row>
        <row r="1037">
          <cell r="A1037" t="str">
            <v/>
          </cell>
          <cell r="B1037" t="str">
            <v>3</v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>
            <v>0</v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e">
            <v>#VALUE!</v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/>
          </cell>
          <cell r="X1037" t="str">
            <v/>
          </cell>
          <cell r="Z1037">
            <v>0</v>
          </cell>
          <cell r="AA1037" t="e">
            <v>#VALUE!</v>
          </cell>
          <cell r="AM1037" t="str">
            <v/>
          </cell>
          <cell r="AO1037" t="e">
            <v>#VALUE!</v>
          </cell>
          <cell r="AP1037" t="e">
            <v>#VALUE!</v>
          </cell>
          <cell r="AQ1037">
            <v>0</v>
          </cell>
          <cell r="AR1037" t="e">
            <v>#VALUE!</v>
          </cell>
          <cell r="AS1037" t="e">
            <v>#VALUE!</v>
          </cell>
          <cell r="AT1037" t="e">
            <v>#VALUE!</v>
          </cell>
          <cell r="AU1037" t="e">
            <v>#VALUE!</v>
          </cell>
          <cell r="AV1037" t="e">
            <v>#VALUE!</v>
          </cell>
          <cell r="AW1037" t="e">
            <v>#VALUE!</v>
          </cell>
          <cell r="AY1037" t="e">
            <v>#VALUE!</v>
          </cell>
          <cell r="AZ1037" t="str">
            <v>F18</v>
          </cell>
          <cell r="BA1037">
            <v>0</v>
          </cell>
          <cell r="BB1037" t="str">
            <v/>
          </cell>
          <cell r="BC1037" t="str">
            <v>F18</v>
          </cell>
        </row>
        <row r="1038">
          <cell r="A1038" t="str">
            <v/>
          </cell>
          <cell r="B1038" t="str">
            <v>3</v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>
            <v>0</v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e">
            <v>#VALUE!</v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 t="str">
            <v/>
          </cell>
          <cell r="W1038" t="str">
            <v/>
          </cell>
          <cell r="X1038" t="str">
            <v/>
          </cell>
          <cell r="Z1038">
            <v>0</v>
          </cell>
          <cell r="AA1038" t="e">
            <v>#VALUE!</v>
          </cell>
          <cell r="AM1038" t="str">
            <v/>
          </cell>
          <cell r="AO1038" t="e">
            <v>#VALUE!</v>
          </cell>
          <cell r="AP1038" t="e">
            <v>#VALUE!</v>
          </cell>
          <cell r="AQ1038">
            <v>0</v>
          </cell>
          <cell r="AR1038" t="e">
            <v>#VALUE!</v>
          </cell>
          <cell r="AS1038" t="e">
            <v>#VALUE!</v>
          </cell>
          <cell r="AT1038" t="e">
            <v>#VALUE!</v>
          </cell>
          <cell r="AU1038" t="e">
            <v>#VALUE!</v>
          </cell>
          <cell r="AV1038" t="e">
            <v>#VALUE!</v>
          </cell>
          <cell r="AW1038" t="e">
            <v>#VALUE!</v>
          </cell>
          <cell r="AY1038" t="e">
            <v>#VALUE!</v>
          </cell>
          <cell r="AZ1038" t="str">
            <v>F18</v>
          </cell>
          <cell r="BA1038">
            <v>0</v>
          </cell>
          <cell r="BB1038" t="str">
            <v/>
          </cell>
          <cell r="BC1038" t="str">
            <v>F18</v>
          </cell>
        </row>
        <row r="1039">
          <cell r="A1039" t="str">
            <v/>
          </cell>
          <cell r="B1039" t="str">
            <v>3</v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>
            <v>0</v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e">
            <v>#VALUE!</v>
          </cell>
          <cell r="R1039" t="str">
            <v/>
          </cell>
          <cell r="S1039" t="str">
            <v/>
          </cell>
          <cell r="T1039" t="str">
            <v/>
          </cell>
          <cell r="U1039" t="str">
            <v/>
          </cell>
          <cell r="V1039" t="str">
            <v/>
          </cell>
          <cell r="W1039" t="str">
            <v/>
          </cell>
          <cell r="X1039" t="str">
            <v/>
          </cell>
          <cell r="Z1039">
            <v>0</v>
          </cell>
          <cell r="AA1039" t="e">
            <v>#VALUE!</v>
          </cell>
          <cell r="AM1039" t="str">
            <v/>
          </cell>
          <cell r="AO1039" t="e">
            <v>#VALUE!</v>
          </cell>
          <cell r="AP1039" t="e">
            <v>#VALUE!</v>
          </cell>
          <cell r="AQ1039">
            <v>0</v>
          </cell>
          <cell r="AR1039" t="e">
            <v>#VALUE!</v>
          </cell>
          <cell r="AS1039" t="e">
            <v>#VALUE!</v>
          </cell>
          <cell r="AT1039" t="e">
            <v>#VALUE!</v>
          </cell>
          <cell r="AU1039" t="e">
            <v>#VALUE!</v>
          </cell>
          <cell r="AV1039" t="e">
            <v>#VALUE!</v>
          </cell>
          <cell r="AW1039" t="e">
            <v>#VALUE!</v>
          </cell>
          <cell r="AY1039" t="e">
            <v>#VALUE!</v>
          </cell>
          <cell r="AZ1039" t="str">
            <v>F18</v>
          </cell>
          <cell r="BA1039">
            <v>0</v>
          </cell>
          <cell r="BB1039" t="str">
            <v/>
          </cell>
          <cell r="BC1039" t="str">
            <v>F18</v>
          </cell>
        </row>
        <row r="1040">
          <cell r="A1040" t="str">
            <v/>
          </cell>
          <cell r="B1040" t="str">
            <v>3</v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>
            <v>0</v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e">
            <v>#VALUE!</v>
          </cell>
          <cell r="R1040" t="str">
            <v/>
          </cell>
          <cell r="S1040" t="str">
            <v/>
          </cell>
          <cell r="T1040" t="str">
            <v/>
          </cell>
          <cell r="U1040" t="str">
            <v/>
          </cell>
          <cell r="V1040" t="str">
            <v/>
          </cell>
          <cell r="W1040" t="str">
            <v/>
          </cell>
          <cell r="X1040" t="str">
            <v/>
          </cell>
          <cell r="Z1040">
            <v>0</v>
          </cell>
          <cell r="AA1040" t="e">
            <v>#VALUE!</v>
          </cell>
          <cell r="AM1040" t="str">
            <v/>
          </cell>
          <cell r="AO1040" t="e">
            <v>#VALUE!</v>
          </cell>
          <cell r="AP1040" t="e">
            <v>#VALUE!</v>
          </cell>
          <cell r="AQ1040">
            <v>0</v>
          </cell>
          <cell r="AR1040" t="e">
            <v>#VALUE!</v>
          </cell>
          <cell r="AS1040" t="e">
            <v>#VALUE!</v>
          </cell>
          <cell r="AT1040" t="e">
            <v>#VALUE!</v>
          </cell>
          <cell r="AU1040" t="e">
            <v>#VALUE!</v>
          </cell>
          <cell r="AV1040" t="e">
            <v>#VALUE!</v>
          </cell>
          <cell r="AW1040" t="e">
            <v>#VALUE!</v>
          </cell>
          <cell r="AY1040" t="e">
            <v>#VALUE!</v>
          </cell>
          <cell r="AZ1040" t="str">
            <v>F18</v>
          </cell>
          <cell r="BA1040">
            <v>0</v>
          </cell>
          <cell r="BB1040" t="str">
            <v/>
          </cell>
          <cell r="BC1040" t="str">
            <v>F18</v>
          </cell>
        </row>
        <row r="1041">
          <cell r="A1041" t="str">
            <v/>
          </cell>
          <cell r="B1041" t="str">
            <v>3</v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>
            <v>0</v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e">
            <v>#VALUE!</v>
          </cell>
          <cell r="R1041" t="str">
            <v/>
          </cell>
          <cell r="S1041" t="str">
            <v/>
          </cell>
          <cell r="T1041" t="str">
            <v/>
          </cell>
          <cell r="U1041" t="str">
            <v/>
          </cell>
          <cell r="V1041" t="str">
            <v/>
          </cell>
          <cell r="W1041" t="str">
            <v/>
          </cell>
          <cell r="X1041" t="str">
            <v/>
          </cell>
          <cell r="Z1041">
            <v>0</v>
          </cell>
          <cell r="AA1041" t="e">
            <v>#VALUE!</v>
          </cell>
          <cell r="AM1041" t="str">
            <v/>
          </cell>
          <cell r="AO1041" t="e">
            <v>#VALUE!</v>
          </cell>
          <cell r="AP1041" t="e">
            <v>#VALUE!</v>
          </cell>
          <cell r="AQ1041">
            <v>0</v>
          </cell>
          <cell r="AR1041" t="e">
            <v>#VALUE!</v>
          </cell>
          <cell r="AS1041" t="e">
            <v>#VALUE!</v>
          </cell>
          <cell r="AT1041" t="e">
            <v>#VALUE!</v>
          </cell>
          <cell r="AU1041" t="e">
            <v>#VALUE!</v>
          </cell>
          <cell r="AV1041" t="e">
            <v>#VALUE!</v>
          </cell>
          <cell r="AW1041" t="e">
            <v>#VALUE!</v>
          </cell>
          <cell r="AY1041" t="e">
            <v>#VALUE!</v>
          </cell>
          <cell r="AZ1041" t="str">
            <v>F18</v>
          </cell>
          <cell r="BA1041">
            <v>0</v>
          </cell>
          <cell r="BB1041" t="str">
            <v/>
          </cell>
          <cell r="BC1041" t="str">
            <v>F18</v>
          </cell>
        </row>
        <row r="1042">
          <cell r="A1042" t="str">
            <v/>
          </cell>
          <cell r="B1042" t="str">
            <v>3</v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>
            <v>0</v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e">
            <v>#VALUE!</v>
          </cell>
          <cell r="R1042" t="str">
            <v/>
          </cell>
          <cell r="S1042" t="str">
            <v/>
          </cell>
          <cell r="T1042" t="str">
            <v/>
          </cell>
          <cell r="U1042" t="str">
            <v/>
          </cell>
          <cell r="V1042" t="str">
            <v/>
          </cell>
          <cell r="W1042" t="str">
            <v/>
          </cell>
          <cell r="X1042" t="str">
            <v/>
          </cell>
          <cell r="Z1042">
            <v>0</v>
          </cell>
          <cell r="AA1042" t="e">
            <v>#VALUE!</v>
          </cell>
          <cell r="AM1042" t="str">
            <v/>
          </cell>
          <cell r="AO1042" t="e">
            <v>#VALUE!</v>
          </cell>
          <cell r="AP1042" t="e">
            <v>#VALUE!</v>
          </cell>
          <cell r="AQ1042">
            <v>0</v>
          </cell>
          <cell r="AR1042" t="e">
            <v>#VALUE!</v>
          </cell>
          <cell r="AS1042" t="e">
            <v>#VALUE!</v>
          </cell>
          <cell r="AT1042" t="e">
            <v>#VALUE!</v>
          </cell>
          <cell r="AU1042" t="e">
            <v>#VALUE!</v>
          </cell>
          <cell r="AV1042" t="e">
            <v>#VALUE!</v>
          </cell>
          <cell r="AW1042" t="e">
            <v>#VALUE!</v>
          </cell>
          <cell r="AY1042" t="e">
            <v>#VALUE!</v>
          </cell>
          <cell r="AZ1042" t="str">
            <v>F18</v>
          </cell>
          <cell r="BA1042">
            <v>0</v>
          </cell>
          <cell r="BB1042" t="str">
            <v/>
          </cell>
          <cell r="BC1042" t="str">
            <v>F18</v>
          </cell>
        </row>
        <row r="1043">
          <cell r="A1043" t="str">
            <v/>
          </cell>
          <cell r="B1043" t="str">
            <v>3</v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>
            <v>0</v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e">
            <v>#VALUE!</v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/>
          </cell>
          <cell r="X1043" t="str">
            <v/>
          </cell>
          <cell r="Z1043">
            <v>0</v>
          </cell>
          <cell r="AA1043" t="e">
            <v>#VALUE!</v>
          </cell>
          <cell r="AM1043" t="str">
            <v/>
          </cell>
          <cell r="AO1043" t="e">
            <v>#VALUE!</v>
          </cell>
          <cell r="AP1043" t="e">
            <v>#VALUE!</v>
          </cell>
          <cell r="AQ1043">
            <v>0</v>
          </cell>
          <cell r="AR1043" t="e">
            <v>#VALUE!</v>
          </cell>
          <cell r="AS1043" t="e">
            <v>#VALUE!</v>
          </cell>
          <cell r="AT1043" t="e">
            <v>#VALUE!</v>
          </cell>
          <cell r="AU1043" t="e">
            <v>#VALUE!</v>
          </cell>
          <cell r="AV1043" t="e">
            <v>#VALUE!</v>
          </cell>
          <cell r="AW1043" t="e">
            <v>#VALUE!</v>
          </cell>
          <cell r="AY1043" t="e">
            <v>#VALUE!</v>
          </cell>
          <cell r="AZ1043" t="str">
            <v>F18</v>
          </cell>
          <cell r="BA1043">
            <v>0</v>
          </cell>
          <cell r="BB1043" t="str">
            <v/>
          </cell>
          <cell r="BC1043" t="str">
            <v>F18</v>
          </cell>
        </row>
        <row r="1044">
          <cell r="A1044" t="str">
            <v/>
          </cell>
          <cell r="B1044" t="str">
            <v>3</v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>
            <v>0</v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e">
            <v>#VALUE!</v>
          </cell>
          <cell r="R1044" t="str">
            <v/>
          </cell>
          <cell r="S1044" t="str">
            <v/>
          </cell>
          <cell r="T1044" t="str">
            <v/>
          </cell>
          <cell r="U1044" t="str">
            <v/>
          </cell>
          <cell r="V1044" t="str">
            <v/>
          </cell>
          <cell r="W1044" t="str">
            <v/>
          </cell>
          <cell r="X1044" t="str">
            <v/>
          </cell>
          <cell r="Z1044">
            <v>0</v>
          </cell>
          <cell r="AA1044" t="e">
            <v>#VALUE!</v>
          </cell>
          <cell r="AM1044" t="str">
            <v/>
          </cell>
          <cell r="AO1044" t="e">
            <v>#VALUE!</v>
          </cell>
          <cell r="AP1044" t="e">
            <v>#VALUE!</v>
          </cell>
          <cell r="AQ1044">
            <v>0</v>
          </cell>
          <cell r="AR1044" t="e">
            <v>#VALUE!</v>
          </cell>
          <cell r="AS1044" t="e">
            <v>#VALUE!</v>
          </cell>
          <cell r="AT1044" t="e">
            <v>#VALUE!</v>
          </cell>
          <cell r="AU1044" t="e">
            <v>#VALUE!</v>
          </cell>
          <cell r="AV1044" t="e">
            <v>#VALUE!</v>
          </cell>
          <cell r="AW1044" t="e">
            <v>#VALUE!</v>
          </cell>
          <cell r="AY1044" t="e">
            <v>#VALUE!</v>
          </cell>
          <cell r="AZ1044" t="str">
            <v>F18</v>
          </cell>
          <cell r="BA1044">
            <v>0</v>
          </cell>
          <cell r="BB1044" t="str">
            <v/>
          </cell>
          <cell r="BC1044" t="str">
            <v>F18</v>
          </cell>
        </row>
        <row r="1045">
          <cell r="A1045" t="str">
            <v/>
          </cell>
          <cell r="B1045" t="str">
            <v>3</v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>
            <v>0</v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e">
            <v>#VALUE!</v>
          </cell>
          <cell r="R1045" t="str">
            <v/>
          </cell>
          <cell r="S1045" t="str">
            <v/>
          </cell>
          <cell r="T1045" t="str">
            <v/>
          </cell>
          <cell r="U1045" t="str">
            <v/>
          </cell>
          <cell r="V1045" t="str">
            <v/>
          </cell>
          <cell r="W1045" t="str">
            <v/>
          </cell>
          <cell r="X1045" t="str">
            <v/>
          </cell>
          <cell r="Z1045">
            <v>0</v>
          </cell>
          <cell r="AA1045" t="e">
            <v>#VALUE!</v>
          </cell>
          <cell r="AM1045" t="str">
            <v/>
          </cell>
          <cell r="AO1045" t="e">
            <v>#VALUE!</v>
          </cell>
          <cell r="AP1045" t="e">
            <v>#VALUE!</v>
          </cell>
          <cell r="AQ1045">
            <v>0</v>
          </cell>
          <cell r="AR1045" t="e">
            <v>#VALUE!</v>
          </cell>
          <cell r="AS1045" t="e">
            <v>#VALUE!</v>
          </cell>
          <cell r="AT1045" t="e">
            <v>#VALUE!</v>
          </cell>
          <cell r="AU1045" t="e">
            <v>#VALUE!</v>
          </cell>
          <cell r="AV1045" t="e">
            <v>#VALUE!</v>
          </cell>
          <cell r="AW1045" t="e">
            <v>#VALUE!</v>
          </cell>
          <cell r="AY1045" t="e">
            <v>#VALUE!</v>
          </cell>
          <cell r="AZ1045" t="str">
            <v>F18</v>
          </cell>
          <cell r="BA1045">
            <v>0</v>
          </cell>
          <cell r="BB1045" t="str">
            <v/>
          </cell>
          <cell r="BC1045" t="str">
            <v>F18</v>
          </cell>
        </row>
        <row r="1046">
          <cell r="A1046" t="str">
            <v/>
          </cell>
          <cell r="B1046" t="str">
            <v>3</v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>
            <v>0</v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e">
            <v>#VALUE!</v>
          </cell>
          <cell r="R1046" t="str">
            <v/>
          </cell>
          <cell r="S1046" t="str">
            <v/>
          </cell>
          <cell r="T1046" t="str">
            <v/>
          </cell>
          <cell r="U1046" t="str">
            <v/>
          </cell>
          <cell r="V1046" t="str">
            <v/>
          </cell>
          <cell r="W1046" t="str">
            <v/>
          </cell>
          <cell r="X1046" t="str">
            <v/>
          </cell>
          <cell r="Z1046">
            <v>0</v>
          </cell>
          <cell r="AA1046" t="e">
            <v>#VALUE!</v>
          </cell>
          <cell r="AM1046" t="str">
            <v/>
          </cell>
          <cell r="AO1046" t="e">
            <v>#VALUE!</v>
          </cell>
          <cell r="AP1046" t="e">
            <v>#VALUE!</v>
          </cell>
          <cell r="AQ1046">
            <v>0</v>
          </cell>
          <cell r="AR1046" t="e">
            <v>#VALUE!</v>
          </cell>
          <cell r="AS1046" t="e">
            <v>#VALUE!</v>
          </cell>
          <cell r="AT1046" t="e">
            <v>#VALUE!</v>
          </cell>
          <cell r="AU1046" t="e">
            <v>#VALUE!</v>
          </cell>
          <cell r="AV1046" t="e">
            <v>#VALUE!</v>
          </cell>
          <cell r="AW1046" t="e">
            <v>#VALUE!</v>
          </cell>
          <cell r="AY1046" t="e">
            <v>#VALUE!</v>
          </cell>
          <cell r="AZ1046" t="str">
            <v>F18</v>
          </cell>
          <cell r="BA1046">
            <v>0</v>
          </cell>
          <cell r="BB1046" t="str">
            <v/>
          </cell>
          <cell r="BC1046" t="str">
            <v>F18</v>
          </cell>
        </row>
        <row r="1047">
          <cell r="A1047" t="str">
            <v/>
          </cell>
          <cell r="B1047" t="str">
            <v>3</v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>
            <v>0</v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e">
            <v>#VALUE!</v>
          </cell>
          <cell r="R1047" t="str">
            <v/>
          </cell>
          <cell r="S1047" t="str">
            <v/>
          </cell>
          <cell r="T1047" t="str">
            <v/>
          </cell>
          <cell r="U1047" t="str">
            <v/>
          </cell>
          <cell r="V1047" t="str">
            <v/>
          </cell>
          <cell r="W1047" t="str">
            <v/>
          </cell>
          <cell r="X1047" t="str">
            <v/>
          </cell>
          <cell r="Z1047">
            <v>0</v>
          </cell>
          <cell r="AA1047" t="e">
            <v>#VALUE!</v>
          </cell>
          <cell r="AM1047" t="str">
            <v/>
          </cell>
          <cell r="AO1047" t="e">
            <v>#VALUE!</v>
          </cell>
          <cell r="AP1047" t="e">
            <v>#VALUE!</v>
          </cell>
          <cell r="AQ1047">
            <v>0</v>
          </cell>
          <cell r="AR1047" t="e">
            <v>#VALUE!</v>
          </cell>
          <cell r="AS1047" t="e">
            <v>#VALUE!</v>
          </cell>
          <cell r="AT1047" t="e">
            <v>#VALUE!</v>
          </cell>
          <cell r="AU1047" t="e">
            <v>#VALUE!</v>
          </cell>
          <cell r="AV1047" t="e">
            <v>#VALUE!</v>
          </cell>
          <cell r="AW1047" t="e">
            <v>#VALUE!</v>
          </cell>
          <cell r="AY1047" t="e">
            <v>#VALUE!</v>
          </cell>
          <cell r="AZ1047" t="str">
            <v>F18</v>
          </cell>
          <cell r="BA1047">
            <v>0</v>
          </cell>
          <cell r="BB1047" t="str">
            <v/>
          </cell>
          <cell r="BC1047" t="str">
            <v>F18</v>
          </cell>
        </row>
        <row r="1048">
          <cell r="A1048" t="str">
            <v/>
          </cell>
          <cell r="B1048" t="str">
            <v>3</v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>
            <v>0</v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e">
            <v>#VALUE!</v>
          </cell>
          <cell r="R1048" t="str">
            <v/>
          </cell>
          <cell r="S1048" t="str">
            <v/>
          </cell>
          <cell r="T1048" t="str">
            <v/>
          </cell>
          <cell r="U1048" t="str">
            <v/>
          </cell>
          <cell r="V1048" t="str">
            <v/>
          </cell>
          <cell r="W1048" t="str">
            <v/>
          </cell>
          <cell r="X1048" t="str">
            <v/>
          </cell>
          <cell r="Z1048">
            <v>0</v>
          </cell>
          <cell r="AA1048" t="e">
            <v>#VALUE!</v>
          </cell>
          <cell r="AM1048" t="str">
            <v/>
          </cell>
          <cell r="AO1048" t="e">
            <v>#VALUE!</v>
          </cell>
          <cell r="AP1048" t="e">
            <v>#VALUE!</v>
          </cell>
          <cell r="AQ1048">
            <v>0</v>
          </cell>
          <cell r="AR1048" t="e">
            <v>#VALUE!</v>
          </cell>
          <cell r="AS1048" t="e">
            <v>#VALUE!</v>
          </cell>
          <cell r="AT1048" t="e">
            <v>#VALUE!</v>
          </cell>
          <cell r="AU1048" t="e">
            <v>#VALUE!</v>
          </cell>
          <cell r="AV1048" t="e">
            <v>#VALUE!</v>
          </cell>
          <cell r="AW1048" t="e">
            <v>#VALUE!</v>
          </cell>
          <cell r="AY1048" t="e">
            <v>#VALUE!</v>
          </cell>
          <cell r="AZ1048" t="str">
            <v>F18</v>
          </cell>
          <cell r="BA1048">
            <v>0</v>
          </cell>
          <cell r="BB1048" t="str">
            <v/>
          </cell>
          <cell r="BC1048" t="str">
            <v>F18</v>
          </cell>
        </row>
        <row r="1049">
          <cell r="A1049" t="str">
            <v/>
          </cell>
          <cell r="B1049" t="str">
            <v>3</v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>
            <v>0</v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e">
            <v>#VALUE!</v>
          </cell>
          <cell r="R1049" t="str">
            <v/>
          </cell>
          <cell r="S1049" t="str">
            <v/>
          </cell>
          <cell r="T1049" t="str">
            <v/>
          </cell>
          <cell r="U1049" t="str">
            <v/>
          </cell>
          <cell r="V1049" t="str">
            <v/>
          </cell>
          <cell r="W1049" t="str">
            <v/>
          </cell>
          <cell r="X1049" t="str">
            <v/>
          </cell>
          <cell r="Z1049">
            <v>0</v>
          </cell>
          <cell r="AA1049" t="e">
            <v>#VALUE!</v>
          </cell>
          <cell r="AM1049" t="str">
            <v/>
          </cell>
          <cell r="AO1049" t="e">
            <v>#VALUE!</v>
          </cell>
          <cell r="AP1049" t="e">
            <v>#VALUE!</v>
          </cell>
          <cell r="AQ1049">
            <v>0</v>
          </cell>
          <cell r="AR1049" t="e">
            <v>#VALUE!</v>
          </cell>
          <cell r="AS1049" t="e">
            <v>#VALUE!</v>
          </cell>
          <cell r="AT1049" t="e">
            <v>#VALUE!</v>
          </cell>
          <cell r="AU1049" t="e">
            <v>#VALUE!</v>
          </cell>
          <cell r="AV1049" t="e">
            <v>#VALUE!</v>
          </cell>
          <cell r="AW1049" t="e">
            <v>#VALUE!</v>
          </cell>
          <cell r="AY1049" t="e">
            <v>#VALUE!</v>
          </cell>
          <cell r="AZ1049" t="str">
            <v>F18</v>
          </cell>
          <cell r="BA1049">
            <v>0</v>
          </cell>
          <cell r="BB1049" t="str">
            <v/>
          </cell>
          <cell r="BC1049" t="str">
            <v>F18</v>
          </cell>
        </row>
        <row r="1050">
          <cell r="A1050" t="str">
            <v/>
          </cell>
          <cell r="B1050" t="str">
            <v>3</v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>
            <v>0</v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e">
            <v>#VALUE!</v>
          </cell>
          <cell r="R1050" t="str">
            <v/>
          </cell>
          <cell r="S1050" t="str">
            <v/>
          </cell>
          <cell r="T1050" t="str">
            <v/>
          </cell>
          <cell r="U1050" t="str">
            <v/>
          </cell>
          <cell r="V1050" t="str">
            <v/>
          </cell>
          <cell r="W1050" t="str">
            <v/>
          </cell>
          <cell r="X1050" t="str">
            <v/>
          </cell>
          <cell r="Z1050">
            <v>0</v>
          </cell>
          <cell r="AA1050" t="e">
            <v>#VALUE!</v>
          </cell>
          <cell r="AM1050" t="str">
            <v/>
          </cell>
          <cell r="AO1050" t="e">
            <v>#VALUE!</v>
          </cell>
          <cell r="AP1050" t="e">
            <v>#VALUE!</v>
          </cell>
          <cell r="AQ1050">
            <v>0</v>
          </cell>
          <cell r="AR1050" t="e">
            <v>#VALUE!</v>
          </cell>
          <cell r="AS1050" t="e">
            <v>#VALUE!</v>
          </cell>
          <cell r="AT1050" t="e">
            <v>#VALUE!</v>
          </cell>
          <cell r="AU1050" t="e">
            <v>#VALUE!</v>
          </cell>
          <cell r="AV1050" t="e">
            <v>#VALUE!</v>
          </cell>
          <cell r="AW1050" t="e">
            <v>#VALUE!</v>
          </cell>
          <cell r="AY1050" t="e">
            <v>#VALUE!</v>
          </cell>
          <cell r="AZ1050" t="str">
            <v>F18</v>
          </cell>
          <cell r="BA1050">
            <v>0</v>
          </cell>
          <cell r="BB1050" t="str">
            <v/>
          </cell>
          <cell r="BC1050" t="str">
            <v>F18</v>
          </cell>
        </row>
        <row r="1051">
          <cell r="A1051" t="str">
            <v/>
          </cell>
          <cell r="B1051" t="str">
            <v>3</v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>
            <v>0</v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e">
            <v>#VALUE!</v>
          </cell>
          <cell r="R1051" t="str">
            <v/>
          </cell>
          <cell r="S1051" t="str">
            <v/>
          </cell>
          <cell r="T1051" t="str">
            <v/>
          </cell>
          <cell r="U1051" t="str">
            <v/>
          </cell>
          <cell r="V1051" t="str">
            <v/>
          </cell>
          <cell r="W1051" t="str">
            <v/>
          </cell>
          <cell r="X1051" t="str">
            <v/>
          </cell>
          <cell r="Z1051">
            <v>0</v>
          </cell>
          <cell r="AA1051" t="e">
            <v>#VALUE!</v>
          </cell>
          <cell r="AM1051" t="str">
            <v/>
          </cell>
          <cell r="AO1051" t="e">
            <v>#VALUE!</v>
          </cell>
          <cell r="AP1051" t="e">
            <v>#VALUE!</v>
          </cell>
          <cell r="AQ1051">
            <v>0</v>
          </cell>
          <cell r="AR1051" t="e">
            <v>#VALUE!</v>
          </cell>
          <cell r="AS1051" t="e">
            <v>#VALUE!</v>
          </cell>
          <cell r="AT1051" t="e">
            <v>#VALUE!</v>
          </cell>
          <cell r="AU1051" t="e">
            <v>#VALUE!</v>
          </cell>
          <cell r="AV1051" t="e">
            <v>#VALUE!</v>
          </cell>
          <cell r="AW1051" t="e">
            <v>#VALUE!</v>
          </cell>
          <cell r="AY1051" t="e">
            <v>#VALUE!</v>
          </cell>
          <cell r="AZ1051" t="str">
            <v>F18</v>
          </cell>
          <cell r="BA1051">
            <v>0</v>
          </cell>
          <cell r="BB1051" t="str">
            <v/>
          </cell>
          <cell r="BC1051" t="str">
            <v>F18</v>
          </cell>
        </row>
        <row r="1052">
          <cell r="A1052" t="str">
            <v/>
          </cell>
          <cell r="B1052" t="str">
            <v>3</v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>
            <v>0</v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e">
            <v>#VALUE!</v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/>
          </cell>
          <cell r="X1052" t="str">
            <v/>
          </cell>
          <cell r="Z1052">
            <v>0</v>
          </cell>
          <cell r="AA1052" t="e">
            <v>#VALUE!</v>
          </cell>
          <cell r="AM1052" t="str">
            <v/>
          </cell>
          <cell r="AO1052" t="e">
            <v>#VALUE!</v>
          </cell>
          <cell r="AP1052" t="e">
            <v>#VALUE!</v>
          </cell>
          <cell r="AQ1052">
            <v>0</v>
          </cell>
          <cell r="AR1052" t="e">
            <v>#VALUE!</v>
          </cell>
          <cell r="AS1052" t="e">
            <v>#VALUE!</v>
          </cell>
          <cell r="AT1052" t="e">
            <v>#VALUE!</v>
          </cell>
          <cell r="AU1052" t="e">
            <v>#VALUE!</v>
          </cell>
          <cell r="AV1052" t="e">
            <v>#VALUE!</v>
          </cell>
          <cell r="AW1052" t="e">
            <v>#VALUE!</v>
          </cell>
          <cell r="AY1052" t="e">
            <v>#VALUE!</v>
          </cell>
          <cell r="AZ1052" t="str">
            <v>F18</v>
          </cell>
          <cell r="BA1052">
            <v>0</v>
          </cell>
          <cell r="BB1052" t="str">
            <v/>
          </cell>
          <cell r="BC1052" t="str">
            <v>F18</v>
          </cell>
        </row>
        <row r="1053">
          <cell r="A1053" t="str">
            <v/>
          </cell>
          <cell r="B1053" t="str">
            <v>3</v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>
            <v>0</v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e">
            <v>#VALUE!</v>
          </cell>
          <cell r="R1053" t="str">
            <v/>
          </cell>
          <cell r="S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/>
          </cell>
          <cell r="X1053" t="str">
            <v/>
          </cell>
          <cell r="Z1053">
            <v>0</v>
          </cell>
          <cell r="AA1053" t="e">
            <v>#VALUE!</v>
          </cell>
          <cell r="AM1053" t="str">
            <v/>
          </cell>
          <cell r="AO1053" t="e">
            <v>#VALUE!</v>
          </cell>
          <cell r="AP1053" t="e">
            <v>#VALUE!</v>
          </cell>
          <cell r="AQ1053">
            <v>0</v>
          </cell>
          <cell r="AR1053" t="e">
            <v>#VALUE!</v>
          </cell>
          <cell r="AS1053" t="e">
            <v>#VALUE!</v>
          </cell>
          <cell r="AT1053" t="e">
            <v>#VALUE!</v>
          </cell>
          <cell r="AU1053" t="e">
            <v>#VALUE!</v>
          </cell>
          <cell r="AV1053" t="e">
            <v>#VALUE!</v>
          </cell>
          <cell r="AW1053" t="e">
            <v>#VALUE!</v>
          </cell>
          <cell r="AY1053" t="e">
            <v>#VALUE!</v>
          </cell>
          <cell r="AZ1053" t="str">
            <v>F18</v>
          </cell>
          <cell r="BA1053">
            <v>0</v>
          </cell>
          <cell r="BB1053" t="str">
            <v/>
          </cell>
          <cell r="BC1053" t="str">
            <v>F18</v>
          </cell>
        </row>
        <row r="1054">
          <cell r="A1054" t="str">
            <v/>
          </cell>
          <cell r="B1054" t="str">
            <v>3</v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>
            <v>0</v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e">
            <v>#VALUE!</v>
          </cell>
          <cell r="R1054" t="str">
            <v/>
          </cell>
          <cell r="S1054" t="str">
            <v/>
          </cell>
          <cell r="T1054" t="str">
            <v/>
          </cell>
          <cell r="U1054" t="str">
            <v/>
          </cell>
          <cell r="V1054" t="str">
            <v/>
          </cell>
          <cell r="W1054" t="str">
            <v/>
          </cell>
          <cell r="X1054" t="str">
            <v/>
          </cell>
          <cell r="Z1054">
            <v>0</v>
          </cell>
          <cell r="AA1054" t="e">
            <v>#VALUE!</v>
          </cell>
          <cell r="AM1054" t="str">
            <v/>
          </cell>
          <cell r="AO1054" t="e">
            <v>#VALUE!</v>
          </cell>
          <cell r="AP1054" t="e">
            <v>#VALUE!</v>
          </cell>
          <cell r="AQ1054">
            <v>0</v>
          </cell>
          <cell r="AR1054" t="e">
            <v>#VALUE!</v>
          </cell>
          <cell r="AS1054" t="e">
            <v>#VALUE!</v>
          </cell>
          <cell r="AT1054" t="e">
            <v>#VALUE!</v>
          </cell>
          <cell r="AU1054" t="e">
            <v>#VALUE!</v>
          </cell>
          <cell r="AV1054" t="e">
            <v>#VALUE!</v>
          </cell>
          <cell r="AW1054" t="e">
            <v>#VALUE!</v>
          </cell>
          <cell r="AY1054" t="e">
            <v>#VALUE!</v>
          </cell>
          <cell r="AZ1054" t="str">
            <v>F18</v>
          </cell>
          <cell r="BA1054">
            <v>0</v>
          </cell>
          <cell r="BB1054" t="str">
            <v/>
          </cell>
          <cell r="BC1054" t="str">
            <v>F18</v>
          </cell>
        </row>
        <row r="1055">
          <cell r="A1055" t="str">
            <v/>
          </cell>
          <cell r="B1055" t="str">
            <v>3</v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>
            <v>0</v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e">
            <v>#VALUE!</v>
          </cell>
          <cell r="R1055" t="str">
            <v/>
          </cell>
          <cell r="S1055" t="str">
            <v/>
          </cell>
          <cell r="T1055" t="str">
            <v/>
          </cell>
          <cell r="U1055" t="str">
            <v/>
          </cell>
          <cell r="V1055" t="str">
            <v/>
          </cell>
          <cell r="W1055" t="str">
            <v/>
          </cell>
          <cell r="X1055" t="str">
            <v/>
          </cell>
          <cell r="Z1055">
            <v>0</v>
          </cell>
          <cell r="AA1055" t="e">
            <v>#VALUE!</v>
          </cell>
          <cell r="AM1055" t="str">
            <v/>
          </cell>
          <cell r="AO1055" t="e">
            <v>#VALUE!</v>
          </cell>
          <cell r="AP1055" t="e">
            <v>#VALUE!</v>
          </cell>
          <cell r="AQ1055">
            <v>0</v>
          </cell>
          <cell r="AR1055" t="e">
            <v>#VALUE!</v>
          </cell>
          <cell r="AS1055" t="e">
            <v>#VALUE!</v>
          </cell>
          <cell r="AT1055" t="e">
            <v>#VALUE!</v>
          </cell>
          <cell r="AU1055" t="e">
            <v>#VALUE!</v>
          </cell>
          <cell r="AV1055" t="e">
            <v>#VALUE!</v>
          </cell>
          <cell r="AW1055" t="e">
            <v>#VALUE!</v>
          </cell>
          <cell r="AY1055" t="e">
            <v>#VALUE!</v>
          </cell>
          <cell r="AZ1055" t="str">
            <v>F18</v>
          </cell>
          <cell r="BA1055">
            <v>0</v>
          </cell>
          <cell r="BB1055" t="str">
            <v/>
          </cell>
          <cell r="BC1055" t="str">
            <v>F18</v>
          </cell>
        </row>
        <row r="1056">
          <cell r="A1056" t="str">
            <v/>
          </cell>
          <cell r="B1056" t="str">
            <v>3</v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>
            <v>0</v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e">
            <v>#VALUE!</v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 t="str">
            <v/>
          </cell>
          <cell r="W1056" t="str">
            <v/>
          </cell>
          <cell r="X1056" t="str">
            <v/>
          </cell>
          <cell r="Z1056">
            <v>0</v>
          </cell>
          <cell r="AA1056" t="e">
            <v>#VALUE!</v>
          </cell>
          <cell r="AM1056" t="str">
            <v/>
          </cell>
          <cell r="AO1056" t="e">
            <v>#VALUE!</v>
          </cell>
          <cell r="AP1056" t="e">
            <v>#VALUE!</v>
          </cell>
          <cell r="AQ1056">
            <v>0</v>
          </cell>
          <cell r="AR1056" t="e">
            <v>#VALUE!</v>
          </cell>
          <cell r="AS1056" t="e">
            <v>#VALUE!</v>
          </cell>
          <cell r="AT1056" t="e">
            <v>#VALUE!</v>
          </cell>
          <cell r="AU1056" t="e">
            <v>#VALUE!</v>
          </cell>
          <cell r="AV1056" t="e">
            <v>#VALUE!</v>
          </cell>
          <cell r="AW1056" t="e">
            <v>#VALUE!</v>
          </cell>
          <cell r="AY1056" t="e">
            <v>#VALUE!</v>
          </cell>
          <cell r="AZ1056" t="str">
            <v>F18</v>
          </cell>
          <cell r="BA1056">
            <v>0</v>
          </cell>
          <cell r="BB1056" t="str">
            <v/>
          </cell>
          <cell r="BC1056" t="str">
            <v>F18</v>
          </cell>
        </row>
        <row r="1057">
          <cell r="A1057" t="str">
            <v/>
          </cell>
          <cell r="B1057" t="str">
            <v>3</v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>
            <v>0</v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e">
            <v>#VALUE!</v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/>
          </cell>
          <cell r="W1057" t="str">
            <v/>
          </cell>
          <cell r="X1057" t="str">
            <v/>
          </cell>
          <cell r="Z1057">
            <v>0</v>
          </cell>
          <cell r="AA1057" t="e">
            <v>#VALUE!</v>
          </cell>
          <cell r="AM1057" t="str">
            <v/>
          </cell>
          <cell r="AO1057" t="e">
            <v>#VALUE!</v>
          </cell>
          <cell r="AP1057" t="e">
            <v>#VALUE!</v>
          </cell>
          <cell r="AQ1057">
            <v>0</v>
          </cell>
          <cell r="AR1057" t="e">
            <v>#VALUE!</v>
          </cell>
          <cell r="AS1057" t="e">
            <v>#VALUE!</v>
          </cell>
          <cell r="AT1057" t="e">
            <v>#VALUE!</v>
          </cell>
          <cell r="AU1057" t="e">
            <v>#VALUE!</v>
          </cell>
          <cell r="AV1057" t="e">
            <v>#VALUE!</v>
          </cell>
          <cell r="AW1057" t="e">
            <v>#VALUE!</v>
          </cell>
          <cell r="AY1057" t="e">
            <v>#VALUE!</v>
          </cell>
          <cell r="AZ1057" t="str">
            <v>F18</v>
          </cell>
          <cell r="BA1057">
            <v>0</v>
          </cell>
          <cell r="BB1057" t="str">
            <v/>
          </cell>
          <cell r="BC1057" t="str">
            <v>F18</v>
          </cell>
        </row>
        <row r="1058">
          <cell r="A1058" t="str">
            <v/>
          </cell>
          <cell r="B1058" t="str">
            <v>3</v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>
            <v>0</v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e">
            <v>#VALUE!</v>
          </cell>
          <cell r="R1058" t="str">
            <v/>
          </cell>
          <cell r="S1058" t="str">
            <v/>
          </cell>
          <cell r="T1058" t="str">
            <v/>
          </cell>
          <cell r="U1058" t="str">
            <v/>
          </cell>
          <cell r="V1058" t="str">
            <v/>
          </cell>
          <cell r="W1058" t="str">
            <v/>
          </cell>
          <cell r="X1058" t="str">
            <v/>
          </cell>
          <cell r="Z1058">
            <v>0</v>
          </cell>
          <cell r="AA1058" t="e">
            <v>#VALUE!</v>
          </cell>
          <cell r="AM1058" t="str">
            <v/>
          </cell>
          <cell r="AO1058" t="e">
            <v>#VALUE!</v>
          </cell>
          <cell r="AP1058" t="e">
            <v>#VALUE!</v>
          </cell>
          <cell r="AQ1058">
            <v>0</v>
          </cell>
          <cell r="AR1058" t="e">
            <v>#VALUE!</v>
          </cell>
          <cell r="AS1058" t="e">
            <v>#VALUE!</v>
          </cell>
          <cell r="AT1058" t="e">
            <v>#VALUE!</v>
          </cell>
          <cell r="AU1058" t="e">
            <v>#VALUE!</v>
          </cell>
          <cell r="AV1058" t="e">
            <v>#VALUE!</v>
          </cell>
          <cell r="AW1058" t="e">
            <v>#VALUE!</v>
          </cell>
          <cell r="AY1058" t="e">
            <v>#VALUE!</v>
          </cell>
          <cell r="AZ1058" t="str">
            <v>F18</v>
          </cell>
          <cell r="BA1058">
            <v>0</v>
          </cell>
          <cell r="BB1058" t="str">
            <v/>
          </cell>
          <cell r="BC1058" t="str">
            <v>F18</v>
          </cell>
        </row>
        <row r="1059">
          <cell r="A1059" t="str">
            <v/>
          </cell>
          <cell r="B1059" t="str">
            <v>3</v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>
            <v>0</v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e">
            <v>#VALUE!</v>
          </cell>
          <cell r="R1059" t="str">
            <v/>
          </cell>
          <cell r="S1059" t="str">
            <v/>
          </cell>
          <cell r="T1059" t="str">
            <v/>
          </cell>
          <cell r="U1059" t="str">
            <v/>
          </cell>
          <cell r="V1059" t="str">
            <v/>
          </cell>
          <cell r="W1059" t="str">
            <v/>
          </cell>
          <cell r="X1059" t="str">
            <v/>
          </cell>
          <cell r="Z1059">
            <v>0</v>
          </cell>
          <cell r="AA1059" t="e">
            <v>#VALUE!</v>
          </cell>
          <cell r="AM1059" t="str">
            <v/>
          </cell>
          <cell r="AO1059" t="e">
            <v>#VALUE!</v>
          </cell>
          <cell r="AP1059" t="e">
            <v>#VALUE!</v>
          </cell>
          <cell r="AQ1059">
            <v>0</v>
          </cell>
          <cell r="AR1059" t="e">
            <v>#VALUE!</v>
          </cell>
          <cell r="AS1059" t="e">
            <v>#VALUE!</v>
          </cell>
          <cell r="AT1059" t="e">
            <v>#VALUE!</v>
          </cell>
          <cell r="AU1059" t="e">
            <v>#VALUE!</v>
          </cell>
          <cell r="AV1059" t="e">
            <v>#VALUE!</v>
          </cell>
          <cell r="AW1059" t="e">
            <v>#VALUE!</v>
          </cell>
          <cell r="AY1059" t="e">
            <v>#VALUE!</v>
          </cell>
          <cell r="AZ1059" t="str">
            <v>F18</v>
          </cell>
          <cell r="BA1059">
            <v>0</v>
          </cell>
          <cell r="BB1059" t="str">
            <v/>
          </cell>
          <cell r="BC1059" t="str">
            <v>F18</v>
          </cell>
        </row>
        <row r="1060">
          <cell r="A1060" t="str">
            <v/>
          </cell>
          <cell r="B1060" t="str">
            <v>3</v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>
            <v>0</v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e">
            <v>#VALUE!</v>
          </cell>
          <cell r="R1060" t="str">
            <v/>
          </cell>
          <cell r="S1060" t="str">
            <v/>
          </cell>
          <cell r="T1060" t="str">
            <v/>
          </cell>
          <cell r="U1060" t="str">
            <v/>
          </cell>
          <cell r="V1060" t="str">
            <v/>
          </cell>
          <cell r="W1060" t="str">
            <v/>
          </cell>
          <cell r="X1060" t="str">
            <v/>
          </cell>
          <cell r="Z1060">
            <v>0</v>
          </cell>
          <cell r="AA1060" t="e">
            <v>#VALUE!</v>
          </cell>
          <cell r="AM1060" t="str">
            <v/>
          </cell>
          <cell r="AO1060" t="e">
            <v>#VALUE!</v>
          </cell>
          <cell r="AP1060" t="e">
            <v>#VALUE!</v>
          </cell>
          <cell r="AQ1060">
            <v>0</v>
          </cell>
          <cell r="AR1060" t="e">
            <v>#VALUE!</v>
          </cell>
          <cell r="AS1060" t="e">
            <v>#VALUE!</v>
          </cell>
          <cell r="AT1060" t="e">
            <v>#VALUE!</v>
          </cell>
          <cell r="AU1060" t="e">
            <v>#VALUE!</v>
          </cell>
          <cell r="AV1060" t="e">
            <v>#VALUE!</v>
          </cell>
          <cell r="AW1060" t="e">
            <v>#VALUE!</v>
          </cell>
          <cell r="AY1060" t="e">
            <v>#VALUE!</v>
          </cell>
          <cell r="AZ1060" t="str">
            <v>F18</v>
          </cell>
          <cell r="BA1060">
            <v>0</v>
          </cell>
          <cell r="BB1060" t="str">
            <v/>
          </cell>
          <cell r="BC1060" t="str">
            <v>F18</v>
          </cell>
        </row>
        <row r="1061">
          <cell r="A1061" t="str">
            <v/>
          </cell>
          <cell r="B1061" t="str">
            <v>3</v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>
            <v>0</v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e">
            <v>#VALUE!</v>
          </cell>
          <cell r="R1061" t="str">
            <v/>
          </cell>
          <cell r="S1061" t="str">
            <v/>
          </cell>
          <cell r="T1061" t="str">
            <v/>
          </cell>
          <cell r="U1061" t="str">
            <v/>
          </cell>
          <cell r="V1061" t="str">
            <v/>
          </cell>
          <cell r="W1061" t="str">
            <v/>
          </cell>
          <cell r="X1061" t="str">
            <v/>
          </cell>
          <cell r="Z1061">
            <v>0</v>
          </cell>
          <cell r="AA1061" t="e">
            <v>#VALUE!</v>
          </cell>
          <cell r="AM1061" t="str">
            <v/>
          </cell>
          <cell r="AO1061" t="e">
            <v>#VALUE!</v>
          </cell>
          <cell r="AP1061" t="e">
            <v>#VALUE!</v>
          </cell>
          <cell r="AQ1061">
            <v>0</v>
          </cell>
          <cell r="AR1061" t="e">
            <v>#VALUE!</v>
          </cell>
          <cell r="AS1061" t="e">
            <v>#VALUE!</v>
          </cell>
          <cell r="AT1061" t="e">
            <v>#VALUE!</v>
          </cell>
          <cell r="AU1061" t="e">
            <v>#VALUE!</v>
          </cell>
          <cell r="AV1061" t="e">
            <v>#VALUE!</v>
          </cell>
          <cell r="AW1061" t="e">
            <v>#VALUE!</v>
          </cell>
          <cell r="AY1061" t="e">
            <v>#VALUE!</v>
          </cell>
          <cell r="AZ1061" t="str">
            <v>F18</v>
          </cell>
          <cell r="BA1061">
            <v>0</v>
          </cell>
          <cell r="BB1061" t="str">
            <v/>
          </cell>
          <cell r="BC1061" t="str">
            <v>F18</v>
          </cell>
        </row>
        <row r="1062">
          <cell r="A1062" t="str">
            <v/>
          </cell>
          <cell r="B1062" t="str">
            <v>3</v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>
            <v>0</v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e">
            <v>#VALUE!</v>
          </cell>
          <cell r="R1062" t="str">
            <v/>
          </cell>
          <cell r="S1062" t="str">
            <v/>
          </cell>
          <cell r="T1062" t="str">
            <v/>
          </cell>
          <cell r="U1062" t="str">
            <v/>
          </cell>
          <cell r="V1062" t="str">
            <v/>
          </cell>
          <cell r="W1062" t="str">
            <v/>
          </cell>
          <cell r="X1062" t="str">
            <v/>
          </cell>
          <cell r="Z1062">
            <v>0</v>
          </cell>
          <cell r="AA1062" t="e">
            <v>#VALUE!</v>
          </cell>
          <cell r="AM1062" t="str">
            <v/>
          </cell>
          <cell r="AO1062" t="e">
            <v>#VALUE!</v>
          </cell>
          <cell r="AP1062" t="e">
            <v>#VALUE!</v>
          </cell>
          <cell r="AQ1062">
            <v>0</v>
          </cell>
          <cell r="AR1062" t="e">
            <v>#VALUE!</v>
          </cell>
          <cell r="AS1062" t="e">
            <v>#VALUE!</v>
          </cell>
          <cell r="AT1062" t="e">
            <v>#VALUE!</v>
          </cell>
          <cell r="AU1062" t="e">
            <v>#VALUE!</v>
          </cell>
          <cell r="AV1062" t="e">
            <v>#VALUE!</v>
          </cell>
          <cell r="AW1062" t="e">
            <v>#VALUE!</v>
          </cell>
          <cell r="AY1062" t="e">
            <v>#VALUE!</v>
          </cell>
          <cell r="AZ1062" t="str">
            <v>F18</v>
          </cell>
          <cell r="BA1062">
            <v>0</v>
          </cell>
          <cell r="BB1062" t="str">
            <v/>
          </cell>
          <cell r="BC1062" t="str">
            <v>F18</v>
          </cell>
        </row>
        <row r="1063">
          <cell r="A1063" t="str">
            <v/>
          </cell>
          <cell r="B1063" t="str">
            <v>3</v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>
            <v>0</v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e">
            <v>#VALUE!</v>
          </cell>
          <cell r="R1063" t="str">
            <v/>
          </cell>
          <cell r="S1063" t="str">
            <v/>
          </cell>
          <cell r="T1063" t="str">
            <v/>
          </cell>
          <cell r="U1063" t="str">
            <v/>
          </cell>
          <cell r="V1063" t="str">
            <v/>
          </cell>
          <cell r="W1063" t="str">
            <v/>
          </cell>
          <cell r="X1063" t="str">
            <v/>
          </cell>
          <cell r="Z1063">
            <v>0</v>
          </cell>
          <cell r="AA1063" t="e">
            <v>#VALUE!</v>
          </cell>
          <cell r="AM1063" t="str">
            <v/>
          </cell>
          <cell r="AO1063" t="e">
            <v>#VALUE!</v>
          </cell>
          <cell r="AP1063" t="e">
            <v>#VALUE!</v>
          </cell>
          <cell r="AQ1063">
            <v>0</v>
          </cell>
          <cell r="AR1063" t="e">
            <v>#VALUE!</v>
          </cell>
          <cell r="AS1063" t="e">
            <v>#VALUE!</v>
          </cell>
          <cell r="AT1063" t="e">
            <v>#VALUE!</v>
          </cell>
          <cell r="AU1063" t="e">
            <v>#VALUE!</v>
          </cell>
          <cell r="AV1063" t="e">
            <v>#VALUE!</v>
          </cell>
          <cell r="AW1063" t="e">
            <v>#VALUE!</v>
          </cell>
          <cell r="AY1063" t="e">
            <v>#VALUE!</v>
          </cell>
          <cell r="AZ1063" t="str">
            <v>F18</v>
          </cell>
          <cell r="BA1063">
            <v>0</v>
          </cell>
          <cell r="BB1063" t="str">
            <v/>
          </cell>
          <cell r="BC1063" t="str">
            <v>F18</v>
          </cell>
        </row>
        <row r="1064">
          <cell r="A1064" t="str">
            <v/>
          </cell>
          <cell r="B1064" t="str">
            <v>3</v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>
            <v>0</v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e">
            <v>#VALUE!</v>
          </cell>
          <cell r="R1064" t="str">
            <v/>
          </cell>
          <cell r="S1064" t="str">
            <v/>
          </cell>
          <cell r="T1064" t="str">
            <v/>
          </cell>
          <cell r="U1064" t="str">
            <v/>
          </cell>
          <cell r="V1064" t="str">
            <v/>
          </cell>
          <cell r="W1064" t="str">
            <v/>
          </cell>
          <cell r="X1064" t="str">
            <v/>
          </cell>
          <cell r="Z1064">
            <v>0</v>
          </cell>
          <cell r="AA1064" t="e">
            <v>#VALUE!</v>
          </cell>
          <cell r="AM1064" t="str">
            <v/>
          </cell>
          <cell r="AO1064" t="e">
            <v>#VALUE!</v>
          </cell>
          <cell r="AP1064" t="e">
            <v>#VALUE!</v>
          </cell>
          <cell r="AQ1064">
            <v>0</v>
          </cell>
          <cell r="AR1064" t="e">
            <v>#VALUE!</v>
          </cell>
          <cell r="AS1064" t="e">
            <v>#VALUE!</v>
          </cell>
          <cell r="AT1064" t="e">
            <v>#VALUE!</v>
          </cell>
          <cell r="AU1064" t="e">
            <v>#VALUE!</v>
          </cell>
          <cell r="AV1064" t="e">
            <v>#VALUE!</v>
          </cell>
          <cell r="AW1064" t="e">
            <v>#VALUE!</v>
          </cell>
          <cell r="AY1064" t="e">
            <v>#VALUE!</v>
          </cell>
          <cell r="AZ1064" t="str">
            <v>F18</v>
          </cell>
          <cell r="BA1064">
            <v>0</v>
          </cell>
          <cell r="BB1064" t="str">
            <v/>
          </cell>
          <cell r="BC1064" t="str">
            <v>F18</v>
          </cell>
        </row>
        <row r="1065">
          <cell r="A1065" t="str">
            <v/>
          </cell>
          <cell r="B1065" t="str">
            <v>3</v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>
            <v>0</v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e">
            <v>#VALUE!</v>
          </cell>
          <cell r="R1065" t="str">
            <v/>
          </cell>
          <cell r="S1065" t="str">
            <v/>
          </cell>
          <cell r="T1065" t="str">
            <v/>
          </cell>
          <cell r="U1065" t="str">
            <v/>
          </cell>
          <cell r="V1065" t="str">
            <v/>
          </cell>
          <cell r="W1065" t="str">
            <v/>
          </cell>
          <cell r="X1065" t="str">
            <v/>
          </cell>
          <cell r="Z1065">
            <v>0</v>
          </cell>
          <cell r="AA1065" t="e">
            <v>#VALUE!</v>
          </cell>
          <cell r="AM1065" t="str">
            <v/>
          </cell>
          <cell r="AO1065" t="e">
            <v>#VALUE!</v>
          </cell>
          <cell r="AP1065" t="e">
            <v>#VALUE!</v>
          </cell>
          <cell r="AQ1065">
            <v>0</v>
          </cell>
          <cell r="AR1065" t="e">
            <v>#VALUE!</v>
          </cell>
          <cell r="AS1065" t="e">
            <v>#VALUE!</v>
          </cell>
          <cell r="AT1065" t="e">
            <v>#VALUE!</v>
          </cell>
          <cell r="AU1065" t="e">
            <v>#VALUE!</v>
          </cell>
          <cell r="AV1065" t="e">
            <v>#VALUE!</v>
          </cell>
          <cell r="AW1065" t="e">
            <v>#VALUE!</v>
          </cell>
          <cell r="AY1065" t="e">
            <v>#VALUE!</v>
          </cell>
          <cell r="AZ1065" t="str">
            <v>F18</v>
          </cell>
          <cell r="BA1065">
            <v>0</v>
          </cell>
          <cell r="BB1065" t="str">
            <v/>
          </cell>
          <cell r="BC1065" t="str">
            <v>F18</v>
          </cell>
        </row>
        <row r="1066">
          <cell r="A1066" t="str">
            <v/>
          </cell>
          <cell r="B1066" t="str">
            <v>3</v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>
            <v>0</v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e">
            <v>#VALUE!</v>
          </cell>
          <cell r="R1066" t="str">
            <v/>
          </cell>
          <cell r="S1066" t="str">
            <v/>
          </cell>
          <cell r="T1066" t="str">
            <v/>
          </cell>
          <cell r="U1066" t="str">
            <v/>
          </cell>
          <cell r="V1066" t="str">
            <v/>
          </cell>
          <cell r="W1066" t="str">
            <v/>
          </cell>
          <cell r="X1066" t="str">
            <v/>
          </cell>
          <cell r="Z1066">
            <v>0</v>
          </cell>
          <cell r="AA1066" t="e">
            <v>#VALUE!</v>
          </cell>
          <cell r="AM1066" t="str">
            <v/>
          </cell>
          <cell r="AO1066" t="e">
            <v>#VALUE!</v>
          </cell>
          <cell r="AP1066" t="e">
            <v>#VALUE!</v>
          </cell>
          <cell r="AQ1066">
            <v>0</v>
          </cell>
          <cell r="AR1066" t="e">
            <v>#VALUE!</v>
          </cell>
          <cell r="AS1066" t="e">
            <v>#VALUE!</v>
          </cell>
          <cell r="AT1066" t="e">
            <v>#VALUE!</v>
          </cell>
          <cell r="AU1066" t="e">
            <v>#VALUE!</v>
          </cell>
          <cell r="AV1066" t="e">
            <v>#VALUE!</v>
          </cell>
          <cell r="AW1066" t="e">
            <v>#VALUE!</v>
          </cell>
          <cell r="AY1066" t="e">
            <v>#VALUE!</v>
          </cell>
          <cell r="AZ1066" t="str">
            <v>F18</v>
          </cell>
          <cell r="BA1066">
            <v>0</v>
          </cell>
          <cell r="BB1066" t="str">
            <v/>
          </cell>
          <cell r="BC1066" t="str">
            <v>F18</v>
          </cell>
        </row>
        <row r="1067">
          <cell r="A1067" t="str">
            <v/>
          </cell>
          <cell r="B1067" t="str">
            <v>3</v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>
            <v>0</v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e">
            <v>#VALUE!</v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/>
          </cell>
          <cell r="W1067" t="str">
            <v/>
          </cell>
          <cell r="X1067" t="str">
            <v/>
          </cell>
          <cell r="Z1067">
            <v>0</v>
          </cell>
          <cell r="AA1067" t="e">
            <v>#VALUE!</v>
          </cell>
          <cell r="AM1067" t="str">
            <v/>
          </cell>
          <cell r="AO1067" t="e">
            <v>#VALUE!</v>
          </cell>
          <cell r="AP1067" t="e">
            <v>#VALUE!</v>
          </cell>
          <cell r="AQ1067">
            <v>0</v>
          </cell>
          <cell r="AR1067" t="e">
            <v>#VALUE!</v>
          </cell>
          <cell r="AS1067" t="e">
            <v>#VALUE!</v>
          </cell>
          <cell r="AT1067" t="e">
            <v>#VALUE!</v>
          </cell>
          <cell r="AU1067" t="e">
            <v>#VALUE!</v>
          </cell>
          <cell r="AV1067" t="e">
            <v>#VALUE!</v>
          </cell>
          <cell r="AW1067" t="e">
            <v>#VALUE!</v>
          </cell>
          <cell r="AY1067" t="e">
            <v>#VALUE!</v>
          </cell>
          <cell r="AZ1067" t="str">
            <v>F18</v>
          </cell>
          <cell r="BA1067">
            <v>0</v>
          </cell>
          <cell r="BB1067" t="str">
            <v/>
          </cell>
          <cell r="BC1067" t="str">
            <v>F18</v>
          </cell>
        </row>
        <row r="1068">
          <cell r="A1068" t="str">
            <v/>
          </cell>
          <cell r="B1068" t="str">
            <v>3</v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>
            <v>0</v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e">
            <v>#VALUE!</v>
          </cell>
          <cell r="R1068" t="str">
            <v/>
          </cell>
          <cell r="S1068" t="str">
            <v/>
          </cell>
          <cell r="T1068" t="str">
            <v/>
          </cell>
          <cell r="U1068" t="str">
            <v/>
          </cell>
          <cell r="V1068" t="str">
            <v/>
          </cell>
          <cell r="W1068" t="str">
            <v/>
          </cell>
          <cell r="X1068" t="str">
            <v/>
          </cell>
          <cell r="Z1068">
            <v>0</v>
          </cell>
          <cell r="AA1068" t="e">
            <v>#VALUE!</v>
          </cell>
          <cell r="AM1068" t="str">
            <v/>
          </cell>
          <cell r="AO1068" t="e">
            <v>#VALUE!</v>
          </cell>
          <cell r="AP1068" t="e">
            <v>#VALUE!</v>
          </cell>
          <cell r="AQ1068">
            <v>0</v>
          </cell>
          <cell r="AR1068" t="e">
            <v>#VALUE!</v>
          </cell>
          <cell r="AS1068" t="e">
            <v>#VALUE!</v>
          </cell>
          <cell r="AT1068" t="e">
            <v>#VALUE!</v>
          </cell>
          <cell r="AU1068" t="e">
            <v>#VALUE!</v>
          </cell>
          <cell r="AV1068" t="e">
            <v>#VALUE!</v>
          </cell>
          <cell r="AW1068" t="e">
            <v>#VALUE!</v>
          </cell>
          <cell r="AY1068" t="e">
            <v>#VALUE!</v>
          </cell>
          <cell r="AZ1068" t="str">
            <v>F18</v>
          </cell>
          <cell r="BA1068">
            <v>0</v>
          </cell>
          <cell r="BB1068" t="str">
            <v/>
          </cell>
          <cell r="BC1068" t="str">
            <v>F18</v>
          </cell>
        </row>
        <row r="1069">
          <cell r="A1069" t="str">
            <v/>
          </cell>
          <cell r="B1069" t="str">
            <v>3</v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>
            <v>0</v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e">
            <v>#VALUE!</v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/>
          </cell>
          <cell r="W1069" t="str">
            <v/>
          </cell>
          <cell r="X1069" t="str">
            <v/>
          </cell>
          <cell r="Z1069">
            <v>0</v>
          </cell>
          <cell r="AA1069" t="e">
            <v>#VALUE!</v>
          </cell>
          <cell r="AM1069" t="str">
            <v/>
          </cell>
          <cell r="AO1069" t="e">
            <v>#VALUE!</v>
          </cell>
          <cell r="AP1069" t="e">
            <v>#VALUE!</v>
          </cell>
          <cell r="AQ1069">
            <v>0</v>
          </cell>
          <cell r="AR1069" t="e">
            <v>#VALUE!</v>
          </cell>
          <cell r="AS1069" t="e">
            <v>#VALUE!</v>
          </cell>
          <cell r="AT1069" t="e">
            <v>#VALUE!</v>
          </cell>
          <cell r="AU1069" t="e">
            <v>#VALUE!</v>
          </cell>
          <cell r="AV1069" t="e">
            <v>#VALUE!</v>
          </cell>
          <cell r="AW1069" t="e">
            <v>#VALUE!</v>
          </cell>
          <cell r="AY1069" t="e">
            <v>#VALUE!</v>
          </cell>
          <cell r="AZ1069" t="str">
            <v>F18</v>
          </cell>
          <cell r="BA1069">
            <v>0</v>
          </cell>
          <cell r="BB1069" t="str">
            <v/>
          </cell>
          <cell r="BC1069" t="str">
            <v>F18</v>
          </cell>
        </row>
        <row r="1070">
          <cell r="A1070" t="str">
            <v/>
          </cell>
          <cell r="B1070" t="str">
            <v>3</v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>
            <v>0</v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e">
            <v>#VALUE!</v>
          </cell>
          <cell r="R1070" t="str">
            <v/>
          </cell>
          <cell r="S1070" t="str">
            <v/>
          </cell>
          <cell r="T1070" t="str">
            <v/>
          </cell>
          <cell r="U1070" t="str">
            <v/>
          </cell>
          <cell r="V1070" t="str">
            <v/>
          </cell>
          <cell r="W1070" t="str">
            <v/>
          </cell>
          <cell r="X1070" t="str">
            <v/>
          </cell>
          <cell r="Z1070">
            <v>0</v>
          </cell>
          <cell r="AA1070" t="e">
            <v>#VALUE!</v>
          </cell>
          <cell r="AM1070" t="str">
            <v/>
          </cell>
          <cell r="AO1070" t="e">
            <v>#VALUE!</v>
          </cell>
          <cell r="AP1070" t="e">
            <v>#VALUE!</v>
          </cell>
          <cell r="AQ1070">
            <v>0</v>
          </cell>
          <cell r="AR1070" t="e">
            <v>#VALUE!</v>
          </cell>
          <cell r="AS1070" t="e">
            <v>#VALUE!</v>
          </cell>
          <cell r="AT1070" t="e">
            <v>#VALUE!</v>
          </cell>
          <cell r="AU1070" t="e">
            <v>#VALUE!</v>
          </cell>
          <cell r="AV1070" t="e">
            <v>#VALUE!</v>
          </cell>
          <cell r="AW1070" t="e">
            <v>#VALUE!</v>
          </cell>
          <cell r="AY1070" t="e">
            <v>#VALUE!</v>
          </cell>
          <cell r="AZ1070" t="str">
            <v>F18</v>
          </cell>
          <cell r="BA1070">
            <v>0</v>
          </cell>
          <cell r="BB1070" t="str">
            <v/>
          </cell>
          <cell r="BC1070" t="str">
            <v>F18</v>
          </cell>
        </row>
        <row r="1071">
          <cell r="A1071" t="str">
            <v/>
          </cell>
          <cell r="B1071" t="str">
            <v>3</v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>
            <v>0</v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e">
            <v>#VALUE!</v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/>
          </cell>
          <cell r="W1071" t="str">
            <v/>
          </cell>
          <cell r="X1071" t="str">
            <v/>
          </cell>
          <cell r="Z1071">
            <v>0</v>
          </cell>
          <cell r="AA1071" t="e">
            <v>#VALUE!</v>
          </cell>
          <cell r="AM1071" t="str">
            <v/>
          </cell>
          <cell r="AO1071" t="e">
            <v>#VALUE!</v>
          </cell>
          <cell r="AP1071" t="e">
            <v>#VALUE!</v>
          </cell>
          <cell r="AQ1071">
            <v>0</v>
          </cell>
          <cell r="AR1071" t="e">
            <v>#VALUE!</v>
          </cell>
          <cell r="AS1071" t="e">
            <v>#VALUE!</v>
          </cell>
          <cell r="AT1071" t="e">
            <v>#VALUE!</v>
          </cell>
          <cell r="AU1071" t="e">
            <v>#VALUE!</v>
          </cell>
          <cell r="AV1071" t="e">
            <v>#VALUE!</v>
          </cell>
          <cell r="AW1071" t="e">
            <v>#VALUE!</v>
          </cell>
          <cell r="AY1071" t="e">
            <v>#VALUE!</v>
          </cell>
          <cell r="AZ1071" t="str">
            <v>F18</v>
          </cell>
          <cell r="BA1071">
            <v>0</v>
          </cell>
          <cell r="BB1071" t="str">
            <v/>
          </cell>
          <cell r="BC1071" t="str">
            <v>F18</v>
          </cell>
        </row>
        <row r="1072">
          <cell r="A1072" t="str">
            <v/>
          </cell>
          <cell r="B1072" t="str">
            <v>3</v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>
            <v>0</v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e">
            <v>#VALUE!</v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/>
          </cell>
          <cell r="W1072" t="str">
            <v/>
          </cell>
          <cell r="X1072" t="str">
            <v/>
          </cell>
          <cell r="Z1072">
            <v>0</v>
          </cell>
          <cell r="AA1072" t="e">
            <v>#VALUE!</v>
          </cell>
          <cell r="AM1072" t="str">
            <v/>
          </cell>
          <cell r="AO1072" t="e">
            <v>#VALUE!</v>
          </cell>
          <cell r="AP1072" t="e">
            <v>#VALUE!</v>
          </cell>
          <cell r="AQ1072">
            <v>0</v>
          </cell>
          <cell r="AR1072" t="e">
            <v>#VALUE!</v>
          </cell>
          <cell r="AS1072" t="e">
            <v>#VALUE!</v>
          </cell>
          <cell r="AT1072" t="e">
            <v>#VALUE!</v>
          </cell>
          <cell r="AU1072" t="e">
            <v>#VALUE!</v>
          </cell>
          <cell r="AV1072" t="e">
            <v>#VALUE!</v>
          </cell>
          <cell r="AW1072" t="e">
            <v>#VALUE!</v>
          </cell>
          <cell r="AY1072" t="e">
            <v>#VALUE!</v>
          </cell>
          <cell r="AZ1072" t="str">
            <v>F18</v>
          </cell>
          <cell r="BA1072">
            <v>0</v>
          </cell>
          <cell r="BB1072" t="str">
            <v/>
          </cell>
          <cell r="BC1072" t="str">
            <v>F18</v>
          </cell>
        </row>
        <row r="1073">
          <cell r="A1073" t="str">
            <v/>
          </cell>
          <cell r="B1073" t="str">
            <v>3</v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>
            <v>0</v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e">
            <v>#VALUE!</v>
          </cell>
          <cell r="R1073" t="str">
            <v/>
          </cell>
          <cell r="S1073" t="str">
            <v/>
          </cell>
          <cell r="T1073" t="str">
            <v/>
          </cell>
          <cell r="U1073" t="str">
            <v/>
          </cell>
          <cell r="V1073" t="str">
            <v/>
          </cell>
          <cell r="W1073" t="str">
            <v/>
          </cell>
          <cell r="X1073" t="str">
            <v/>
          </cell>
          <cell r="Z1073">
            <v>0</v>
          </cell>
          <cell r="AA1073" t="e">
            <v>#VALUE!</v>
          </cell>
          <cell r="AM1073" t="str">
            <v/>
          </cell>
          <cell r="AO1073" t="e">
            <v>#VALUE!</v>
          </cell>
          <cell r="AP1073" t="e">
            <v>#VALUE!</v>
          </cell>
          <cell r="AQ1073">
            <v>0</v>
          </cell>
          <cell r="AR1073" t="e">
            <v>#VALUE!</v>
          </cell>
          <cell r="AS1073" t="e">
            <v>#VALUE!</v>
          </cell>
          <cell r="AT1073" t="e">
            <v>#VALUE!</v>
          </cell>
          <cell r="AU1073" t="e">
            <v>#VALUE!</v>
          </cell>
          <cell r="AV1073" t="e">
            <v>#VALUE!</v>
          </cell>
          <cell r="AW1073" t="e">
            <v>#VALUE!</v>
          </cell>
          <cell r="AY1073" t="e">
            <v>#VALUE!</v>
          </cell>
          <cell r="AZ1073" t="str">
            <v>F18</v>
          </cell>
          <cell r="BA1073">
            <v>0</v>
          </cell>
          <cell r="BB1073" t="str">
            <v/>
          </cell>
          <cell r="BC1073" t="str">
            <v>F18</v>
          </cell>
        </row>
        <row r="1074">
          <cell r="A1074" t="str">
            <v/>
          </cell>
          <cell r="B1074" t="str">
            <v>3</v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>
            <v>0</v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e">
            <v>#VALUE!</v>
          </cell>
          <cell r="R1074" t="str">
            <v/>
          </cell>
          <cell r="S1074" t="str">
            <v/>
          </cell>
          <cell r="T1074" t="str">
            <v/>
          </cell>
          <cell r="U1074" t="str">
            <v/>
          </cell>
          <cell r="V1074" t="str">
            <v/>
          </cell>
          <cell r="W1074" t="str">
            <v/>
          </cell>
          <cell r="X1074" t="str">
            <v/>
          </cell>
          <cell r="Z1074">
            <v>0</v>
          </cell>
          <cell r="AA1074" t="e">
            <v>#VALUE!</v>
          </cell>
          <cell r="AM1074" t="str">
            <v/>
          </cell>
          <cell r="AO1074" t="e">
            <v>#VALUE!</v>
          </cell>
          <cell r="AP1074" t="e">
            <v>#VALUE!</v>
          </cell>
          <cell r="AQ1074">
            <v>0</v>
          </cell>
          <cell r="AR1074" t="e">
            <v>#VALUE!</v>
          </cell>
          <cell r="AS1074" t="e">
            <v>#VALUE!</v>
          </cell>
          <cell r="AT1074" t="e">
            <v>#VALUE!</v>
          </cell>
          <cell r="AU1074" t="e">
            <v>#VALUE!</v>
          </cell>
          <cell r="AV1074" t="e">
            <v>#VALUE!</v>
          </cell>
          <cell r="AW1074" t="e">
            <v>#VALUE!</v>
          </cell>
          <cell r="AY1074" t="e">
            <v>#VALUE!</v>
          </cell>
          <cell r="AZ1074" t="str">
            <v>F18</v>
          </cell>
          <cell r="BA1074">
            <v>0</v>
          </cell>
          <cell r="BB1074" t="str">
            <v/>
          </cell>
          <cell r="BC1074" t="str">
            <v>F18</v>
          </cell>
        </row>
        <row r="1075">
          <cell r="A1075" t="str">
            <v/>
          </cell>
          <cell r="B1075" t="str">
            <v>3</v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>
            <v>0</v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e">
            <v>#VALUE!</v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/>
          </cell>
          <cell r="W1075" t="str">
            <v/>
          </cell>
          <cell r="X1075" t="str">
            <v/>
          </cell>
          <cell r="Z1075">
            <v>0</v>
          </cell>
          <cell r="AA1075" t="e">
            <v>#VALUE!</v>
          </cell>
          <cell r="AM1075" t="str">
            <v/>
          </cell>
          <cell r="AO1075" t="e">
            <v>#VALUE!</v>
          </cell>
          <cell r="AP1075" t="e">
            <v>#VALUE!</v>
          </cell>
          <cell r="AQ1075">
            <v>0</v>
          </cell>
          <cell r="AR1075" t="e">
            <v>#VALUE!</v>
          </cell>
          <cell r="AS1075" t="e">
            <v>#VALUE!</v>
          </cell>
          <cell r="AT1075" t="e">
            <v>#VALUE!</v>
          </cell>
          <cell r="AU1075" t="e">
            <v>#VALUE!</v>
          </cell>
          <cell r="AV1075" t="e">
            <v>#VALUE!</v>
          </cell>
          <cell r="AW1075" t="e">
            <v>#VALUE!</v>
          </cell>
          <cell r="AY1075" t="e">
            <v>#VALUE!</v>
          </cell>
          <cell r="AZ1075" t="str">
            <v>F18</v>
          </cell>
          <cell r="BA1075">
            <v>0</v>
          </cell>
          <cell r="BB1075" t="str">
            <v/>
          </cell>
          <cell r="BC1075" t="str">
            <v>F18</v>
          </cell>
        </row>
        <row r="1076">
          <cell r="A1076" t="str">
            <v/>
          </cell>
          <cell r="B1076" t="str">
            <v>3</v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>
            <v>0</v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e">
            <v>#VALUE!</v>
          </cell>
          <cell r="R1076" t="str">
            <v/>
          </cell>
          <cell r="S1076" t="str">
            <v/>
          </cell>
          <cell r="T1076" t="str">
            <v/>
          </cell>
          <cell r="U1076" t="str">
            <v/>
          </cell>
          <cell r="V1076" t="str">
            <v/>
          </cell>
          <cell r="W1076" t="str">
            <v/>
          </cell>
          <cell r="X1076" t="str">
            <v/>
          </cell>
          <cell r="Z1076">
            <v>0</v>
          </cell>
          <cell r="AA1076" t="e">
            <v>#VALUE!</v>
          </cell>
          <cell r="AM1076" t="str">
            <v/>
          </cell>
          <cell r="AO1076" t="e">
            <v>#VALUE!</v>
          </cell>
          <cell r="AP1076" t="e">
            <v>#VALUE!</v>
          </cell>
          <cell r="AQ1076">
            <v>0</v>
          </cell>
          <cell r="AR1076" t="e">
            <v>#VALUE!</v>
          </cell>
          <cell r="AS1076" t="e">
            <v>#VALUE!</v>
          </cell>
          <cell r="AT1076" t="e">
            <v>#VALUE!</v>
          </cell>
          <cell r="AU1076" t="e">
            <v>#VALUE!</v>
          </cell>
          <cell r="AV1076" t="e">
            <v>#VALUE!</v>
          </cell>
          <cell r="AW1076" t="e">
            <v>#VALUE!</v>
          </cell>
          <cell r="AY1076" t="e">
            <v>#VALUE!</v>
          </cell>
          <cell r="AZ1076" t="str">
            <v>F18</v>
          </cell>
          <cell r="BA1076">
            <v>0</v>
          </cell>
          <cell r="BB1076" t="str">
            <v/>
          </cell>
          <cell r="BC1076" t="str">
            <v>F18</v>
          </cell>
        </row>
        <row r="1077">
          <cell r="A1077" t="str">
            <v/>
          </cell>
          <cell r="B1077" t="str">
            <v>3</v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>
            <v>0</v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e">
            <v>#VALUE!</v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/>
          </cell>
          <cell r="X1077" t="str">
            <v/>
          </cell>
          <cell r="Z1077">
            <v>0</v>
          </cell>
          <cell r="AA1077" t="e">
            <v>#VALUE!</v>
          </cell>
          <cell r="AM1077" t="str">
            <v/>
          </cell>
          <cell r="AO1077" t="e">
            <v>#VALUE!</v>
          </cell>
          <cell r="AP1077" t="e">
            <v>#VALUE!</v>
          </cell>
          <cell r="AQ1077">
            <v>0</v>
          </cell>
          <cell r="AR1077" t="e">
            <v>#VALUE!</v>
          </cell>
          <cell r="AS1077" t="e">
            <v>#VALUE!</v>
          </cell>
          <cell r="AT1077" t="e">
            <v>#VALUE!</v>
          </cell>
          <cell r="AU1077" t="e">
            <v>#VALUE!</v>
          </cell>
          <cell r="AV1077" t="e">
            <v>#VALUE!</v>
          </cell>
          <cell r="AW1077" t="e">
            <v>#VALUE!</v>
          </cell>
          <cell r="AY1077" t="e">
            <v>#VALUE!</v>
          </cell>
          <cell r="AZ1077" t="str">
            <v>F18</v>
          </cell>
          <cell r="BA1077">
            <v>0</v>
          </cell>
          <cell r="BB1077" t="str">
            <v/>
          </cell>
          <cell r="BC1077" t="str">
            <v>F18</v>
          </cell>
        </row>
        <row r="1078">
          <cell r="A1078" t="str">
            <v/>
          </cell>
          <cell r="B1078" t="str">
            <v>3</v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>
            <v>0</v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e">
            <v>#VALUE!</v>
          </cell>
          <cell r="R1078" t="str">
            <v/>
          </cell>
          <cell r="S1078" t="str">
            <v/>
          </cell>
          <cell r="T1078" t="str">
            <v/>
          </cell>
          <cell r="U1078" t="str">
            <v/>
          </cell>
          <cell r="V1078" t="str">
            <v/>
          </cell>
          <cell r="W1078" t="str">
            <v/>
          </cell>
          <cell r="X1078" t="str">
            <v/>
          </cell>
          <cell r="Z1078">
            <v>0</v>
          </cell>
          <cell r="AA1078" t="e">
            <v>#VALUE!</v>
          </cell>
          <cell r="AM1078" t="str">
            <v/>
          </cell>
          <cell r="AO1078" t="e">
            <v>#VALUE!</v>
          </cell>
          <cell r="AP1078" t="e">
            <v>#VALUE!</v>
          </cell>
          <cell r="AQ1078">
            <v>0</v>
          </cell>
          <cell r="AR1078" t="e">
            <v>#VALUE!</v>
          </cell>
          <cell r="AS1078" t="e">
            <v>#VALUE!</v>
          </cell>
          <cell r="AT1078" t="e">
            <v>#VALUE!</v>
          </cell>
          <cell r="AU1078" t="e">
            <v>#VALUE!</v>
          </cell>
          <cell r="AV1078" t="e">
            <v>#VALUE!</v>
          </cell>
          <cell r="AW1078" t="e">
            <v>#VALUE!</v>
          </cell>
          <cell r="AY1078" t="e">
            <v>#VALUE!</v>
          </cell>
          <cell r="AZ1078" t="str">
            <v>F18</v>
          </cell>
          <cell r="BA1078">
            <v>0</v>
          </cell>
          <cell r="BB1078" t="str">
            <v/>
          </cell>
          <cell r="BC1078" t="str">
            <v>F18</v>
          </cell>
        </row>
        <row r="1079">
          <cell r="A1079" t="str">
            <v/>
          </cell>
          <cell r="B1079" t="str">
            <v>3</v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>
            <v>0</v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e">
            <v>#VALUE!</v>
          </cell>
          <cell r="R1079" t="str">
            <v/>
          </cell>
          <cell r="S1079" t="str">
            <v/>
          </cell>
          <cell r="T1079" t="str">
            <v/>
          </cell>
          <cell r="U1079" t="str">
            <v/>
          </cell>
          <cell r="V1079" t="str">
            <v/>
          </cell>
          <cell r="W1079" t="str">
            <v/>
          </cell>
          <cell r="X1079" t="str">
            <v/>
          </cell>
          <cell r="Z1079">
            <v>0</v>
          </cell>
          <cell r="AA1079" t="e">
            <v>#VALUE!</v>
          </cell>
          <cell r="AM1079" t="str">
            <v/>
          </cell>
          <cell r="AO1079" t="e">
            <v>#VALUE!</v>
          </cell>
          <cell r="AP1079" t="e">
            <v>#VALUE!</v>
          </cell>
          <cell r="AQ1079">
            <v>0</v>
          </cell>
          <cell r="AR1079" t="e">
            <v>#VALUE!</v>
          </cell>
          <cell r="AS1079" t="e">
            <v>#VALUE!</v>
          </cell>
          <cell r="AT1079" t="e">
            <v>#VALUE!</v>
          </cell>
          <cell r="AU1079" t="e">
            <v>#VALUE!</v>
          </cell>
          <cell r="AV1079" t="e">
            <v>#VALUE!</v>
          </cell>
          <cell r="AW1079" t="e">
            <v>#VALUE!</v>
          </cell>
          <cell r="AY1079" t="e">
            <v>#VALUE!</v>
          </cell>
          <cell r="AZ1079" t="str">
            <v>F18</v>
          </cell>
          <cell r="BA1079">
            <v>0</v>
          </cell>
          <cell r="BB1079" t="str">
            <v/>
          </cell>
          <cell r="BC1079" t="str">
            <v>F18</v>
          </cell>
        </row>
        <row r="1080">
          <cell r="A1080" t="str">
            <v/>
          </cell>
          <cell r="B1080" t="str">
            <v>3</v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>
            <v>0</v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e">
            <v>#VALUE!</v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/>
          </cell>
          <cell r="W1080" t="str">
            <v/>
          </cell>
          <cell r="X1080" t="str">
            <v/>
          </cell>
          <cell r="Z1080">
            <v>0</v>
          </cell>
          <cell r="AA1080" t="e">
            <v>#VALUE!</v>
          </cell>
          <cell r="AM1080" t="str">
            <v/>
          </cell>
          <cell r="AO1080" t="e">
            <v>#VALUE!</v>
          </cell>
          <cell r="AP1080" t="e">
            <v>#VALUE!</v>
          </cell>
          <cell r="AQ1080">
            <v>0</v>
          </cell>
          <cell r="AR1080" t="e">
            <v>#VALUE!</v>
          </cell>
          <cell r="AS1080" t="e">
            <v>#VALUE!</v>
          </cell>
          <cell r="AT1080" t="e">
            <v>#VALUE!</v>
          </cell>
          <cell r="AU1080" t="e">
            <v>#VALUE!</v>
          </cell>
          <cell r="AV1080" t="e">
            <v>#VALUE!</v>
          </cell>
          <cell r="AW1080" t="e">
            <v>#VALUE!</v>
          </cell>
          <cell r="AY1080" t="e">
            <v>#VALUE!</v>
          </cell>
          <cell r="AZ1080" t="str">
            <v>F18</v>
          </cell>
          <cell r="BA1080">
            <v>0</v>
          </cell>
          <cell r="BB1080" t="str">
            <v/>
          </cell>
          <cell r="BC1080" t="str">
            <v>F18</v>
          </cell>
        </row>
        <row r="1081">
          <cell r="A1081" t="str">
            <v/>
          </cell>
          <cell r="B1081" t="str">
            <v>3</v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>
            <v>0</v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e">
            <v>#VALUE!</v>
          </cell>
          <cell r="R1081" t="str">
            <v/>
          </cell>
          <cell r="S1081" t="str">
            <v/>
          </cell>
          <cell r="T1081" t="str">
            <v/>
          </cell>
          <cell r="U1081" t="str">
            <v/>
          </cell>
          <cell r="V1081" t="str">
            <v/>
          </cell>
          <cell r="W1081" t="str">
            <v/>
          </cell>
          <cell r="X1081" t="str">
            <v/>
          </cell>
          <cell r="Z1081">
            <v>0</v>
          </cell>
          <cell r="AA1081" t="e">
            <v>#VALUE!</v>
          </cell>
          <cell r="AM1081" t="str">
            <v/>
          </cell>
          <cell r="AO1081" t="e">
            <v>#VALUE!</v>
          </cell>
          <cell r="AP1081" t="e">
            <v>#VALUE!</v>
          </cell>
          <cell r="AQ1081">
            <v>0</v>
          </cell>
          <cell r="AR1081" t="e">
            <v>#VALUE!</v>
          </cell>
          <cell r="AS1081" t="e">
            <v>#VALUE!</v>
          </cell>
          <cell r="AT1081" t="e">
            <v>#VALUE!</v>
          </cell>
          <cell r="AU1081" t="e">
            <v>#VALUE!</v>
          </cell>
          <cell r="AV1081" t="e">
            <v>#VALUE!</v>
          </cell>
          <cell r="AW1081" t="e">
            <v>#VALUE!</v>
          </cell>
          <cell r="AY1081" t="e">
            <v>#VALUE!</v>
          </cell>
          <cell r="AZ1081" t="str">
            <v>F18</v>
          </cell>
          <cell r="BA1081">
            <v>0</v>
          </cell>
          <cell r="BB1081" t="str">
            <v/>
          </cell>
          <cell r="BC1081" t="str">
            <v>F18</v>
          </cell>
        </row>
        <row r="1082">
          <cell r="A1082" t="str">
            <v/>
          </cell>
          <cell r="B1082" t="str">
            <v>3</v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>
            <v>0</v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e">
            <v>#VALUE!</v>
          </cell>
          <cell r="R1082" t="str">
            <v/>
          </cell>
          <cell r="S1082" t="str">
            <v/>
          </cell>
          <cell r="T1082" t="str">
            <v/>
          </cell>
          <cell r="U1082" t="str">
            <v/>
          </cell>
          <cell r="V1082" t="str">
            <v/>
          </cell>
          <cell r="W1082" t="str">
            <v/>
          </cell>
          <cell r="X1082" t="str">
            <v/>
          </cell>
          <cell r="Z1082">
            <v>0</v>
          </cell>
          <cell r="AA1082" t="e">
            <v>#VALUE!</v>
          </cell>
          <cell r="AM1082" t="str">
            <v/>
          </cell>
          <cell r="AO1082" t="e">
            <v>#VALUE!</v>
          </cell>
          <cell r="AP1082" t="e">
            <v>#VALUE!</v>
          </cell>
          <cell r="AQ1082">
            <v>0</v>
          </cell>
          <cell r="AR1082" t="e">
            <v>#VALUE!</v>
          </cell>
          <cell r="AS1082" t="e">
            <v>#VALUE!</v>
          </cell>
          <cell r="AT1082" t="e">
            <v>#VALUE!</v>
          </cell>
          <cell r="AU1082" t="e">
            <v>#VALUE!</v>
          </cell>
          <cell r="AV1082" t="e">
            <v>#VALUE!</v>
          </cell>
          <cell r="AW1082" t="e">
            <v>#VALUE!</v>
          </cell>
          <cell r="AY1082" t="e">
            <v>#VALUE!</v>
          </cell>
          <cell r="AZ1082" t="str">
            <v>F18</v>
          </cell>
          <cell r="BA1082">
            <v>0</v>
          </cell>
          <cell r="BB1082" t="str">
            <v/>
          </cell>
          <cell r="BC1082" t="str">
            <v>F18</v>
          </cell>
        </row>
        <row r="1083">
          <cell r="A1083" t="str">
            <v/>
          </cell>
          <cell r="B1083" t="str">
            <v>3</v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>
            <v>0</v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e">
            <v>#VALUE!</v>
          </cell>
          <cell r="R1083" t="str">
            <v/>
          </cell>
          <cell r="S1083" t="str">
            <v/>
          </cell>
          <cell r="T1083" t="str">
            <v/>
          </cell>
          <cell r="U1083" t="str">
            <v/>
          </cell>
          <cell r="V1083" t="str">
            <v/>
          </cell>
          <cell r="W1083" t="str">
            <v/>
          </cell>
          <cell r="X1083" t="str">
            <v/>
          </cell>
          <cell r="Z1083">
            <v>0</v>
          </cell>
          <cell r="AA1083" t="e">
            <v>#VALUE!</v>
          </cell>
          <cell r="AM1083" t="str">
            <v/>
          </cell>
          <cell r="AO1083" t="e">
            <v>#VALUE!</v>
          </cell>
          <cell r="AP1083" t="e">
            <v>#VALUE!</v>
          </cell>
          <cell r="AQ1083">
            <v>0</v>
          </cell>
          <cell r="AR1083" t="e">
            <v>#VALUE!</v>
          </cell>
          <cell r="AS1083" t="e">
            <v>#VALUE!</v>
          </cell>
          <cell r="AT1083" t="e">
            <v>#VALUE!</v>
          </cell>
          <cell r="AU1083" t="e">
            <v>#VALUE!</v>
          </cell>
          <cell r="AV1083" t="e">
            <v>#VALUE!</v>
          </cell>
          <cell r="AW1083" t="e">
            <v>#VALUE!</v>
          </cell>
          <cell r="AY1083" t="e">
            <v>#VALUE!</v>
          </cell>
          <cell r="AZ1083" t="str">
            <v>F18</v>
          </cell>
          <cell r="BA1083">
            <v>0</v>
          </cell>
          <cell r="BB1083" t="str">
            <v/>
          </cell>
          <cell r="BC1083" t="str">
            <v>F18</v>
          </cell>
        </row>
        <row r="1084">
          <cell r="A1084" t="str">
            <v/>
          </cell>
          <cell r="B1084" t="str">
            <v>3</v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>
            <v>0</v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e">
            <v>#VALUE!</v>
          </cell>
          <cell r="R1084" t="str">
            <v/>
          </cell>
          <cell r="S1084" t="str">
            <v/>
          </cell>
          <cell r="T1084" t="str">
            <v/>
          </cell>
          <cell r="U1084" t="str">
            <v/>
          </cell>
          <cell r="V1084" t="str">
            <v/>
          </cell>
          <cell r="W1084" t="str">
            <v/>
          </cell>
          <cell r="X1084" t="str">
            <v/>
          </cell>
          <cell r="Z1084">
            <v>0</v>
          </cell>
          <cell r="AA1084" t="e">
            <v>#VALUE!</v>
          </cell>
          <cell r="AM1084" t="str">
            <v/>
          </cell>
          <cell r="AO1084" t="e">
            <v>#VALUE!</v>
          </cell>
          <cell r="AP1084" t="e">
            <v>#VALUE!</v>
          </cell>
          <cell r="AQ1084">
            <v>0</v>
          </cell>
          <cell r="AR1084" t="e">
            <v>#VALUE!</v>
          </cell>
          <cell r="AS1084" t="e">
            <v>#VALUE!</v>
          </cell>
          <cell r="AT1084" t="e">
            <v>#VALUE!</v>
          </cell>
          <cell r="AU1084" t="e">
            <v>#VALUE!</v>
          </cell>
          <cell r="AV1084" t="e">
            <v>#VALUE!</v>
          </cell>
          <cell r="AW1084" t="e">
            <v>#VALUE!</v>
          </cell>
          <cell r="AY1084" t="e">
            <v>#VALUE!</v>
          </cell>
          <cell r="AZ1084" t="str">
            <v>F18</v>
          </cell>
          <cell r="BA1084">
            <v>0</v>
          </cell>
          <cell r="BB1084" t="str">
            <v/>
          </cell>
          <cell r="BC1084" t="str">
            <v>F18</v>
          </cell>
        </row>
        <row r="1085">
          <cell r="A1085" t="str">
            <v/>
          </cell>
          <cell r="B1085" t="str">
            <v>3</v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>
            <v>0</v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e">
            <v>#VALUE!</v>
          </cell>
          <cell r="R1085" t="str">
            <v/>
          </cell>
          <cell r="S1085" t="str">
            <v/>
          </cell>
          <cell r="T1085" t="str">
            <v/>
          </cell>
          <cell r="U1085" t="str">
            <v/>
          </cell>
          <cell r="V1085" t="str">
            <v/>
          </cell>
          <cell r="W1085" t="str">
            <v/>
          </cell>
          <cell r="X1085" t="str">
            <v/>
          </cell>
          <cell r="Z1085">
            <v>0</v>
          </cell>
          <cell r="AA1085" t="e">
            <v>#VALUE!</v>
          </cell>
          <cell r="AM1085" t="str">
            <v/>
          </cell>
          <cell r="AO1085" t="e">
            <v>#VALUE!</v>
          </cell>
          <cell r="AP1085" t="e">
            <v>#VALUE!</v>
          </cell>
          <cell r="AQ1085">
            <v>0</v>
          </cell>
          <cell r="AR1085" t="e">
            <v>#VALUE!</v>
          </cell>
          <cell r="AS1085" t="e">
            <v>#VALUE!</v>
          </cell>
          <cell r="AT1085" t="e">
            <v>#VALUE!</v>
          </cell>
          <cell r="AU1085" t="e">
            <v>#VALUE!</v>
          </cell>
          <cell r="AV1085" t="e">
            <v>#VALUE!</v>
          </cell>
          <cell r="AW1085" t="e">
            <v>#VALUE!</v>
          </cell>
          <cell r="AY1085" t="e">
            <v>#VALUE!</v>
          </cell>
          <cell r="AZ1085" t="str">
            <v>F18</v>
          </cell>
          <cell r="BA1085">
            <v>0</v>
          </cell>
          <cell r="BB1085" t="str">
            <v/>
          </cell>
          <cell r="BC1085" t="str">
            <v>F18</v>
          </cell>
        </row>
        <row r="1086">
          <cell r="A1086" t="str">
            <v/>
          </cell>
          <cell r="B1086" t="str">
            <v>3</v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>
            <v>0</v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e">
            <v>#VALUE!</v>
          </cell>
          <cell r="R1086" t="str">
            <v/>
          </cell>
          <cell r="S1086" t="str">
            <v/>
          </cell>
          <cell r="T1086" t="str">
            <v/>
          </cell>
          <cell r="U1086" t="str">
            <v/>
          </cell>
          <cell r="V1086" t="str">
            <v/>
          </cell>
          <cell r="W1086" t="str">
            <v/>
          </cell>
          <cell r="X1086" t="str">
            <v/>
          </cell>
          <cell r="Z1086">
            <v>0</v>
          </cell>
          <cell r="AA1086" t="e">
            <v>#VALUE!</v>
          </cell>
          <cell r="AM1086" t="str">
            <v/>
          </cell>
          <cell r="AO1086" t="e">
            <v>#VALUE!</v>
          </cell>
          <cell r="AP1086" t="e">
            <v>#VALUE!</v>
          </cell>
          <cell r="AQ1086">
            <v>0</v>
          </cell>
          <cell r="AR1086" t="e">
            <v>#VALUE!</v>
          </cell>
          <cell r="AS1086" t="e">
            <v>#VALUE!</v>
          </cell>
          <cell r="AT1086" t="e">
            <v>#VALUE!</v>
          </cell>
          <cell r="AU1086" t="e">
            <v>#VALUE!</v>
          </cell>
          <cell r="AV1086" t="e">
            <v>#VALUE!</v>
          </cell>
          <cell r="AW1086" t="e">
            <v>#VALUE!</v>
          </cell>
          <cell r="AY1086" t="e">
            <v>#VALUE!</v>
          </cell>
          <cell r="AZ1086" t="str">
            <v>F18</v>
          </cell>
          <cell r="BA1086">
            <v>0</v>
          </cell>
          <cell r="BB1086" t="str">
            <v/>
          </cell>
          <cell r="BC1086" t="str">
            <v>F18</v>
          </cell>
        </row>
        <row r="1087">
          <cell r="A1087" t="str">
            <v/>
          </cell>
          <cell r="B1087" t="str">
            <v>3</v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>
            <v>0</v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e">
            <v>#VALUE!</v>
          </cell>
          <cell r="R1087" t="str">
            <v/>
          </cell>
          <cell r="S1087" t="str">
            <v/>
          </cell>
          <cell r="T1087" t="str">
            <v/>
          </cell>
          <cell r="U1087" t="str">
            <v/>
          </cell>
          <cell r="V1087" t="str">
            <v/>
          </cell>
          <cell r="W1087" t="str">
            <v/>
          </cell>
          <cell r="X1087" t="str">
            <v/>
          </cell>
          <cell r="Z1087">
            <v>0</v>
          </cell>
          <cell r="AA1087" t="e">
            <v>#VALUE!</v>
          </cell>
          <cell r="AM1087" t="str">
            <v/>
          </cell>
          <cell r="AO1087" t="e">
            <v>#VALUE!</v>
          </cell>
          <cell r="AP1087" t="e">
            <v>#VALUE!</v>
          </cell>
          <cell r="AQ1087">
            <v>0</v>
          </cell>
          <cell r="AR1087" t="e">
            <v>#VALUE!</v>
          </cell>
          <cell r="AS1087" t="e">
            <v>#VALUE!</v>
          </cell>
          <cell r="AT1087" t="e">
            <v>#VALUE!</v>
          </cell>
          <cell r="AU1087" t="e">
            <v>#VALUE!</v>
          </cell>
          <cell r="AV1087" t="e">
            <v>#VALUE!</v>
          </cell>
          <cell r="AW1087" t="e">
            <v>#VALUE!</v>
          </cell>
          <cell r="AY1087" t="e">
            <v>#VALUE!</v>
          </cell>
          <cell r="AZ1087" t="str">
            <v>F18</v>
          </cell>
          <cell r="BA1087">
            <v>0</v>
          </cell>
          <cell r="BB1087" t="str">
            <v/>
          </cell>
          <cell r="BC1087" t="str">
            <v>F18</v>
          </cell>
        </row>
        <row r="1088">
          <cell r="A1088" t="str">
            <v/>
          </cell>
          <cell r="B1088" t="str">
            <v>3</v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>
            <v>0</v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e">
            <v>#VALUE!</v>
          </cell>
          <cell r="R1088" t="str">
            <v/>
          </cell>
          <cell r="S1088" t="str">
            <v/>
          </cell>
          <cell r="T1088" t="str">
            <v/>
          </cell>
          <cell r="U1088" t="str">
            <v/>
          </cell>
          <cell r="V1088" t="str">
            <v/>
          </cell>
          <cell r="W1088" t="str">
            <v/>
          </cell>
          <cell r="X1088" t="str">
            <v/>
          </cell>
          <cell r="Z1088">
            <v>0</v>
          </cell>
          <cell r="AA1088" t="e">
            <v>#VALUE!</v>
          </cell>
          <cell r="AM1088" t="str">
            <v/>
          </cell>
          <cell r="AO1088" t="e">
            <v>#VALUE!</v>
          </cell>
          <cell r="AP1088" t="e">
            <v>#VALUE!</v>
          </cell>
          <cell r="AQ1088">
            <v>0</v>
          </cell>
          <cell r="AR1088" t="e">
            <v>#VALUE!</v>
          </cell>
          <cell r="AS1088" t="e">
            <v>#VALUE!</v>
          </cell>
          <cell r="AT1088" t="e">
            <v>#VALUE!</v>
          </cell>
          <cell r="AU1088" t="e">
            <v>#VALUE!</v>
          </cell>
          <cell r="AV1088" t="e">
            <v>#VALUE!</v>
          </cell>
          <cell r="AW1088" t="e">
            <v>#VALUE!</v>
          </cell>
          <cell r="AY1088" t="e">
            <v>#VALUE!</v>
          </cell>
          <cell r="AZ1088" t="str">
            <v>F18</v>
          </cell>
          <cell r="BA1088">
            <v>0</v>
          </cell>
          <cell r="BB1088" t="str">
            <v/>
          </cell>
          <cell r="BC1088" t="str">
            <v>F18</v>
          </cell>
        </row>
        <row r="1089">
          <cell r="A1089" t="str">
            <v/>
          </cell>
          <cell r="B1089" t="str">
            <v>3</v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>
            <v>0</v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e">
            <v>#VALUE!</v>
          </cell>
          <cell r="R1089" t="str">
            <v/>
          </cell>
          <cell r="S1089" t="str">
            <v/>
          </cell>
          <cell r="T1089" t="str">
            <v/>
          </cell>
          <cell r="U1089" t="str">
            <v/>
          </cell>
          <cell r="V1089" t="str">
            <v/>
          </cell>
          <cell r="W1089" t="str">
            <v/>
          </cell>
          <cell r="X1089" t="str">
            <v/>
          </cell>
          <cell r="Z1089">
            <v>0</v>
          </cell>
          <cell r="AA1089" t="e">
            <v>#VALUE!</v>
          </cell>
          <cell r="AM1089" t="str">
            <v/>
          </cell>
          <cell r="AO1089" t="e">
            <v>#VALUE!</v>
          </cell>
          <cell r="AP1089" t="e">
            <v>#VALUE!</v>
          </cell>
          <cell r="AQ1089">
            <v>0</v>
          </cell>
          <cell r="AR1089" t="e">
            <v>#VALUE!</v>
          </cell>
          <cell r="AS1089" t="e">
            <v>#VALUE!</v>
          </cell>
          <cell r="AT1089" t="e">
            <v>#VALUE!</v>
          </cell>
          <cell r="AU1089" t="e">
            <v>#VALUE!</v>
          </cell>
          <cell r="AV1089" t="e">
            <v>#VALUE!</v>
          </cell>
          <cell r="AW1089" t="e">
            <v>#VALUE!</v>
          </cell>
          <cell r="AY1089" t="e">
            <v>#VALUE!</v>
          </cell>
          <cell r="AZ1089" t="str">
            <v>F18</v>
          </cell>
          <cell r="BA1089">
            <v>0</v>
          </cell>
          <cell r="BB1089" t="str">
            <v/>
          </cell>
          <cell r="BC1089" t="str">
            <v>F18</v>
          </cell>
        </row>
        <row r="1090">
          <cell r="A1090" t="str">
            <v/>
          </cell>
          <cell r="B1090" t="str">
            <v>3</v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>
            <v>0</v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e">
            <v>#VALUE!</v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 t="str">
            <v/>
          </cell>
          <cell r="W1090" t="str">
            <v/>
          </cell>
          <cell r="X1090" t="str">
            <v/>
          </cell>
          <cell r="Z1090">
            <v>0</v>
          </cell>
          <cell r="AA1090" t="e">
            <v>#VALUE!</v>
          </cell>
          <cell r="AM1090" t="str">
            <v/>
          </cell>
          <cell r="AO1090" t="e">
            <v>#VALUE!</v>
          </cell>
          <cell r="AP1090" t="e">
            <v>#VALUE!</v>
          </cell>
          <cell r="AQ1090">
            <v>0</v>
          </cell>
          <cell r="AR1090" t="e">
            <v>#VALUE!</v>
          </cell>
          <cell r="AS1090" t="e">
            <v>#VALUE!</v>
          </cell>
          <cell r="AT1090" t="e">
            <v>#VALUE!</v>
          </cell>
          <cell r="AU1090" t="e">
            <v>#VALUE!</v>
          </cell>
          <cell r="AV1090" t="e">
            <v>#VALUE!</v>
          </cell>
          <cell r="AW1090" t="e">
            <v>#VALUE!</v>
          </cell>
          <cell r="AY1090" t="e">
            <v>#VALUE!</v>
          </cell>
          <cell r="AZ1090" t="str">
            <v>F18</v>
          </cell>
          <cell r="BA1090">
            <v>0</v>
          </cell>
          <cell r="BB1090" t="str">
            <v/>
          </cell>
          <cell r="BC1090" t="str">
            <v>F18</v>
          </cell>
        </row>
        <row r="1091">
          <cell r="A1091" t="str">
            <v/>
          </cell>
          <cell r="B1091" t="str">
            <v>3</v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>
            <v>0</v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e">
            <v>#VALUE!</v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/>
          </cell>
          <cell r="X1091" t="str">
            <v/>
          </cell>
          <cell r="Z1091">
            <v>0</v>
          </cell>
          <cell r="AA1091" t="e">
            <v>#VALUE!</v>
          </cell>
          <cell r="AM1091" t="str">
            <v/>
          </cell>
          <cell r="AO1091" t="e">
            <v>#VALUE!</v>
          </cell>
          <cell r="AP1091" t="e">
            <v>#VALUE!</v>
          </cell>
          <cell r="AQ1091">
            <v>0</v>
          </cell>
          <cell r="AR1091" t="e">
            <v>#VALUE!</v>
          </cell>
          <cell r="AS1091" t="e">
            <v>#VALUE!</v>
          </cell>
          <cell r="AT1091" t="e">
            <v>#VALUE!</v>
          </cell>
          <cell r="AU1091" t="e">
            <v>#VALUE!</v>
          </cell>
          <cell r="AV1091" t="e">
            <v>#VALUE!</v>
          </cell>
          <cell r="AW1091" t="e">
            <v>#VALUE!</v>
          </cell>
          <cell r="AY1091" t="e">
            <v>#VALUE!</v>
          </cell>
          <cell r="AZ1091" t="str">
            <v>F18</v>
          </cell>
          <cell r="BA1091">
            <v>0</v>
          </cell>
          <cell r="BB1091" t="str">
            <v/>
          </cell>
          <cell r="BC1091" t="str">
            <v>F18</v>
          </cell>
        </row>
        <row r="1092">
          <cell r="A1092" t="str">
            <v/>
          </cell>
          <cell r="B1092" t="str">
            <v>3</v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>
            <v>0</v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e">
            <v>#VALUE!</v>
          </cell>
          <cell r="R1092" t="str">
            <v/>
          </cell>
          <cell r="S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  <cell r="X1092" t="str">
            <v/>
          </cell>
          <cell r="Z1092">
            <v>0</v>
          </cell>
          <cell r="AA1092" t="e">
            <v>#VALUE!</v>
          </cell>
          <cell r="AM1092" t="str">
            <v/>
          </cell>
          <cell r="AO1092" t="e">
            <v>#VALUE!</v>
          </cell>
          <cell r="AP1092" t="e">
            <v>#VALUE!</v>
          </cell>
          <cell r="AQ1092">
            <v>0</v>
          </cell>
          <cell r="AR1092" t="e">
            <v>#VALUE!</v>
          </cell>
          <cell r="AS1092" t="e">
            <v>#VALUE!</v>
          </cell>
          <cell r="AT1092" t="e">
            <v>#VALUE!</v>
          </cell>
          <cell r="AU1092" t="e">
            <v>#VALUE!</v>
          </cell>
          <cell r="AV1092" t="e">
            <v>#VALUE!</v>
          </cell>
          <cell r="AW1092" t="e">
            <v>#VALUE!</v>
          </cell>
          <cell r="AY1092" t="e">
            <v>#VALUE!</v>
          </cell>
          <cell r="AZ1092" t="str">
            <v>F18</v>
          </cell>
          <cell r="BA1092">
            <v>0</v>
          </cell>
          <cell r="BB1092" t="str">
            <v/>
          </cell>
          <cell r="BC1092" t="str">
            <v>F18</v>
          </cell>
        </row>
        <row r="1093">
          <cell r="A1093" t="str">
            <v/>
          </cell>
          <cell r="B1093" t="str">
            <v>3</v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>
            <v>0</v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e">
            <v>#VALUE!</v>
          </cell>
          <cell r="R1093" t="str">
            <v/>
          </cell>
          <cell r="S1093" t="str">
            <v/>
          </cell>
          <cell r="T1093" t="str">
            <v/>
          </cell>
          <cell r="U1093" t="str">
            <v/>
          </cell>
          <cell r="V1093" t="str">
            <v/>
          </cell>
          <cell r="W1093" t="str">
            <v/>
          </cell>
          <cell r="X1093" t="str">
            <v/>
          </cell>
          <cell r="Z1093">
            <v>0</v>
          </cell>
          <cell r="AA1093" t="e">
            <v>#VALUE!</v>
          </cell>
          <cell r="AM1093" t="str">
            <v/>
          </cell>
          <cell r="AO1093" t="e">
            <v>#VALUE!</v>
          </cell>
          <cell r="AP1093" t="e">
            <v>#VALUE!</v>
          </cell>
          <cell r="AQ1093">
            <v>0</v>
          </cell>
          <cell r="AR1093" t="e">
            <v>#VALUE!</v>
          </cell>
          <cell r="AS1093" t="e">
            <v>#VALUE!</v>
          </cell>
          <cell r="AT1093" t="e">
            <v>#VALUE!</v>
          </cell>
          <cell r="AU1093" t="e">
            <v>#VALUE!</v>
          </cell>
          <cell r="AV1093" t="e">
            <v>#VALUE!</v>
          </cell>
          <cell r="AW1093" t="e">
            <v>#VALUE!</v>
          </cell>
          <cell r="AY1093" t="e">
            <v>#VALUE!</v>
          </cell>
          <cell r="AZ1093" t="str">
            <v>F18</v>
          </cell>
          <cell r="BA1093">
            <v>0</v>
          </cell>
          <cell r="BB1093" t="str">
            <v/>
          </cell>
          <cell r="BC1093" t="str">
            <v>F18</v>
          </cell>
        </row>
        <row r="1094">
          <cell r="A1094" t="str">
            <v/>
          </cell>
          <cell r="B1094" t="str">
            <v>3</v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>
            <v>0</v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e">
            <v>#VALUE!</v>
          </cell>
          <cell r="R1094" t="str">
            <v/>
          </cell>
          <cell r="S1094" t="str">
            <v/>
          </cell>
          <cell r="T1094" t="str">
            <v/>
          </cell>
          <cell r="U1094" t="str">
            <v/>
          </cell>
          <cell r="V1094" t="str">
            <v/>
          </cell>
          <cell r="W1094" t="str">
            <v/>
          </cell>
          <cell r="X1094" t="str">
            <v/>
          </cell>
          <cell r="Z1094">
            <v>0</v>
          </cell>
          <cell r="AA1094" t="e">
            <v>#VALUE!</v>
          </cell>
          <cell r="AM1094" t="str">
            <v/>
          </cell>
          <cell r="AO1094" t="e">
            <v>#VALUE!</v>
          </cell>
          <cell r="AP1094" t="e">
            <v>#VALUE!</v>
          </cell>
          <cell r="AQ1094">
            <v>0</v>
          </cell>
          <cell r="AR1094" t="e">
            <v>#VALUE!</v>
          </cell>
          <cell r="AS1094" t="e">
            <v>#VALUE!</v>
          </cell>
          <cell r="AT1094" t="e">
            <v>#VALUE!</v>
          </cell>
          <cell r="AU1094" t="e">
            <v>#VALUE!</v>
          </cell>
          <cell r="AV1094" t="e">
            <v>#VALUE!</v>
          </cell>
          <cell r="AW1094" t="e">
            <v>#VALUE!</v>
          </cell>
          <cell r="AY1094" t="e">
            <v>#VALUE!</v>
          </cell>
          <cell r="AZ1094" t="str">
            <v>F18</v>
          </cell>
          <cell r="BA1094">
            <v>0</v>
          </cell>
          <cell r="BB1094" t="str">
            <v/>
          </cell>
          <cell r="BC1094" t="str">
            <v>F18</v>
          </cell>
        </row>
        <row r="1095">
          <cell r="A1095" t="str">
            <v/>
          </cell>
          <cell r="B1095" t="str">
            <v>3</v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>
            <v>0</v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e">
            <v>#VALUE!</v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/>
          </cell>
          <cell r="W1095" t="str">
            <v/>
          </cell>
          <cell r="X1095" t="str">
            <v/>
          </cell>
          <cell r="Z1095">
            <v>0</v>
          </cell>
          <cell r="AA1095" t="e">
            <v>#VALUE!</v>
          </cell>
          <cell r="AM1095" t="str">
            <v/>
          </cell>
          <cell r="AO1095" t="e">
            <v>#VALUE!</v>
          </cell>
          <cell r="AP1095" t="e">
            <v>#VALUE!</v>
          </cell>
          <cell r="AQ1095">
            <v>0</v>
          </cell>
          <cell r="AR1095" t="e">
            <v>#VALUE!</v>
          </cell>
          <cell r="AS1095" t="e">
            <v>#VALUE!</v>
          </cell>
          <cell r="AT1095" t="e">
            <v>#VALUE!</v>
          </cell>
          <cell r="AU1095" t="e">
            <v>#VALUE!</v>
          </cell>
          <cell r="AV1095" t="e">
            <v>#VALUE!</v>
          </cell>
          <cell r="AW1095" t="e">
            <v>#VALUE!</v>
          </cell>
          <cell r="AY1095" t="e">
            <v>#VALUE!</v>
          </cell>
          <cell r="AZ1095" t="str">
            <v>F18</v>
          </cell>
          <cell r="BA1095">
            <v>0</v>
          </cell>
          <cell r="BB1095" t="str">
            <v/>
          </cell>
          <cell r="BC1095" t="str">
            <v>F18</v>
          </cell>
        </row>
        <row r="1096">
          <cell r="A1096" t="str">
            <v/>
          </cell>
          <cell r="B1096" t="str">
            <v>3</v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>
            <v>0</v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e">
            <v>#VALUE!</v>
          </cell>
          <cell r="R1096" t="str">
            <v/>
          </cell>
          <cell r="S1096" t="str">
            <v/>
          </cell>
          <cell r="T1096" t="str">
            <v/>
          </cell>
          <cell r="U1096" t="str">
            <v/>
          </cell>
          <cell r="V1096" t="str">
            <v/>
          </cell>
          <cell r="W1096" t="str">
            <v/>
          </cell>
          <cell r="X1096" t="str">
            <v/>
          </cell>
          <cell r="Z1096">
            <v>0</v>
          </cell>
          <cell r="AA1096" t="e">
            <v>#VALUE!</v>
          </cell>
          <cell r="AM1096" t="str">
            <v/>
          </cell>
          <cell r="AO1096" t="e">
            <v>#VALUE!</v>
          </cell>
          <cell r="AP1096" t="e">
            <v>#VALUE!</v>
          </cell>
          <cell r="AQ1096">
            <v>0</v>
          </cell>
          <cell r="AR1096" t="e">
            <v>#VALUE!</v>
          </cell>
          <cell r="AS1096" t="e">
            <v>#VALUE!</v>
          </cell>
          <cell r="AT1096" t="e">
            <v>#VALUE!</v>
          </cell>
          <cell r="AU1096" t="e">
            <v>#VALUE!</v>
          </cell>
          <cell r="AV1096" t="e">
            <v>#VALUE!</v>
          </cell>
          <cell r="AW1096" t="e">
            <v>#VALUE!</v>
          </cell>
          <cell r="AY1096" t="e">
            <v>#VALUE!</v>
          </cell>
          <cell r="AZ1096" t="str">
            <v>F18</v>
          </cell>
          <cell r="BA1096">
            <v>0</v>
          </cell>
          <cell r="BB1096" t="str">
            <v/>
          </cell>
          <cell r="BC1096" t="str">
            <v>F18</v>
          </cell>
        </row>
        <row r="1097">
          <cell r="A1097" t="str">
            <v/>
          </cell>
          <cell r="B1097" t="str">
            <v>3</v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>
            <v>0</v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e">
            <v>#VALUE!</v>
          </cell>
          <cell r="R1097" t="str">
            <v/>
          </cell>
          <cell r="S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/>
          </cell>
          <cell r="X1097" t="str">
            <v/>
          </cell>
          <cell r="Z1097">
            <v>0</v>
          </cell>
          <cell r="AA1097" t="e">
            <v>#VALUE!</v>
          </cell>
          <cell r="AM1097" t="str">
            <v/>
          </cell>
          <cell r="AO1097" t="e">
            <v>#VALUE!</v>
          </cell>
          <cell r="AP1097" t="e">
            <v>#VALUE!</v>
          </cell>
          <cell r="AQ1097">
            <v>0</v>
          </cell>
          <cell r="AR1097" t="e">
            <v>#VALUE!</v>
          </cell>
          <cell r="AS1097" t="e">
            <v>#VALUE!</v>
          </cell>
          <cell r="AT1097" t="e">
            <v>#VALUE!</v>
          </cell>
          <cell r="AU1097" t="e">
            <v>#VALUE!</v>
          </cell>
          <cell r="AV1097" t="e">
            <v>#VALUE!</v>
          </cell>
          <cell r="AW1097" t="e">
            <v>#VALUE!</v>
          </cell>
          <cell r="AY1097" t="e">
            <v>#VALUE!</v>
          </cell>
          <cell r="AZ1097" t="str">
            <v>F18</v>
          </cell>
          <cell r="BA1097">
            <v>0</v>
          </cell>
          <cell r="BB1097" t="str">
            <v/>
          </cell>
          <cell r="BC1097" t="str">
            <v>F18</v>
          </cell>
        </row>
        <row r="1098">
          <cell r="A1098" t="str">
            <v/>
          </cell>
          <cell r="B1098" t="str">
            <v>3</v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>
            <v>0</v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e">
            <v>#VALUE!</v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  <cell r="X1098" t="str">
            <v/>
          </cell>
          <cell r="Z1098">
            <v>0</v>
          </cell>
          <cell r="AA1098" t="e">
            <v>#VALUE!</v>
          </cell>
          <cell r="AM1098" t="str">
            <v/>
          </cell>
          <cell r="AO1098" t="e">
            <v>#VALUE!</v>
          </cell>
          <cell r="AP1098" t="e">
            <v>#VALUE!</v>
          </cell>
          <cell r="AQ1098">
            <v>0</v>
          </cell>
          <cell r="AR1098" t="e">
            <v>#VALUE!</v>
          </cell>
          <cell r="AS1098" t="e">
            <v>#VALUE!</v>
          </cell>
          <cell r="AT1098" t="e">
            <v>#VALUE!</v>
          </cell>
          <cell r="AU1098" t="e">
            <v>#VALUE!</v>
          </cell>
          <cell r="AV1098" t="e">
            <v>#VALUE!</v>
          </cell>
          <cell r="AW1098" t="e">
            <v>#VALUE!</v>
          </cell>
          <cell r="AY1098" t="e">
            <v>#VALUE!</v>
          </cell>
          <cell r="AZ1098" t="str">
            <v>F18</v>
          </cell>
          <cell r="BA1098">
            <v>0</v>
          </cell>
          <cell r="BB1098" t="str">
            <v/>
          </cell>
          <cell r="BC1098" t="str">
            <v>F18</v>
          </cell>
        </row>
        <row r="1099">
          <cell r="A1099" t="str">
            <v/>
          </cell>
          <cell r="B1099" t="str">
            <v>3</v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>
            <v>0</v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e">
            <v>#VALUE!</v>
          </cell>
          <cell r="R1099" t="str">
            <v/>
          </cell>
          <cell r="S1099" t="str">
            <v/>
          </cell>
          <cell r="T1099" t="str">
            <v/>
          </cell>
          <cell r="U1099" t="str">
            <v/>
          </cell>
          <cell r="V1099" t="str">
            <v/>
          </cell>
          <cell r="W1099" t="str">
            <v/>
          </cell>
          <cell r="X1099" t="str">
            <v/>
          </cell>
          <cell r="Z1099">
            <v>0</v>
          </cell>
          <cell r="AA1099" t="e">
            <v>#VALUE!</v>
          </cell>
          <cell r="AM1099" t="str">
            <v/>
          </cell>
          <cell r="AO1099" t="e">
            <v>#VALUE!</v>
          </cell>
          <cell r="AP1099" t="e">
            <v>#VALUE!</v>
          </cell>
          <cell r="AQ1099">
            <v>0</v>
          </cell>
          <cell r="AR1099" t="e">
            <v>#VALUE!</v>
          </cell>
          <cell r="AS1099" t="e">
            <v>#VALUE!</v>
          </cell>
          <cell r="AT1099" t="e">
            <v>#VALUE!</v>
          </cell>
          <cell r="AU1099" t="e">
            <v>#VALUE!</v>
          </cell>
          <cell r="AV1099" t="e">
            <v>#VALUE!</v>
          </cell>
          <cell r="AW1099" t="e">
            <v>#VALUE!</v>
          </cell>
          <cell r="AY1099" t="e">
            <v>#VALUE!</v>
          </cell>
          <cell r="AZ1099" t="str">
            <v>F18</v>
          </cell>
          <cell r="BA1099">
            <v>0</v>
          </cell>
          <cell r="BB1099" t="str">
            <v/>
          </cell>
          <cell r="BC1099" t="str">
            <v>F18</v>
          </cell>
        </row>
        <row r="1100">
          <cell r="A1100" t="str">
            <v/>
          </cell>
          <cell r="B1100" t="str">
            <v>3</v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>
            <v>0</v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e">
            <v>#VALUE!</v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/>
          </cell>
          <cell r="X1100" t="str">
            <v/>
          </cell>
          <cell r="Z1100">
            <v>0</v>
          </cell>
          <cell r="AA1100" t="e">
            <v>#VALUE!</v>
          </cell>
          <cell r="AM1100" t="str">
            <v/>
          </cell>
          <cell r="AO1100" t="e">
            <v>#VALUE!</v>
          </cell>
          <cell r="AP1100" t="e">
            <v>#VALUE!</v>
          </cell>
          <cell r="AQ1100">
            <v>0</v>
          </cell>
          <cell r="AR1100" t="e">
            <v>#VALUE!</v>
          </cell>
          <cell r="AS1100" t="e">
            <v>#VALUE!</v>
          </cell>
          <cell r="AT1100" t="e">
            <v>#VALUE!</v>
          </cell>
          <cell r="AU1100" t="e">
            <v>#VALUE!</v>
          </cell>
          <cell r="AV1100" t="e">
            <v>#VALUE!</v>
          </cell>
          <cell r="AW1100" t="e">
            <v>#VALUE!</v>
          </cell>
          <cell r="AY1100" t="e">
            <v>#VALUE!</v>
          </cell>
          <cell r="AZ1100" t="str">
            <v>F18</v>
          </cell>
          <cell r="BA1100">
            <v>0</v>
          </cell>
          <cell r="BB1100" t="str">
            <v/>
          </cell>
          <cell r="BC1100" t="str">
            <v>F18</v>
          </cell>
        </row>
        <row r="1101">
          <cell r="A1101" t="str">
            <v/>
          </cell>
          <cell r="B1101" t="str">
            <v>3</v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>
            <v>0</v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e">
            <v>#VALUE!</v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 t="str">
            <v/>
          </cell>
          <cell r="W1101" t="str">
            <v/>
          </cell>
          <cell r="X1101" t="str">
            <v/>
          </cell>
          <cell r="Z1101">
            <v>0</v>
          </cell>
          <cell r="AA1101" t="e">
            <v>#VALUE!</v>
          </cell>
          <cell r="AM1101" t="str">
            <v/>
          </cell>
          <cell r="AO1101" t="e">
            <v>#VALUE!</v>
          </cell>
          <cell r="AP1101" t="e">
            <v>#VALUE!</v>
          </cell>
          <cell r="AQ1101">
            <v>0</v>
          </cell>
          <cell r="AR1101" t="e">
            <v>#VALUE!</v>
          </cell>
          <cell r="AS1101" t="e">
            <v>#VALUE!</v>
          </cell>
          <cell r="AT1101" t="e">
            <v>#VALUE!</v>
          </cell>
          <cell r="AU1101" t="e">
            <v>#VALUE!</v>
          </cell>
          <cell r="AV1101" t="e">
            <v>#VALUE!</v>
          </cell>
          <cell r="AW1101" t="e">
            <v>#VALUE!</v>
          </cell>
          <cell r="AY1101" t="e">
            <v>#VALUE!</v>
          </cell>
          <cell r="AZ1101" t="str">
            <v>F18</v>
          </cell>
          <cell r="BA1101">
            <v>0</v>
          </cell>
          <cell r="BB1101" t="str">
            <v/>
          </cell>
          <cell r="BC1101" t="str">
            <v>F18</v>
          </cell>
        </row>
        <row r="1102">
          <cell r="A1102" t="str">
            <v/>
          </cell>
          <cell r="B1102" t="str">
            <v>3</v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>
            <v>0</v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e">
            <v>#VALUE!</v>
          </cell>
          <cell r="R1102" t="str">
            <v/>
          </cell>
          <cell r="S1102" t="str">
            <v/>
          </cell>
          <cell r="T1102" t="str">
            <v/>
          </cell>
          <cell r="U1102" t="str">
            <v/>
          </cell>
          <cell r="V1102" t="str">
            <v/>
          </cell>
          <cell r="W1102" t="str">
            <v/>
          </cell>
          <cell r="X1102" t="str">
            <v/>
          </cell>
          <cell r="Z1102">
            <v>0</v>
          </cell>
          <cell r="AA1102" t="e">
            <v>#VALUE!</v>
          </cell>
          <cell r="AM1102" t="str">
            <v/>
          </cell>
          <cell r="AO1102" t="e">
            <v>#VALUE!</v>
          </cell>
          <cell r="AP1102" t="e">
            <v>#VALUE!</v>
          </cell>
          <cell r="AQ1102">
            <v>0</v>
          </cell>
          <cell r="AR1102" t="e">
            <v>#VALUE!</v>
          </cell>
          <cell r="AS1102" t="e">
            <v>#VALUE!</v>
          </cell>
          <cell r="AT1102" t="e">
            <v>#VALUE!</v>
          </cell>
          <cell r="AU1102" t="e">
            <v>#VALUE!</v>
          </cell>
          <cell r="AV1102" t="e">
            <v>#VALUE!</v>
          </cell>
          <cell r="AW1102" t="e">
            <v>#VALUE!</v>
          </cell>
          <cell r="AY1102" t="e">
            <v>#VALUE!</v>
          </cell>
          <cell r="AZ1102" t="str">
            <v>F18</v>
          </cell>
          <cell r="BA1102">
            <v>0</v>
          </cell>
          <cell r="BB1102" t="str">
            <v/>
          </cell>
          <cell r="BC1102" t="str">
            <v>F18</v>
          </cell>
        </row>
        <row r="1103">
          <cell r="A1103" t="str">
            <v/>
          </cell>
          <cell r="B1103" t="str">
            <v>3</v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>
            <v>0</v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e">
            <v>#VALUE!</v>
          </cell>
          <cell r="R1103" t="str">
            <v/>
          </cell>
          <cell r="S1103" t="str">
            <v/>
          </cell>
          <cell r="T1103" t="str">
            <v/>
          </cell>
          <cell r="U1103" t="str">
            <v/>
          </cell>
          <cell r="V1103" t="str">
            <v/>
          </cell>
          <cell r="W1103" t="str">
            <v/>
          </cell>
          <cell r="X1103" t="str">
            <v/>
          </cell>
          <cell r="Z1103">
            <v>0</v>
          </cell>
          <cell r="AA1103" t="e">
            <v>#VALUE!</v>
          </cell>
          <cell r="AM1103" t="str">
            <v/>
          </cell>
          <cell r="AO1103" t="e">
            <v>#VALUE!</v>
          </cell>
          <cell r="AP1103" t="e">
            <v>#VALUE!</v>
          </cell>
          <cell r="AQ1103">
            <v>0</v>
          </cell>
          <cell r="AR1103" t="e">
            <v>#VALUE!</v>
          </cell>
          <cell r="AS1103" t="e">
            <v>#VALUE!</v>
          </cell>
          <cell r="AT1103" t="e">
            <v>#VALUE!</v>
          </cell>
          <cell r="AU1103" t="e">
            <v>#VALUE!</v>
          </cell>
          <cell r="AV1103" t="e">
            <v>#VALUE!</v>
          </cell>
          <cell r="AW1103" t="e">
            <v>#VALUE!</v>
          </cell>
          <cell r="AY1103" t="e">
            <v>#VALUE!</v>
          </cell>
          <cell r="AZ1103" t="str">
            <v>F18</v>
          </cell>
          <cell r="BA1103">
            <v>0</v>
          </cell>
          <cell r="BB1103" t="str">
            <v/>
          </cell>
          <cell r="BC1103" t="str">
            <v>F18</v>
          </cell>
        </row>
        <row r="1104">
          <cell r="A1104" t="str">
            <v/>
          </cell>
          <cell r="B1104" t="str">
            <v>3</v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>
            <v>0</v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e">
            <v>#VALUE!</v>
          </cell>
          <cell r="R1104" t="str">
            <v/>
          </cell>
          <cell r="S1104" t="str">
            <v/>
          </cell>
          <cell r="T1104" t="str">
            <v/>
          </cell>
          <cell r="U1104" t="str">
            <v/>
          </cell>
          <cell r="V1104" t="str">
            <v/>
          </cell>
          <cell r="W1104" t="str">
            <v/>
          </cell>
          <cell r="X1104" t="str">
            <v/>
          </cell>
          <cell r="Z1104">
            <v>0</v>
          </cell>
          <cell r="AA1104" t="e">
            <v>#VALUE!</v>
          </cell>
          <cell r="AM1104" t="str">
            <v/>
          </cell>
          <cell r="AO1104" t="e">
            <v>#VALUE!</v>
          </cell>
          <cell r="AP1104" t="e">
            <v>#VALUE!</v>
          </cell>
          <cell r="AQ1104">
            <v>0</v>
          </cell>
          <cell r="AR1104" t="e">
            <v>#VALUE!</v>
          </cell>
          <cell r="AS1104" t="e">
            <v>#VALUE!</v>
          </cell>
          <cell r="AT1104" t="e">
            <v>#VALUE!</v>
          </cell>
          <cell r="AU1104" t="e">
            <v>#VALUE!</v>
          </cell>
          <cell r="AV1104" t="e">
            <v>#VALUE!</v>
          </cell>
          <cell r="AW1104" t="e">
            <v>#VALUE!</v>
          </cell>
          <cell r="AY1104" t="e">
            <v>#VALUE!</v>
          </cell>
          <cell r="AZ1104" t="str">
            <v>F18</v>
          </cell>
          <cell r="BA1104">
            <v>0</v>
          </cell>
          <cell r="BB1104" t="str">
            <v/>
          </cell>
          <cell r="BC1104" t="str">
            <v>F18</v>
          </cell>
        </row>
        <row r="1105">
          <cell r="A1105" t="str">
            <v/>
          </cell>
          <cell r="B1105" t="str">
            <v>3</v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>
            <v>0</v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e">
            <v>#VALUE!</v>
          </cell>
          <cell r="R1105" t="str">
            <v/>
          </cell>
          <cell r="S1105" t="str">
            <v/>
          </cell>
          <cell r="T1105" t="str">
            <v/>
          </cell>
          <cell r="U1105" t="str">
            <v/>
          </cell>
          <cell r="V1105" t="str">
            <v/>
          </cell>
          <cell r="W1105" t="str">
            <v/>
          </cell>
          <cell r="X1105" t="str">
            <v/>
          </cell>
          <cell r="Z1105">
            <v>0</v>
          </cell>
          <cell r="AA1105" t="e">
            <v>#VALUE!</v>
          </cell>
          <cell r="AM1105" t="str">
            <v/>
          </cell>
          <cell r="AO1105" t="e">
            <v>#VALUE!</v>
          </cell>
          <cell r="AP1105" t="e">
            <v>#VALUE!</v>
          </cell>
          <cell r="AQ1105">
            <v>0</v>
          </cell>
          <cell r="AR1105" t="e">
            <v>#VALUE!</v>
          </cell>
          <cell r="AS1105" t="e">
            <v>#VALUE!</v>
          </cell>
          <cell r="AT1105" t="e">
            <v>#VALUE!</v>
          </cell>
          <cell r="AU1105" t="e">
            <v>#VALUE!</v>
          </cell>
          <cell r="AV1105" t="e">
            <v>#VALUE!</v>
          </cell>
          <cell r="AW1105" t="e">
            <v>#VALUE!</v>
          </cell>
          <cell r="AY1105" t="e">
            <v>#VALUE!</v>
          </cell>
          <cell r="AZ1105" t="str">
            <v>F18</v>
          </cell>
          <cell r="BA1105">
            <v>0</v>
          </cell>
          <cell r="BB1105" t="str">
            <v/>
          </cell>
          <cell r="BC1105" t="str">
            <v>F18</v>
          </cell>
        </row>
        <row r="1106">
          <cell r="A1106" t="str">
            <v/>
          </cell>
          <cell r="B1106" t="str">
            <v>3</v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>
            <v>0</v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e">
            <v>#VALUE!</v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/>
          </cell>
          <cell r="W1106" t="str">
            <v/>
          </cell>
          <cell r="X1106" t="str">
            <v/>
          </cell>
          <cell r="Z1106">
            <v>0</v>
          </cell>
          <cell r="AA1106" t="e">
            <v>#VALUE!</v>
          </cell>
          <cell r="AM1106" t="str">
            <v/>
          </cell>
          <cell r="AO1106" t="e">
            <v>#VALUE!</v>
          </cell>
          <cell r="AP1106" t="e">
            <v>#VALUE!</v>
          </cell>
          <cell r="AQ1106">
            <v>0</v>
          </cell>
          <cell r="AR1106" t="e">
            <v>#VALUE!</v>
          </cell>
          <cell r="AS1106" t="e">
            <v>#VALUE!</v>
          </cell>
          <cell r="AT1106" t="e">
            <v>#VALUE!</v>
          </cell>
          <cell r="AU1106" t="e">
            <v>#VALUE!</v>
          </cell>
          <cell r="AV1106" t="e">
            <v>#VALUE!</v>
          </cell>
          <cell r="AW1106" t="e">
            <v>#VALUE!</v>
          </cell>
          <cell r="AY1106" t="e">
            <v>#VALUE!</v>
          </cell>
          <cell r="AZ1106" t="str">
            <v>F18</v>
          </cell>
          <cell r="BA1106">
            <v>0</v>
          </cell>
          <cell r="BB1106" t="str">
            <v/>
          </cell>
          <cell r="BC1106" t="str">
            <v>F18</v>
          </cell>
        </row>
        <row r="1107">
          <cell r="A1107" t="str">
            <v/>
          </cell>
          <cell r="B1107" t="str">
            <v>3</v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>
            <v>0</v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e">
            <v>#VALUE!</v>
          </cell>
          <cell r="R1107" t="str">
            <v/>
          </cell>
          <cell r="S1107" t="str">
            <v/>
          </cell>
          <cell r="T1107" t="str">
            <v/>
          </cell>
          <cell r="U1107" t="str">
            <v/>
          </cell>
          <cell r="V1107" t="str">
            <v/>
          </cell>
          <cell r="W1107" t="str">
            <v/>
          </cell>
          <cell r="X1107" t="str">
            <v/>
          </cell>
          <cell r="Z1107">
            <v>0</v>
          </cell>
          <cell r="AA1107" t="e">
            <v>#VALUE!</v>
          </cell>
          <cell r="AM1107" t="str">
            <v/>
          </cell>
          <cell r="AO1107" t="e">
            <v>#VALUE!</v>
          </cell>
          <cell r="AP1107" t="e">
            <v>#VALUE!</v>
          </cell>
          <cell r="AQ1107">
            <v>0</v>
          </cell>
          <cell r="AR1107" t="e">
            <v>#VALUE!</v>
          </cell>
          <cell r="AS1107" t="e">
            <v>#VALUE!</v>
          </cell>
          <cell r="AT1107" t="e">
            <v>#VALUE!</v>
          </cell>
          <cell r="AU1107" t="e">
            <v>#VALUE!</v>
          </cell>
          <cell r="AV1107" t="e">
            <v>#VALUE!</v>
          </cell>
          <cell r="AW1107" t="e">
            <v>#VALUE!</v>
          </cell>
          <cell r="AY1107" t="e">
            <v>#VALUE!</v>
          </cell>
          <cell r="AZ1107" t="str">
            <v>F18</v>
          </cell>
          <cell r="BA1107">
            <v>0</v>
          </cell>
          <cell r="BB1107" t="str">
            <v/>
          </cell>
          <cell r="BC1107" t="str">
            <v>F18</v>
          </cell>
        </row>
        <row r="1108">
          <cell r="A1108" t="str">
            <v/>
          </cell>
          <cell r="B1108" t="str">
            <v>3</v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>
            <v>0</v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e">
            <v>#VALUE!</v>
          </cell>
          <cell r="R1108" t="str">
            <v/>
          </cell>
          <cell r="S1108" t="str">
            <v/>
          </cell>
          <cell r="T1108" t="str">
            <v/>
          </cell>
          <cell r="U1108" t="str">
            <v/>
          </cell>
          <cell r="V1108" t="str">
            <v/>
          </cell>
          <cell r="W1108" t="str">
            <v/>
          </cell>
          <cell r="X1108" t="str">
            <v/>
          </cell>
          <cell r="Z1108">
            <v>0</v>
          </cell>
          <cell r="AA1108" t="e">
            <v>#VALUE!</v>
          </cell>
          <cell r="AM1108" t="str">
            <v/>
          </cell>
          <cell r="AO1108" t="e">
            <v>#VALUE!</v>
          </cell>
          <cell r="AP1108" t="e">
            <v>#VALUE!</v>
          </cell>
          <cell r="AQ1108">
            <v>0</v>
          </cell>
          <cell r="AR1108" t="e">
            <v>#VALUE!</v>
          </cell>
          <cell r="AS1108" t="e">
            <v>#VALUE!</v>
          </cell>
          <cell r="AT1108" t="e">
            <v>#VALUE!</v>
          </cell>
          <cell r="AU1108" t="e">
            <v>#VALUE!</v>
          </cell>
          <cell r="AV1108" t="e">
            <v>#VALUE!</v>
          </cell>
          <cell r="AW1108" t="e">
            <v>#VALUE!</v>
          </cell>
          <cell r="AY1108" t="e">
            <v>#VALUE!</v>
          </cell>
          <cell r="AZ1108" t="str">
            <v>F18</v>
          </cell>
          <cell r="BA1108">
            <v>0</v>
          </cell>
          <cell r="BB1108" t="str">
            <v/>
          </cell>
          <cell r="BC1108" t="str">
            <v>F18</v>
          </cell>
        </row>
        <row r="1109">
          <cell r="A1109" t="str">
            <v/>
          </cell>
          <cell r="B1109" t="str">
            <v>3</v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>
            <v>0</v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e">
            <v>#VALUE!</v>
          </cell>
          <cell r="R1109" t="str">
            <v/>
          </cell>
          <cell r="S1109" t="str">
            <v/>
          </cell>
          <cell r="T1109" t="str">
            <v/>
          </cell>
          <cell r="U1109" t="str">
            <v/>
          </cell>
          <cell r="V1109" t="str">
            <v/>
          </cell>
          <cell r="W1109" t="str">
            <v/>
          </cell>
          <cell r="X1109" t="str">
            <v/>
          </cell>
          <cell r="Z1109">
            <v>0</v>
          </cell>
          <cell r="AA1109" t="e">
            <v>#VALUE!</v>
          </cell>
          <cell r="AM1109" t="str">
            <v/>
          </cell>
          <cell r="AO1109" t="e">
            <v>#VALUE!</v>
          </cell>
          <cell r="AP1109" t="e">
            <v>#VALUE!</v>
          </cell>
          <cell r="AQ1109">
            <v>0</v>
          </cell>
          <cell r="AR1109" t="e">
            <v>#VALUE!</v>
          </cell>
          <cell r="AS1109" t="e">
            <v>#VALUE!</v>
          </cell>
          <cell r="AT1109" t="e">
            <v>#VALUE!</v>
          </cell>
          <cell r="AU1109" t="e">
            <v>#VALUE!</v>
          </cell>
          <cell r="AV1109" t="e">
            <v>#VALUE!</v>
          </cell>
          <cell r="AW1109" t="e">
            <v>#VALUE!</v>
          </cell>
          <cell r="AY1109" t="e">
            <v>#VALUE!</v>
          </cell>
          <cell r="AZ1109" t="str">
            <v>F18</v>
          </cell>
          <cell r="BA1109">
            <v>0</v>
          </cell>
          <cell r="BB1109" t="str">
            <v/>
          </cell>
          <cell r="BC1109" t="str">
            <v>F18</v>
          </cell>
        </row>
        <row r="1110">
          <cell r="A1110" t="str">
            <v/>
          </cell>
          <cell r="B1110" t="str">
            <v>3</v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>
            <v>0</v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e">
            <v>#VALUE!</v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/>
          </cell>
          <cell r="X1110" t="str">
            <v/>
          </cell>
          <cell r="Z1110">
            <v>0</v>
          </cell>
          <cell r="AA1110" t="e">
            <v>#VALUE!</v>
          </cell>
          <cell r="AM1110" t="str">
            <v/>
          </cell>
          <cell r="AO1110" t="e">
            <v>#VALUE!</v>
          </cell>
          <cell r="AP1110" t="e">
            <v>#VALUE!</v>
          </cell>
          <cell r="AQ1110">
            <v>0</v>
          </cell>
          <cell r="AR1110" t="e">
            <v>#VALUE!</v>
          </cell>
          <cell r="AS1110" t="e">
            <v>#VALUE!</v>
          </cell>
          <cell r="AT1110" t="e">
            <v>#VALUE!</v>
          </cell>
          <cell r="AU1110" t="e">
            <v>#VALUE!</v>
          </cell>
          <cell r="AV1110" t="e">
            <v>#VALUE!</v>
          </cell>
          <cell r="AW1110" t="e">
            <v>#VALUE!</v>
          </cell>
          <cell r="AY1110" t="e">
            <v>#VALUE!</v>
          </cell>
          <cell r="AZ1110" t="str">
            <v>F18</v>
          </cell>
          <cell r="BA1110">
            <v>0</v>
          </cell>
          <cell r="BB1110" t="str">
            <v/>
          </cell>
          <cell r="BC1110" t="str">
            <v>F18</v>
          </cell>
        </row>
        <row r="1111">
          <cell r="A1111" t="str">
            <v/>
          </cell>
          <cell r="B1111" t="str">
            <v>3</v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>
            <v>0</v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e">
            <v>#VALUE!</v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  <cell r="X1111" t="str">
            <v/>
          </cell>
          <cell r="Z1111">
            <v>0</v>
          </cell>
          <cell r="AA1111" t="e">
            <v>#VALUE!</v>
          </cell>
          <cell r="AM1111" t="str">
            <v/>
          </cell>
          <cell r="AO1111" t="e">
            <v>#VALUE!</v>
          </cell>
          <cell r="AP1111" t="e">
            <v>#VALUE!</v>
          </cell>
          <cell r="AQ1111">
            <v>0</v>
          </cell>
          <cell r="AR1111" t="e">
            <v>#VALUE!</v>
          </cell>
          <cell r="AS1111" t="e">
            <v>#VALUE!</v>
          </cell>
          <cell r="AT1111" t="e">
            <v>#VALUE!</v>
          </cell>
          <cell r="AU1111" t="e">
            <v>#VALUE!</v>
          </cell>
          <cell r="AV1111" t="e">
            <v>#VALUE!</v>
          </cell>
          <cell r="AW1111" t="e">
            <v>#VALUE!</v>
          </cell>
          <cell r="AY1111" t="e">
            <v>#VALUE!</v>
          </cell>
          <cell r="AZ1111" t="str">
            <v>F18</v>
          </cell>
          <cell r="BA1111">
            <v>0</v>
          </cell>
          <cell r="BB1111" t="str">
            <v/>
          </cell>
          <cell r="BC1111" t="str">
            <v>F18</v>
          </cell>
        </row>
        <row r="1112">
          <cell r="A1112" t="str">
            <v/>
          </cell>
          <cell r="B1112" t="str">
            <v>3</v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>
            <v>0</v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e">
            <v>#VALUE!</v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  <cell r="X1112" t="str">
            <v/>
          </cell>
          <cell r="Z1112">
            <v>0</v>
          </cell>
          <cell r="AA1112" t="e">
            <v>#VALUE!</v>
          </cell>
          <cell r="AM1112" t="str">
            <v/>
          </cell>
          <cell r="AO1112" t="e">
            <v>#VALUE!</v>
          </cell>
          <cell r="AP1112" t="e">
            <v>#VALUE!</v>
          </cell>
          <cell r="AQ1112">
            <v>0</v>
          </cell>
          <cell r="AR1112" t="e">
            <v>#VALUE!</v>
          </cell>
          <cell r="AS1112" t="e">
            <v>#VALUE!</v>
          </cell>
          <cell r="AT1112" t="e">
            <v>#VALUE!</v>
          </cell>
          <cell r="AU1112" t="e">
            <v>#VALUE!</v>
          </cell>
          <cell r="AV1112" t="e">
            <v>#VALUE!</v>
          </cell>
          <cell r="AW1112" t="e">
            <v>#VALUE!</v>
          </cell>
          <cell r="AY1112" t="e">
            <v>#VALUE!</v>
          </cell>
          <cell r="AZ1112" t="str">
            <v>F18</v>
          </cell>
          <cell r="BA1112">
            <v>0</v>
          </cell>
          <cell r="BB1112" t="str">
            <v/>
          </cell>
          <cell r="BC1112" t="str">
            <v>F18</v>
          </cell>
        </row>
        <row r="1113">
          <cell r="A1113" t="str">
            <v/>
          </cell>
          <cell r="B1113" t="str">
            <v>3</v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>
            <v>0</v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e">
            <v>#VALUE!</v>
          </cell>
          <cell r="R1113" t="str">
            <v/>
          </cell>
          <cell r="S1113" t="str">
            <v/>
          </cell>
          <cell r="T1113" t="str">
            <v/>
          </cell>
          <cell r="U1113" t="str">
            <v/>
          </cell>
          <cell r="V1113" t="str">
            <v/>
          </cell>
          <cell r="W1113" t="str">
            <v/>
          </cell>
          <cell r="X1113" t="str">
            <v/>
          </cell>
          <cell r="Z1113">
            <v>0</v>
          </cell>
          <cell r="AA1113" t="e">
            <v>#VALUE!</v>
          </cell>
          <cell r="AM1113" t="str">
            <v/>
          </cell>
          <cell r="AO1113" t="e">
            <v>#VALUE!</v>
          </cell>
          <cell r="AP1113" t="e">
            <v>#VALUE!</v>
          </cell>
          <cell r="AQ1113">
            <v>0</v>
          </cell>
          <cell r="AR1113" t="e">
            <v>#VALUE!</v>
          </cell>
          <cell r="AS1113" t="e">
            <v>#VALUE!</v>
          </cell>
          <cell r="AT1113" t="e">
            <v>#VALUE!</v>
          </cell>
          <cell r="AU1113" t="e">
            <v>#VALUE!</v>
          </cell>
          <cell r="AV1113" t="e">
            <v>#VALUE!</v>
          </cell>
          <cell r="AW1113" t="e">
            <v>#VALUE!</v>
          </cell>
          <cell r="AY1113" t="e">
            <v>#VALUE!</v>
          </cell>
          <cell r="AZ1113" t="str">
            <v>F18</v>
          </cell>
          <cell r="BA1113">
            <v>0</v>
          </cell>
          <cell r="BB1113" t="str">
            <v/>
          </cell>
          <cell r="BC1113" t="str">
            <v>F18</v>
          </cell>
        </row>
        <row r="1114">
          <cell r="A1114" t="str">
            <v/>
          </cell>
          <cell r="B1114" t="str">
            <v>3</v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>
            <v>0</v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e">
            <v>#VALUE!</v>
          </cell>
          <cell r="R1114" t="str">
            <v/>
          </cell>
          <cell r="S1114" t="str">
            <v/>
          </cell>
          <cell r="T1114" t="str">
            <v/>
          </cell>
          <cell r="U1114" t="str">
            <v/>
          </cell>
          <cell r="V1114" t="str">
            <v/>
          </cell>
          <cell r="W1114" t="str">
            <v/>
          </cell>
          <cell r="X1114" t="str">
            <v/>
          </cell>
          <cell r="Z1114">
            <v>0</v>
          </cell>
          <cell r="AA1114" t="e">
            <v>#VALUE!</v>
          </cell>
          <cell r="AM1114" t="str">
            <v/>
          </cell>
          <cell r="AO1114" t="e">
            <v>#VALUE!</v>
          </cell>
          <cell r="AP1114" t="e">
            <v>#VALUE!</v>
          </cell>
          <cell r="AQ1114">
            <v>0</v>
          </cell>
          <cell r="AR1114" t="e">
            <v>#VALUE!</v>
          </cell>
          <cell r="AS1114" t="e">
            <v>#VALUE!</v>
          </cell>
          <cell r="AT1114" t="e">
            <v>#VALUE!</v>
          </cell>
          <cell r="AU1114" t="e">
            <v>#VALUE!</v>
          </cell>
          <cell r="AV1114" t="e">
            <v>#VALUE!</v>
          </cell>
          <cell r="AW1114" t="e">
            <v>#VALUE!</v>
          </cell>
          <cell r="AY1114" t="e">
            <v>#VALUE!</v>
          </cell>
          <cell r="AZ1114" t="str">
            <v>F18</v>
          </cell>
          <cell r="BA1114">
            <v>0</v>
          </cell>
          <cell r="BB1114" t="str">
            <v/>
          </cell>
          <cell r="BC1114" t="str">
            <v>F18</v>
          </cell>
        </row>
        <row r="1115">
          <cell r="A1115" t="str">
            <v/>
          </cell>
          <cell r="B1115" t="str">
            <v>3</v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>
            <v>0</v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e">
            <v>#VALUE!</v>
          </cell>
          <cell r="R1115" t="str">
            <v/>
          </cell>
          <cell r="S1115" t="str">
            <v/>
          </cell>
          <cell r="T1115" t="str">
            <v/>
          </cell>
          <cell r="U1115" t="str">
            <v/>
          </cell>
          <cell r="V1115" t="str">
            <v/>
          </cell>
          <cell r="W1115" t="str">
            <v/>
          </cell>
          <cell r="X1115" t="str">
            <v/>
          </cell>
          <cell r="Z1115">
            <v>0</v>
          </cell>
          <cell r="AA1115" t="e">
            <v>#VALUE!</v>
          </cell>
          <cell r="AM1115" t="str">
            <v/>
          </cell>
          <cell r="AO1115" t="e">
            <v>#VALUE!</v>
          </cell>
          <cell r="AP1115" t="e">
            <v>#VALUE!</v>
          </cell>
          <cell r="AQ1115">
            <v>0</v>
          </cell>
          <cell r="AR1115" t="e">
            <v>#VALUE!</v>
          </cell>
          <cell r="AS1115" t="e">
            <v>#VALUE!</v>
          </cell>
          <cell r="AT1115" t="e">
            <v>#VALUE!</v>
          </cell>
          <cell r="AU1115" t="e">
            <v>#VALUE!</v>
          </cell>
          <cell r="AV1115" t="e">
            <v>#VALUE!</v>
          </cell>
          <cell r="AW1115" t="e">
            <v>#VALUE!</v>
          </cell>
          <cell r="AY1115" t="e">
            <v>#VALUE!</v>
          </cell>
          <cell r="AZ1115" t="str">
            <v>F18</v>
          </cell>
          <cell r="BA1115">
            <v>0</v>
          </cell>
          <cell r="BB1115" t="str">
            <v/>
          </cell>
          <cell r="BC1115" t="str">
            <v>F18</v>
          </cell>
        </row>
        <row r="1116">
          <cell r="A1116" t="str">
            <v/>
          </cell>
          <cell r="B1116" t="str">
            <v>3</v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>
            <v>0</v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e">
            <v>#VALUE!</v>
          </cell>
          <cell r="R1116" t="str">
            <v/>
          </cell>
          <cell r="S1116" t="str">
            <v/>
          </cell>
          <cell r="T1116" t="str">
            <v/>
          </cell>
          <cell r="U1116" t="str">
            <v/>
          </cell>
          <cell r="V1116" t="str">
            <v/>
          </cell>
          <cell r="W1116" t="str">
            <v/>
          </cell>
          <cell r="X1116" t="str">
            <v/>
          </cell>
          <cell r="Z1116">
            <v>0</v>
          </cell>
          <cell r="AA1116" t="e">
            <v>#VALUE!</v>
          </cell>
          <cell r="AM1116" t="str">
            <v/>
          </cell>
          <cell r="AO1116" t="e">
            <v>#VALUE!</v>
          </cell>
          <cell r="AP1116" t="e">
            <v>#VALUE!</v>
          </cell>
          <cell r="AQ1116">
            <v>0</v>
          </cell>
          <cell r="AR1116" t="e">
            <v>#VALUE!</v>
          </cell>
          <cell r="AS1116" t="e">
            <v>#VALUE!</v>
          </cell>
          <cell r="AT1116" t="e">
            <v>#VALUE!</v>
          </cell>
          <cell r="AU1116" t="e">
            <v>#VALUE!</v>
          </cell>
          <cell r="AV1116" t="e">
            <v>#VALUE!</v>
          </cell>
          <cell r="AW1116" t="e">
            <v>#VALUE!</v>
          </cell>
          <cell r="AY1116" t="e">
            <v>#VALUE!</v>
          </cell>
          <cell r="AZ1116" t="str">
            <v>F18</v>
          </cell>
          <cell r="BA1116">
            <v>0</v>
          </cell>
          <cell r="BB1116" t="str">
            <v/>
          </cell>
          <cell r="BC1116" t="str">
            <v>F18</v>
          </cell>
        </row>
        <row r="1117">
          <cell r="A1117" t="str">
            <v/>
          </cell>
          <cell r="B1117" t="str">
            <v>3</v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>
            <v>0</v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e">
            <v>#VALUE!</v>
          </cell>
          <cell r="R1117" t="str">
            <v/>
          </cell>
          <cell r="S1117" t="str">
            <v/>
          </cell>
          <cell r="T1117" t="str">
            <v/>
          </cell>
          <cell r="U1117" t="str">
            <v/>
          </cell>
          <cell r="V1117" t="str">
            <v/>
          </cell>
          <cell r="W1117" t="str">
            <v/>
          </cell>
          <cell r="X1117" t="str">
            <v/>
          </cell>
          <cell r="Z1117">
            <v>0</v>
          </cell>
          <cell r="AA1117" t="e">
            <v>#VALUE!</v>
          </cell>
          <cell r="AM1117" t="str">
            <v/>
          </cell>
          <cell r="AO1117" t="e">
            <v>#VALUE!</v>
          </cell>
          <cell r="AP1117" t="e">
            <v>#VALUE!</v>
          </cell>
          <cell r="AQ1117">
            <v>0</v>
          </cell>
          <cell r="AR1117" t="e">
            <v>#VALUE!</v>
          </cell>
          <cell r="AS1117" t="e">
            <v>#VALUE!</v>
          </cell>
          <cell r="AT1117" t="e">
            <v>#VALUE!</v>
          </cell>
          <cell r="AU1117" t="e">
            <v>#VALUE!</v>
          </cell>
          <cell r="AV1117" t="e">
            <v>#VALUE!</v>
          </cell>
          <cell r="AW1117" t="e">
            <v>#VALUE!</v>
          </cell>
          <cell r="AY1117" t="e">
            <v>#VALUE!</v>
          </cell>
          <cell r="AZ1117" t="str">
            <v>F18</v>
          </cell>
          <cell r="BA1117">
            <v>0</v>
          </cell>
          <cell r="BB1117" t="str">
            <v/>
          </cell>
          <cell r="BC1117" t="str">
            <v>F18</v>
          </cell>
        </row>
        <row r="1118">
          <cell r="A1118" t="str">
            <v/>
          </cell>
          <cell r="B1118" t="str">
            <v>3</v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>
            <v>0</v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e">
            <v>#VALUE!</v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/>
          </cell>
          <cell r="W1118" t="str">
            <v/>
          </cell>
          <cell r="X1118" t="str">
            <v/>
          </cell>
          <cell r="Z1118">
            <v>0</v>
          </cell>
          <cell r="AA1118" t="e">
            <v>#VALUE!</v>
          </cell>
          <cell r="AM1118" t="str">
            <v/>
          </cell>
          <cell r="AO1118" t="e">
            <v>#VALUE!</v>
          </cell>
          <cell r="AP1118" t="e">
            <v>#VALUE!</v>
          </cell>
          <cell r="AQ1118">
            <v>0</v>
          </cell>
          <cell r="AR1118" t="e">
            <v>#VALUE!</v>
          </cell>
          <cell r="AS1118" t="e">
            <v>#VALUE!</v>
          </cell>
          <cell r="AT1118" t="e">
            <v>#VALUE!</v>
          </cell>
          <cell r="AU1118" t="e">
            <v>#VALUE!</v>
          </cell>
          <cell r="AV1118" t="e">
            <v>#VALUE!</v>
          </cell>
          <cell r="AW1118" t="e">
            <v>#VALUE!</v>
          </cell>
          <cell r="AY1118" t="e">
            <v>#VALUE!</v>
          </cell>
          <cell r="AZ1118" t="str">
            <v>F18</v>
          </cell>
          <cell r="BA1118">
            <v>0</v>
          </cell>
          <cell r="BB1118" t="str">
            <v/>
          </cell>
          <cell r="BC1118" t="str">
            <v>F18</v>
          </cell>
        </row>
        <row r="1119">
          <cell r="A1119" t="str">
            <v/>
          </cell>
          <cell r="B1119" t="str">
            <v>3</v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>
            <v>0</v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e">
            <v>#VALUE!</v>
          </cell>
          <cell r="R1119" t="str">
            <v/>
          </cell>
          <cell r="S1119" t="str">
            <v/>
          </cell>
          <cell r="T1119" t="str">
            <v/>
          </cell>
          <cell r="U1119" t="str">
            <v/>
          </cell>
          <cell r="V1119" t="str">
            <v/>
          </cell>
          <cell r="W1119" t="str">
            <v/>
          </cell>
          <cell r="X1119" t="str">
            <v/>
          </cell>
          <cell r="Z1119">
            <v>0</v>
          </cell>
          <cell r="AA1119" t="e">
            <v>#VALUE!</v>
          </cell>
          <cell r="AM1119" t="str">
            <v/>
          </cell>
          <cell r="AO1119" t="e">
            <v>#VALUE!</v>
          </cell>
          <cell r="AP1119" t="e">
            <v>#VALUE!</v>
          </cell>
          <cell r="AQ1119">
            <v>0</v>
          </cell>
          <cell r="AR1119" t="e">
            <v>#VALUE!</v>
          </cell>
          <cell r="AS1119" t="e">
            <v>#VALUE!</v>
          </cell>
          <cell r="AT1119" t="e">
            <v>#VALUE!</v>
          </cell>
          <cell r="AU1119" t="e">
            <v>#VALUE!</v>
          </cell>
          <cell r="AV1119" t="e">
            <v>#VALUE!</v>
          </cell>
          <cell r="AW1119" t="e">
            <v>#VALUE!</v>
          </cell>
          <cell r="AY1119" t="e">
            <v>#VALUE!</v>
          </cell>
          <cell r="AZ1119" t="str">
            <v>F18</v>
          </cell>
          <cell r="BA1119">
            <v>0</v>
          </cell>
          <cell r="BB1119" t="str">
            <v/>
          </cell>
          <cell r="BC1119" t="str">
            <v>F18</v>
          </cell>
        </row>
        <row r="1120">
          <cell r="A1120" t="str">
            <v/>
          </cell>
          <cell r="B1120" t="str">
            <v>3</v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>
            <v>0</v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e">
            <v>#VALUE!</v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/>
          </cell>
          <cell r="W1120" t="str">
            <v/>
          </cell>
          <cell r="X1120" t="str">
            <v/>
          </cell>
          <cell r="Z1120">
            <v>0</v>
          </cell>
          <cell r="AA1120" t="e">
            <v>#VALUE!</v>
          </cell>
          <cell r="AM1120" t="str">
            <v/>
          </cell>
          <cell r="AO1120" t="e">
            <v>#VALUE!</v>
          </cell>
          <cell r="AP1120" t="e">
            <v>#VALUE!</v>
          </cell>
          <cell r="AQ1120">
            <v>0</v>
          </cell>
          <cell r="AR1120" t="e">
            <v>#VALUE!</v>
          </cell>
          <cell r="AS1120" t="e">
            <v>#VALUE!</v>
          </cell>
          <cell r="AT1120" t="e">
            <v>#VALUE!</v>
          </cell>
          <cell r="AU1120" t="e">
            <v>#VALUE!</v>
          </cell>
          <cell r="AV1120" t="e">
            <v>#VALUE!</v>
          </cell>
          <cell r="AW1120" t="e">
            <v>#VALUE!</v>
          </cell>
          <cell r="AY1120" t="e">
            <v>#VALUE!</v>
          </cell>
          <cell r="AZ1120" t="str">
            <v>F18</v>
          </cell>
          <cell r="BA1120">
            <v>0</v>
          </cell>
          <cell r="BB1120" t="str">
            <v/>
          </cell>
          <cell r="BC1120" t="str">
            <v>F18</v>
          </cell>
        </row>
        <row r="1121">
          <cell r="A1121" t="str">
            <v/>
          </cell>
          <cell r="B1121" t="str">
            <v>3</v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>
            <v>0</v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e">
            <v>#VALUE!</v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/>
          </cell>
          <cell r="W1121" t="str">
            <v/>
          </cell>
          <cell r="X1121" t="str">
            <v/>
          </cell>
          <cell r="Z1121">
            <v>0</v>
          </cell>
          <cell r="AA1121" t="e">
            <v>#VALUE!</v>
          </cell>
          <cell r="AM1121" t="str">
            <v/>
          </cell>
          <cell r="AO1121" t="e">
            <v>#VALUE!</v>
          </cell>
          <cell r="AP1121" t="e">
            <v>#VALUE!</v>
          </cell>
          <cell r="AQ1121">
            <v>0</v>
          </cell>
          <cell r="AR1121" t="e">
            <v>#VALUE!</v>
          </cell>
          <cell r="AS1121" t="e">
            <v>#VALUE!</v>
          </cell>
          <cell r="AT1121" t="e">
            <v>#VALUE!</v>
          </cell>
          <cell r="AU1121" t="e">
            <v>#VALUE!</v>
          </cell>
          <cell r="AV1121" t="e">
            <v>#VALUE!</v>
          </cell>
          <cell r="AW1121" t="e">
            <v>#VALUE!</v>
          </cell>
          <cell r="AY1121" t="e">
            <v>#VALUE!</v>
          </cell>
          <cell r="AZ1121" t="str">
            <v>F18</v>
          </cell>
          <cell r="BA1121">
            <v>0</v>
          </cell>
          <cell r="BB1121" t="str">
            <v/>
          </cell>
          <cell r="BC1121" t="str">
            <v>F18</v>
          </cell>
        </row>
        <row r="1122">
          <cell r="A1122" t="str">
            <v/>
          </cell>
          <cell r="B1122" t="str">
            <v>3</v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>
            <v>0</v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e">
            <v>#VALUE!</v>
          </cell>
          <cell r="R1122" t="str">
            <v/>
          </cell>
          <cell r="S1122" t="str">
            <v/>
          </cell>
          <cell r="T1122" t="str">
            <v/>
          </cell>
          <cell r="U1122" t="str">
            <v/>
          </cell>
          <cell r="V1122" t="str">
            <v/>
          </cell>
          <cell r="W1122" t="str">
            <v/>
          </cell>
          <cell r="X1122" t="str">
            <v/>
          </cell>
          <cell r="Z1122">
            <v>0</v>
          </cell>
          <cell r="AA1122" t="e">
            <v>#VALUE!</v>
          </cell>
          <cell r="AM1122" t="str">
            <v/>
          </cell>
          <cell r="AO1122" t="e">
            <v>#VALUE!</v>
          </cell>
          <cell r="AP1122" t="e">
            <v>#VALUE!</v>
          </cell>
          <cell r="AQ1122">
            <v>0</v>
          </cell>
          <cell r="AR1122" t="e">
            <v>#VALUE!</v>
          </cell>
          <cell r="AS1122" t="e">
            <v>#VALUE!</v>
          </cell>
          <cell r="AT1122" t="e">
            <v>#VALUE!</v>
          </cell>
          <cell r="AU1122" t="e">
            <v>#VALUE!</v>
          </cell>
          <cell r="AV1122" t="e">
            <v>#VALUE!</v>
          </cell>
          <cell r="AW1122" t="e">
            <v>#VALUE!</v>
          </cell>
          <cell r="AY1122" t="e">
            <v>#VALUE!</v>
          </cell>
          <cell r="AZ1122" t="str">
            <v>F18</v>
          </cell>
          <cell r="BA1122">
            <v>0</v>
          </cell>
          <cell r="BB1122" t="str">
            <v/>
          </cell>
          <cell r="BC1122" t="str">
            <v>F18</v>
          </cell>
        </row>
        <row r="1123">
          <cell r="A1123" t="str">
            <v/>
          </cell>
          <cell r="B1123" t="str">
            <v>3</v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>
            <v>0</v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e">
            <v>#VALUE!</v>
          </cell>
          <cell r="R1123" t="str">
            <v/>
          </cell>
          <cell r="S1123" t="str">
            <v/>
          </cell>
          <cell r="T1123" t="str">
            <v/>
          </cell>
          <cell r="U1123" t="str">
            <v/>
          </cell>
          <cell r="V1123" t="str">
            <v/>
          </cell>
          <cell r="W1123" t="str">
            <v/>
          </cell>
          <cell r="X1123" t="str">
            <v/>
          </cell>
          <cell r="Z1123">
            <v>0</v>
          </cell>
          <cell r="AA1123" t="e">
            <v>#VALUE!</v>
          </cell>
          <cell r="AM1123" t="str">
            <v/>
          </cell>
          <cell r="AO1123" t="e">
            <v>#VALUE!</v>
          </cell>
          <cell r="AP1123" t="e">
            <v>#VALUE!</v>
          </cell>
          <cell r="AQ1123">
            <v>0</v>
          </cell>
          <cell r="AR1123" t="e">
            <v>#VALUE!</v>
          </cell>
          <cell r="AS1123" t="e">
            <v>#VALUE!</v>
          </cell>
          <cell r="AT1123" t="e">
            <v>#VALUE!</v>
          </cell>
          <cell r="AU1123" t="e">
            <v>#VALUE!</v>
          </cell>
          <cell r="AV1123" t="e">
            <v>#VALUE!</v>
          </cell>
          <cell r="AW1123" t="e">
            <v>#VALUE!</v>
          </cell>
          <cell r="AY1123" t="e">
            <v>#VALUE!</v>
          </cell>
          <cell r="AZ1123" t="str">
            <v>F18</v>
          </cell>
          <cell r="BA1123">
            <v>0</v>
          </cell>
          <cell r="BB1123" t="str">
            <v/>
          </cell>
          <cell r="BC1123" t="str">
            <v>F18</v>
          </cell>
        </row>
        <row r="1124">
          <cell r="A1124" t="str">
            <v/>
          </cell>
          <cell r="B1124" t="str">
            <v>3</v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>
            <v>0</v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e">
            <v>#VALUE!</v>
          </cell>
          <cell r="R1124" t="str">
            <v/>
          </cell>
          <cell r="S1124" t="str">
            <v/>
          </cell>
          <cell r="T1124" t="str">
            <v/>
          </cell>
          <cell r="U1124" t="str">
            <v/>
          </cell>
          <cell r="V1124" t="str">
            <v/>
          </cell>
          <cell r="W1124" t="str">
            <v/>
          </cell>
          <cell r="X1124" t="str">
            <v/>
          </cell>
          <cell r="Z1124">
            <v>0</v>
          </cell>
          <cell r="AA1124" t="e">
            <v>#VALUE!</v>
          </cell>
          <cell r="AM1124" t="str">
            <v/>
          </cell>
          <cell r="AO1124" t="e">
            <v>#VALUE!</v>
          </cell>
          <cell r="AP1124" t="e">
            <v>#VALUE!</v>
          </cell>
          <cell r="AQ1124">
            <v>0</v>
          </cell>
          <cell r="AR1124" t="e">
            <v>#VALUE!</v>
          </cell>
          <cell r="AS1124" t="e">
            <v>#VALUE!</v>
          </cell>
          <cell r="AT1124" t="e">
            <v>#VALUE!</v>
          </cell>
          <cell r="AU1124" t="e">
            <v>#VALUE!</v>
          </cell>
          <cell r="AV1124" t="e">
            <v>#VALUE!</v>
          </cell>
          <cell r="AW1124" t="e">
            <v>#VALUE!</v>
          </cell>
          <cell r="AY1124" t="e">
            <v>#VALUE!</v>
          </cell>
          <cell r="AZ1124" t="str">
            <v>F18</v>
          </cell>
          <cell r="BA1124">
            <v>0</v>
          </cell>
          <cell r="BB1124" t="str">
            <v/>
          </cell>
          <cell r="BC1124" t="str">
            <v>F18</v>
          </cell>
        </row>
        <row r="1125">
          <cell r="A1125" t="str">
            <v/>
          </cell>
          <cell r="B1125" t="str">
            <v>3</v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>
            <v>0</v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e">
            <v>#VALUE!</v>
          </cell>
          <cell r="R1125" t="str">
            <v/>
          </cell>
          <cell r="S1125" t="str">
            <v/>
          </cell>
          <cell r="T1125" t="str">
            <v/>
          </cell>
          <cell r="U1125" t="str">
            <v/>
          </cell>
          <cell r="V1125" t="str">
            <v/>
          </cell>
          <cell r="W1125" t="str">
            <v/>
          </cell>
          <cell r="X1125" t="str">
            <v/>
          </cell>
          <cell r="Z1125">
            <v>0</v>
          </cell>
          <cell r="AA1125" t="e">
            <v>#VALUE!</v>
          </cell>
          <cell r="AM1125" t="str">
            <v/>
          </cell>
          <cell r="AO1125" t="e">
            <v>#VALUE!</v>
          </cell>
          <cell r="AP1125" t="e">
            <v>#VALUE!</v>
          </cell>
          <cell r="AQ1125">
            <v>0</v>
          </cell>
          <cell r="AR1125" t="e">
            <v>#VALUE!</v>
          </cell>
          <cell r="AS1125" t="e">
            <v>#VALUE!</v>
          </cell>
          <cell r="AT1125" t="e">
            <v>#VALUE!</v>
          </cell>
          <cell r="AU1125" t="e">
            <v>#VALUE!</v>
          </cell>
          <cell r="AV1125" t="e">
            <v>#VALUE!</v>
          </cell>
          <cell r="AW1125" t="e">
            <v>#VALUE!</v>
          </cell>
          <cell r="AY1125" t="e">
            <v>#VALUE!</v>
          </cell>
          <cell r="AZ1125" t="str">
            <v>F18</v>
          </cell>
          <cell r="BA1125">
            <v>0</v>
          </cell>
          <cell r="BB1125" t="str">
            <v/>
          </cell>
          <cell r="BC1125" t="str">
            <v>F18</v>
          </cell>
        </row>
        <row r="1126">
          <cell r="A1126" t="str">
            <v/>
          </cell>
          <cell r="B1126" t="str">
            <v>3</v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>
            <v>0</v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e">
            <v>#VALUE!</v>
          </cell>
          <cell r="R1126" t="str">
            <v/>
          </cell>
          <cell r="S1126" t="str">
            <v/>
          </cell>
          <cell r="T1126" t="str">
            <v/>
          </cell>
          <cell r="U1126" t="str">
            <v/>
          </cell>
          <cell r="V1126" t="str">
            <v/>
          </cell>
          <cell r="W1126" t="str">
            <v/>
          </cell>
          <cell r="X1126" t="str">
            <v/>
          </cell>
          <cell r="Z1126">
            <v>0</v>
          </cell>
          <cell r="AA1126" t="e">
            <v>#VALUE!</v>
          </cell>
          <cell r="AM1126" t="str">
            <v/>
          </cell>
          <cell r="AO1126" t="e">
            <v>#VALUE!</v>
          </cell>
          <cell r="AP1126" t="e">
            <v>#VALUE!</v>
          </cell>
          <cell r="AQ1126">
            <v>0</v>
          </cell>
          <cell r="AR1126" t="e">
            <v>#VALUE!</v>
          </cell>
          <cell r="AS1126" t="e">
            <v>#VALUE!</v>
          </cell>
          <cell r="AT1126" t="e">
            <v>#VALUE!</v>
          </cell>
          <cell r="AU1126" t="e">
            <v>#VALUE!</v>
          </cell>
          <cell r="AV1126" t="e">
            <v>#VALUE!</v>
          </cell>
          <cell r="AW1126" t="e">
            <v>#VALUE!</v>
          </cell>
          <cell r="AY1126" t="e">
            <v>#VALUE!</v>
          </cell>
          <cell r="AZ1126" t="str">
            <v>F18</v>
          </cell>
          <cell r="BA1126">
            <v>0</v>
          </cell>
          <cell r="BB1126" t="str">
            <v/>
          </cell>
          <cell r="BC1126" t="str">
            <v>F18</v>
          </cell>
        </row>
        <row r="1127">
          <cell r="A1127" t="str">
            <v/>
          </cell>
          <cell r="B1127" t="str">
            <v>3</v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>
            <v>0</v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e">
            <v>#VALUE!</v>
          </cell>
          <cell r="R1127" t="str">
            <v/>
          </cell>
          <cell r="S1127" t="str">
            <v/>
          </cell>
          <cell r="T1127" t="str">
            <v/>
          </cell>
          <cell r="U1127" t="str">
            <v/>
          </cell>
          <cell r="V1127" t="str">
            <v/>
          </cell>
          <cell r="W1127" t="str">
            <v/>
          </cell>
          <cell r="X1127" t="str">
            <v/>
          </cell>
          <cell r="Z1127">
            <v>0</v>
          </cell>
          <cell r="AA1127" t="e">
            <v>#VALUE!</v>
          </cell>
          <cell r="AM1127" t="str">
            <v/>
          </cell>
          <cell r="AO1127" t="e">
            <v>#VALUE!</v>
          </cell>
          <cell r="AP1127" t="e">
            <v>#VALUE!</v>
          </cell>
          <cell r="AQ1127">
            <v>0</v>
          </cell>
          <cell r="AR1127" t="e">
            <v>#VALUE!</v>
          </cell>
          <cell r="AS1127" t="e">
            <v>#VALUE!</v>
          </cell>
          <cell r="AT1127" t="e">
            <v>#VALUE!</v>
          </cell>
          <cell r="AU1127" t="e">
            <v>#VALUE!</v>
          </cell>
          <cell r="AV1127" t="e">
            <v>#VALUE!</v>
          </cell>
          <cell r="AW1127" t="e">
            <v>#VALUE!</v>
          </cell>
          <cell r="AY1127" t="e">
            <v>#VALUE!</v>
          </cell>
          <cell r="AZ1127" t="str">
            <v>F18</v>
          </cell>
          <cell r="BA1127">
            <v>0</v>
          </cell>
          <cell r="BB1127" t="str">
            <v/>
          </cell>
          <cell r="BC1127" t="str">
            <v>F18</v>
          </cell>
        </row>
        <row r="1128">
          <cell r="A1128" t="str">
            <v/>
          </cell>
          <cell r="B1128" t="str">
            <v>3</v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>
            <v>0</v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e">
            <v>#VALUE!</v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/>
          </cell>
          <cell r="W1128" t="str">
            <v/>
          </cell>
          <cell r="X1128" t="str">
            <v/>
          </cell>
          <cell r="Z1128">
            <v>0</v>
          </cell>
          <cell r="AA1128" t="e">
            <v>#VALUE!</v>
          </cell>
          <cell r="AM1128" t="str">
            <v/>
          </cell>
          <cell r="AO1128" t="e">
            <v>#VALUE!</v>
          </cell>
          <cell r="AP1128" t="e">
            <v>#VALUE!</v>
          </cell>
          <cell r="AQ1128">
            <v>0</v>
          </cell>
          <cell r="AR1128" t="e">
            <v>#VALUE!</v>
          </cell>
          <cell r="AS1128" t="e">
            <v>#VALUE!</v>
          </cell>
          <cell r="AT1128" t="e">
            <v>#VALUE!</v>
          </cell>
          <cell r="AU1128" t="e">
            <v>#VALUE!</v>
          </cell>
          <cell r="AV1128" t="e">
            <v>#VALUE!</v>
          </cell>
          <cell r="AW1128" t="e">
            <v>#VALUE!</v>
          </cell>
          <cell r="AY1128" t="e">
            <v>#VALUE!</v>
          </cell>
          <cell r="AZ1128" t="str">
            <v>F18</v>
          </cell>
          <cell r="BA1128">
            <v>0</v>
          </cell>
          <cell r="BB1128" t="str">
            <v/>
          </cell>
          <cell r="BC1128" t="str">
            <v>F18</v>
          </cell>
        </row>
        <row r="1129">
          <cell r="A1129" t="str">
            <v/>
          </cell>
          <cell r="B1129" t="str">
            <v>3</v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>
            <v>0</v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e">
            <v>#VALUE!</v>
          </cell>
          <cell r="R1129" t="str">
            <v/>
          </cell>
          <cell r="S1129" t="str">
            <v/>
          </cell>
          <cell r="T1129" t="str">
            <v/>
          </cell>
          <cell r="U1129" t="str">
            <v/>
          </cell>
          <cell r="V1129" t="str">
            <v/>
          </cell>
          <cell r="W1129" t="str">
            <v/>
          </cell>
          <cell r="X1129" t="str">
            <v/>
          </cell>
          <cell r="Z1129">
            <v>0</v>
          </cell>
          <cell r="AA1129" t="e">
            <v>#VALUE!</v>
          </cell>
          <cell r="AM1129" t="str">
            <v/>
          </cell>
          <cell r="AO1129" t="e">
            <v>#VALUE!</v>
          </cell>
          <cell r="AP1129" t="e">
            <v>#VALUE!</v>
          </cell>
          <cell r="AQ1129">
            <v>0</v>
          </cell>
          <cell r="AR1129" t="e">
            <v>#VALUE!</v>
          </cell>
          <cell r="AS1129" t="e">
            <v>#VALUE!</v>
          </cell>
          <cell r="AT1129" t="e">
            <v>#VALUE!</v>
          </cell>
          <cell r="AU1129" t="e">
            <v>#VALUE!</v>
          </cell>
          <cell r="AV1129" t="e">
            <v>#VALUE!</v>
          </cell>
          <cell r="AW1129" t="e">
            <v>#VALUE!</v>
          </cell>
          <cell r="AY1129" t="e">
            <v>#VALUE!</v>
          </cell>
          <cell r="AZ1129" t="str">
            <v>F18</v>
          </cell>
          <cell r="BA1129">
            <v>0</v>
          </cell>
          <cell r="BB1129" t="str">
            <v/>
          </cell>
          <cell r="BC1129" t="str">
            <v>F18</v>
          </cell>
        </row>
        <row r="1130">
          <cell r="A1130" t="str">
            <v/>
          </cell>
          <cell r="B1130" t="str">
            <v>3</v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>
            <v>0</v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e">
            <v>#VALUE!</v>
          </cell>
          <cell r="R1130" t="str">
            <v/>
          </cell>
          <cell r="S1130" t="str">
            <v/>
          </cell>
          <cell r="T1130" t="str">
            <v/>
          </cell>
          <cell r="U1130" t="str">
            <v/>
          </cell>
          <cell r="V1130" t="str">
            <v/>
          </cell>
          <cell r="W1130" t="str">
            <v/>
          </cell>
          <cell r="X1130" t="str">
            <v/>
          </cell>
          <cell r="Z1130">
            <v>0</v>
          </cell>
          <cell r="AA1130" t="e">
            <v>#VALUE!</v>
          </cell>
          <cell r="AM1130" t="str">
            <v/>
          </cell>
          <cell r="AO1130" t="e">
            <v>#VALUE!</v>
          </cell>
          <cell r="AP1130" t="e">
            <v>#VALUE!</v>
          </cell>
          <cell r="AQ1130">
            <v>0</v>
          </cell>
          <cell r="AR1130" t="e">
            <v>#VALUE!</v>
          </cell>
          <cell r="AS1130" t="e">
            <v>#VALUE!</v>
          </cell>
          <cell r="AT1130" t="e">
            <v>#VALUE!</v>
          </cell>
          <cell r="AU1130" t="e">
            <v>#VALUE!</v>
          </cell>
          <cell r="AV1130" t="e">
            <v>#VALUE!</v>
          </cell>
          <cell r="AW1130" t="e">
            <v>#VALUE!</v>
          </cell>
          <cell r="AY1130" t="e">
            <v>#VALUE!</v>
          </cell>
          <cell r="AZ1130" t="str">
            <v>F18</v>
          </cell>
          <cell r="BA1130">
            <v>0</v>
          </cell>
          <cell r="BB1130" t="str">
            <v/>
          </cell>
          <cell r="BC1130" t="str">
            <v>F18</v>
          </cell>
        </row>
        <row r="1131">
          <cell r="A1131" t="str">
            <v/>
          </cell>
          <cell r="B1131" t="str">
            <v>3</v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>
            <v>0</v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e">
            <v>#VALUE!</v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/>
          </cell>
          <cell r="X1131" t="str">
            <v/>
          </cell>
          <cell r="Z1131">
            <v>0</v>
          </cell>
          <cell r="AA1131" t="e">
            <v>#VALUE!</v>
          </cell>
          <cell r="AM1131" t="str">
            <v/>
          </cell>
          <cell r="AO1131" t="e">
            <v>#VALUE!</v>
          </cell>
          <cell r="AP1131" t="e">
            <v>#VALUE!</v>
          </cell>
          <cell r="AQ1131">
            <v>0</v>
          </cell>
          <cell r="AR1131" t="e">
            <v>#VALUE!</v>
          </cell>
          <cell r="AS1131" t="e">
            <v>#VALUE!</v>
          </cell>
          <cell r="AT1131" t="e">
            <v>#VALUE!</v>
          </cell>
          <cell r="AU1131" t="e">
            <v>#VALUE!</v>
          </cell>
          <cell r="AV1131" t="e">
            <v>#VALUE!</v>
          </cell>
          <cell r="AW1131" t="e">
            <v>#VALUE!</v>
          </cell>
          <cell r="AY1131" t="e">
            <v>#VALUE!</v>
          </cell>
          <cell r="AZ1131" t="str">
            <v>F18</v>
          </cell>
          <cell r="BA1131">
            <v>0</v>
          </cell>
          <cell r="BB1131" t="str">
            <v/>
          </cell>
          <cell r="BC1131" t="str">
            <v>F18</v>
          </cell>
        </row>
        <row r="1132">
          <cell r="A1132" t="str">
            <v/>
          </cell>
          <cell r="B1132" t="str">
            <v>3</v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>
            <v>0</v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e">
            <v>#VALUE!</v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 t="str">
            <v/>
          </cell>
          <cell r="W1132" t="str">
            <v/>
          </cell>
          <cell r="X1132" t="str">
            <v/>
          </cell>
          <cell r="Z1132">
            <v>0</v>
          </cell>
          <cell r="AA1132" t="e">
            <v>#VALUE!</v>
          </cell>
          <cell r="AM1132" t="str">
            <v/>
          </cell>
          <cell r="AO1132" t="e">
            <v>#VALUE!</v>
          </cell>
          <cell r="AP1132" t="e">
            <v>#VALUE!</v>
          </cell>
          <cell r="AQ1132">
            <v>0</v>
          </cell>
          <cell r="AR1132" t="e">
            <v>#VALUE!</v>
          </cell>
          <cell r="AS1132" t="e">
            <v>#VALUE!</v>
          </cell>
          <cell r="AT1132" t="e">
            <v>#VALUE!</v>
          </cell>
          <cell r="AU1132" t="e">
            <v>#VALUE!</v>
          </cell>
          <cell r="AV1132" t="e">
            <v>#VALUE!</v>
          </cell>
          <cell r="AW1132" t="e">
            <v>#VALUE!</v>
          </cell>
          <cell r="AY1132" t="e">
            <v>#VALUE!</v>
          </cell>
          <cell r="AZ1132" t="str">
            <v>F18</v>
          </cell>
          <cell r="BA1132">
            <v>0</v>
          </cell>
          <cell r="BB1132" t="str">
            <v/>
          </cell>
          <cell r="BC1132" t="str">
            <v>F18</v>
          </cell>
        </row>
        <row r="1133">
          <cell r="A1133" t="str">
            <v/>
          </cell>
          <cell r="B1133" t="str">
            <v>3</v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>
            <v>0</v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e">
            <v>#VALUE!</v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/>
          </cell>
          <cell r="W1133" t="str">
            <v/>
          </cell>
          <cell r="X1133" t="str">
            <v/>
          </cell>
          <cell r="Z1133">
            <v>0</v>
          </cell>
          <cell r="AA1133" t="e">
            <v>#VALUE!</v>
          </cell>
          <cell r="AM1133" t="str">
            <v/>
          </cell>
          <cell r="AO1133" t="e">
            <v>#VALUE!</v>
          </cell>
          <cell r="AP1133" t="e">
            <v>#VALUE!</v>
          </cell>
          <cell r="AQ1133">
            <v>0</v>
          </cell>
          <cell r="AR1133" t="e">
            <v>#VALUE!</v>
          </cell>
          <cell r="AS1133" t="e">
            <v>#VALUE!</v>
          </cell>
          <cell r="AT1133" t="e">
            <v>#VALUE!</v>
          </cell>
          <cell r="AU1133" t="e">
            <v>#VALUE!</v>
          </cell>
          <cell r="AV1133" t="e">
            <v>#VALUE!</v>
          </cell>
          <cell r="AW1133" t="e">
            <v>#VALUE!</v>
          </cell>
          <cell r="AY1133" t="e">
            <v>#VALUE!</v>
          </cell>
          <cell r="AZ1133" t="str">
            <v>F18</v>
          </cell>
          <cell r="BA1133">
            <v>0</v>
          </cell>
          <cell r="BB1133" t="str">
            <v/>
          </cell>
          <cell r="BC1133" t="str">
            <v>F18</v>
          </cell>
        </row>
        <row r="1134">
          <cell r="A1134" t="str">
            <v/>
          </cell>
          <cell r="B1134" t="str">
            <v>3</v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>
            <v>0</v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e">
            <v>#VALUE!</v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/>
          </cell>
          <cell r="W1134" t="str">
            <v/>
          </cell>
          <cell r="X1134" t="str">
            <v/>
          </cell>
          <cell r="Z1134">
            <v>0</v>
          </cell>
          <cell r="AA1134" t="e">
            <v>#VALUE!</v>
          </cell>
          <cell r="AM1134" t="str">
            <v/>
          </cell>
          <cell r="AO1134" t="e">
            <v>#VALUE!</v>
          </cell>
          <cell r="AP1134" t="e">
            <v>#VALUE!</v>
          </cell>
          <cell r="AQ1134">
            <v>0</v>
          </cell>
          <cell r="AR1134" t="e">
            <v>#VALUE!</v>
          </cell>
          <cell r="AS1134" t="e">
            <v>#VALUE!</v>
          </cell>
          <cell r="AT1134" t="e">
            <v>#VALUE!</v>
          </cell>
          <cell r="AU1134" t="e">
            <v>#VALUE!</v>
          </cell>
          <cell r="AV1134" t="e">
            <v>#VALUE!</v>
          </cell>
          <cell r="AW1134" t="e">
            <v>#VALUE!</v>
          </cell>
          <cell r="AY1134" t="e">
            <v>#VALUE!</v>
          </cell>
          <cell r="AZ1134" t="str">
            <v>F18</v>
          </cell>
          <cell r="BA1134">
            <v>0</v>
          </cell>
          <cell r="BB1134" t="str">
            <v/>
          </cell>
          <cell r="BC1134" t="str">
            <v>F18</v>
          </cell>
        </row>
        <row r="1135">
          <cell r="A1135" t="str">
            <v/>
          </cell>
          <cell r="B1135" t="str">
            <v>3</v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>
            <v>0</v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e">
            <v>#VALUE!</v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/>
          </cell>
          <cell r="W1135" t="str">
            <v/>
          </cell>
          <cell r="X1135" t="str">
            <v/>
          </cell>
          <cell r="Z1135">
            <v>0</v>
          </cell>
          <cell r="AA1135" t="e">
            <v>#VALUE!</v>
          </cell>
          <cell r="AM1135" t="str">
            <v/>
          </cell>
          <cell r="AO1135" t="e">
            <v>#VALUE!</v>
          </cell>
          <cell r="AP1135" t="e">
            <v>#VALUE!</v>
          </cell>
          <cell r="AQ1135">
            <v>0</v>
          </cell>
          <cell r="AR1135" t="e">
            <v>#VALUE!</v>
          </cell>
          <cell r="AS1135" t="e">
            <v>#VALUE!</v>
          </cell>
          <cell r="AT1135" t="e">
            <v>#VALUE!</v>
          </cell>
          <cell r="AU1135" t="e">
            <v>#VALUE!</v>
          </cell>
          <cell r="AV1135" t="e">
            <v>#VALUE!</v>
          </cell>
          <cell r="AW1135" t="e">
            <v>#VALUE!</v>
          </cell>
          <cell r="AY1135" t="e">
            <v>#VALUE!</v>
          </cell>
          <cell r="AZ1135" t="str">
            <v>F18</v>
          </cell>
          <cell r="BA1135">
            <v>0</v>
          </cell>
          <cell r="BB1135" t="str">
            <v/>
          </cell>
          <cell r="BC1135" t="str">
            <v>F18</v>
          </cell>
        </row>
        <row r="1136">
          <cell r="A1136" t="str">
            <v/>
          </cell>
          <cell r="B1136" t="str">
            <v>3</v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>
            <v>0</v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e">
            <v>#VALUE!</v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/>
          </cell>
          <cell r="W1136" t="str">
            <v/>
          </cell>
          <cell r="X1136" t="str">
            <v/>
          </cell>
          <cell r="Z1136">
            <v>0</v>
          </cell>
          <cell r="AA1136" t="e">
            <v>#VALUE!</v>
          </cell>
          <cell r="AM1136" t="str">
            <v/>
          </cell>
          <cell r="AO1136" t="e">
            <v>#VALUE!</v>
          </cell>
          <cell r="AP1136" t="e">
            <v>#VALUE!</v>
          </cell>
          <cell r="AQ1136">
            <v>0</v>
          </cell>
          <cell r="AR1136" t="e">
            <v>#VALUE!</v>
          </cell>
          <cell r="AS1136" t="e">
            <v>#VALUE!</v>
          </cell>
          <cell r="AT1136" t="e">
            <v>#VALUE!</v>
          </cell>
          <cell r="AU1136" t="e">
            <v>#VALUE!</v>
          </cell>
          <cell r="AV1136" t="e">
            <v>#VALUE!</v>
          </cell>
          <cell r="AW1136" t="e">
            <v>#VALUE!</v>
          </cell>
          <cell r="AY1136" t="e">
            <v>#VALUE!</v>
          </cell>
          <cell r="AZ1136" t="str">
            <v>F18</v>
          </cell>
          <cell r="BA1136">
            <v>0</v>
          </cell>
          <cell r="BB1136" t="str">
            <v/>
          </cell>
          <cell r="BC1136" t="str">
            <v>F18</v>
          </cell>
        </row>
        <row r="1137">
          <cell r="A1137" t="str">
            <v/>
          </cell>
          <cell r="B1137" t="str">
            <v>3</v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>
            <v>0</v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e">
            <v>#VALUE!</v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/>
          </cell>
          <cell r="W1137" t="str">
            <v/>
          </cell>
          <cell r="X1137" t="str">
            <v/>
          </cell>
          <cell r="Z1137">
            <v>0</v>
          </cell>
          <cell r="AA1137" t="e">
            <v>#VALUE!</v>
          </cell>
          <cell r="AM1137" t="str">
            <v/>
          </cell>
          <cell r="AO1137" t="e">
            <v>#VALUE!</v>
          </cell>
          <cell r="AP1137" t="e">
            <v>#VALUE!</v>
          </cell>
          <cell r="AQ1137">
            <v>0</v>
          </cell>
          <cell r="AR1137" t="e">
            <v>#VALUE!</v>
          </cell>
          <cell r="AS1137" t="e">
            <v>#VALUE!</v>
          </cell>
          <cell r="AT1137" t="e">
            <v>#VALUE!</v>
          </cell>
          <cell r="AU1137" t="e">
            <v>#VALUE!</v>
          </cell>
          <cell r="AV1137" t="e">
            <v>#VALUE!</v>
          </cell>
          <cell r="AW1137" t="e">
            <v>#VALUE!</v>
          </cell>
          <cell r="AY1137" t="e">
            <v>#VALUE!</v>
          </cell>
          <cell r="AZ1137" t="str">
            <v>F18</v>
          </cell>
          <cell r="BA1137">
            <v>0</v>
          </cell>
          <cell r="BB1137" t="str">
            <v/>
          </cell>
          <cell r="BC1137" t="str">
            <v>F18</v>
          </cell>
        </row>
        <row r="1138">
          <cell r="A1138" t="str">
            <v/>
          </cell>
          <cell r="B1138" t="str">
            <v>3</v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>
            <v>0</v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e">
            <v>#VALUE!</v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/>
          </cell>
          <cell r="W1138" t="str">
            <v/>
          </cell>
          <cell r="X1138" t="str">
            <v/>
          </cell>
          <cell r="Z1138">
            <v>0</v>
          </cell>
          <cell r="AA1138" t="e">
            <v>#VALUE!</v>
          </cell>
          <cell r="AM1138" t="str">
            <v/>
          </cell>
          <cell r="AO1138" t="e">
            <v>#VALUE!</v>
          </cell>
          <cell r="AP1138" t="e">
            <v>#VALUE!</v>
          </cell>
          <cell r="AQ1138">
            <v>0</v>
          </cell>
          <cell r="AR1138" t="e">
            <v>#VALUE!</v>
          </cell>
          <cell r="AS1138" t="e">
            <v>#VALUE!</v>
          </cell>
          <cell r="AT1138" t="e">
            <v>#VALUE!</v>
          </cell>
          <cell r="AU1138" t="e">
            <v>#VALUE!</v>
          </cell>
          <cell r="AV1138" t="e">
            <v>#VALUE!</v>
          </cell>
          <cell r="AW1138" t="e">
            <v>#VALUE!</v>
          </cell>
          <cell r="AY1138" t="e">
            <v>#VALUE!</v>
          </cell>
          <cell r="AZ1138" t="str">
            <v>F18</v>
          </cell>
          <cell r="BA1138">
            <v>0</v>
          </cell>
          <cell r="BB1138" t="str">
            <v/>
          </cell>
          <cell r="BC1138" t="str">
            <v>F18</v>
          </cell>
        </row>
        <row r="1139">
          <cell r="A1139" t="str">
            <v/>
          </cell>
          <cell r="B1139" t="str">
            <v>3</v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>
            <v>0</v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e">
            <v>#VALUE!</v>
          </cell>
          <cell r="R1139" t="str">
            <v/>
          </cell>
          <cell r="S1139" t="str">
            <v/>
          </cell>
          <cell r="T1139" t="str">
            <v/>
          </cell>
          <cell r="U1139" t="str">
            <v/>
          </cell>
          <cell r="V1139" t="str">
            <v/>
          </cell>
          <cell r="W1139" t="str">
            <v/>
          </cell>
          <cell r="X1139" t="str">
            <v/>
          </cell>
          <cell r="Z1139">
            <v>0</v>
          </cell>
          <cell r="AA1139" t="e">
            <v>#VALUE!</v>
          </cell>
          <cell r="AM1139" t="str">
            <v/>
          </cell>
          <cell r="AO1139" t="e">
            <v>#VALUE!</v>
          </cell>
          <cell r="AP1139" t="e">
            <v>#VALUE!</v>
          </cell>
          <cell r="AQ1139">
            <v>0</v>
          </cell>
          <cell r="AR1139" t="e">
            <v>#VALUE!</v>
          </cell>
          <cell r="AS1139" t="e">
            <v>#VALUE!</v>
          </cell>
          <cell r="AT1139" t="e">
            <v>#VALUE!</v>
          </cell>
          <cell r="AU1139" t="e">
            <v>#VALUE!</v>
          </cell>
          <cell r="AV1139" t="e">
            <v>#VALUE!</v>
          </cell>
          <cell r="AW1139" t="e">
            <v>#VALUE!</v>
          </cell>
          <cell r="AY1139" t="e">
            <v>#VALUE!</v>
          </cell>
          <cell r="AZ1139" t="str">
            <v>F18</v>
          </cell>
          <cell r="BA1139">
            <v>0</v>
          </cell>
          <cell r="BB1139" t="str">
            <v/>
          </cell>
          <cell r="BC1139" t="str">
            <v>F18</v>
          </cell>
        </row>
        <row r="1140">
          <cell r="A1140" t="str">
            <v/>
          </cell>
          <cell r="B1140" t="str">
            <v>3</v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>
            <v>0</v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e">
            <v>#VALUE!</v>
          </cell>
          <cell r="R1140" t="str">
            <v/>
          </cell>
          <cell r="S1140" t="str">
            <v/>
          </cell>
          <cell r="T1140" t="str">
            <v/>
          </cell>
          <cell r="U1140" t="str">
            <v/>
          </cell>
          <cell r="V1140" t="str">
            <v/>
          </cell>
          <cell r="W1140" t="str">
            <v/>
          </cell>
          <cell r="X1140" t="str">
            <v/>
          </cell>
          <cell r="Z1140">
            <v>0</v>
          </cell>
          <cell r="AA1140" t="e">
            <v>#VALUE!</v>
          </cell>
          <cell r="AM1140" t="str">
            <v/>
          </cell>
          <cell r="AO1140" t="e">
            <v>#VALUE!</v>
          </cell>
          <cell r="AP1140" t="e">
            <v>#VALUE!</v>
          </cell>
          <cell r="AQ1140">
            <v>0</v>
          </cell>
          <cell r="AR1140" t="e">
            <v>#VALUE!</v>
          </cell>
          <cell r="AS1140" t="e">
            <v>#VALUE!</v>
          </cell>
          <cell r="AT1140" t="e">
            <v>#VALUE!</v>
          </cell>
          <cell r="AU1140" t="e">
            <v>#VALUE!</v>
          </cell>
          <cell r="AV1140" t="e">
            <v>#VALUE!</v>
          </cell>
          <cell r="AW1140" t="e">
            <v>#VALUE!</v>
          </cell>
          <cell r="AY1140" t="e">
            <v>#VALUE!</v>
          </cell>
          <cell r="AZ1140" t="str">
            <v>F18</v>
          </cell>
          <cell r="BA1140">
            <v>0</v>
          </cell>
          <cell r="BB1140" t="str">
            <v/>
          </cell>
          <cell r="BC1140" t="str">
            <v>F18</v>
          </cell>
        </row>
        <row r="1141">
          <cell r="A1141" t="str">
            <v/>
          </cell>
          <cell r="B1141" t="str">
            <v>3</v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>
            <v>0</v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e">
            <v>#VALUE!</v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/>
          </cell>
          <cell r="W1141" t="str">
            <v/>
          </cell>
          <cell r="X1141" t="str">
            <v/>
          </cell>
          <cell r="Z1141">
            <v>0</v>
          </cell>
          <cell r="AA1141" t="e">
            <v>#VALUE!</v>
          </cell>
          <cell r="AM1141" t="str">
            <v/>
          </cell>
          <cell r="AO1141" t="e">
            <v>#VALUE!</v>
          </cell>
          <cell r="AP1141" t="e">
            <v>#VALUE!</v>
          </cell>
          <cell r="AQ1141">
            <v>0</v>
          </cell>
          <cell r="AR1141" t="e">
            <v>#VALUE!</v>
          </cell>
          <cell r="AS1141" t="e">
            <v>#VALUE!</v>
          </cell>
          <cell r="AT1141" t="e">
            <v>#VALUE!</v>
          </cell>
          <cell r="AU1141" t="e">
            <v>#VALUE!</v>
          </cell>
          <cell r="AV1141" t="e">
            <v>#VALUE!</v>
          </cell>
          <cell r="AW1141" t="e">
            <v>#VALUE!</v>
          </cell>
          <cell r="AY1141" t="e">
            <v>#VALUE!</v>
          </cell>
          <cell r="AZ1141" t="str">
            <v>F18</v>
          </cell>
          <cell r="BA1141">
            <v>0</v>
          </cell>
          <cell r="BB1141" t="str">
            <v/>
          </cell>
          <cell r="BC1141" t="str">
            <v>F18</v>
          </cell>
        </row>
        <row r="1142">
          <cell r="A1142" t="str">
            <v/>
          </cell>
          <cell r="B1142" t="str">
            <v>3</v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>
            <v>0</v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e">
            <v>#VALUE!</v>
          </cell>
          <cell r="R1142" t="str">
            <v/>
          </cell>
          <cell r="S1142" t="str">
            <v/>
          </cell>
          <cell r="T1142" t="str">
            <v/>
          </cell>
          <cell r="U1142" t="str">
            <v/>
          </cell>
          <cell r="V1142" t="str">
            <v/>
          </cell>
          <cell r="W1142" t="str">
            <v/>
          </cell>
          <cell r="X1142" t="str">
            <v/>
          </cell>
          <cell r="Z1142">
            <v>0</v>
          </cell>
          <cell r="AA1142" t="e">
            <v>#VALUE!</v>
          </cell>
          <cell r="AM1142" t="str">
            <v/>
          </cell>
          <cell r="AO1142" t="e">
            <v>#VALUE!</v>
          </cell>
          <cell r="AP1142" t="e">
            <v>#VALUE!</v>
          </cell>
          <cell r="AQ1142">
            <v>0</v>
          </cell>
          <cell r="AR1142" t="e">
            <v>#VALUE!</v>
          </cell>
          <cell r="AS1142" t="e">
            <v>#VALUE!</v>
          </cell>
          <cell r="AT1142" t="e">
            <v>#VALUE!</v>
          </cell>
          <cell r="AU1142" t="e">
            <v>#VALUE!</v>
          </cell>
          <cell r="AV1142" t="e">
            <v>#VALUE!</v>
          </cell>
          <cell r="AW1142" t="e">
            <v>#VALUE!</v>
          </cell>
          <cell r="AY1142" t="e">
            <v>#VALUE!</v>
          </cell>
          <cell r="AZ1142" t="str">
            <v>F18</v>
          </cell>
          <cell r="BA1142">
            <v>0</v>
          </cell>
          <cell r="BB1142" t="str">
            <v/>
          </cell>
          <cell r="BC1142" t="str">
            <v>F18</v>
          </cell>
        </row>
        <row r="1143">
          <cell r="A1143" t="str">
            <v/>
          </cell>
          <cell r="B1143" t="str">
            <v>3</v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>
            <v>0</v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e">
            <v>#VALUE!</v>
          </cell>
          <cell r="R1143" t="str">
            <v/>
          </cell>
          <cell r="S1143" t="str">
            <v/>
          </cell>
          <cell r="T1143" t="str">
            <v/>
          </cell>
          <cell r="U1143" t="str">
            <v/>
          </cell>
          <cell r="V1143" t="str">
            <v/>
          </cell>
          <cell r="W1143" t="str">
            <v/>
          </cell>
          <cell r="X1143" t="str">
            <v/>
          </cell>
          <cell r="Z1143">
            <v>0</v>
          </cell>
          <cell r="AA1143" t="e">
            <v>#VALUE!</v>
          </cell>
          <cell r="AM1143" t="str">
            <v/>
          </cell>
          <cell r="AO1143" t="e">
            <v>#VALUE!</v>
          </cell>
          <cell r="AP1143" t="e">
            <v>#VALUE!</v>
          </cell>
          <cell r="AQ1143">
            <v>0</v>
          </cell>
          <cell r="AR1143" t="e">
            <v>#VALUE!</v>
          </cell>
          <cell r="AS1143" t="e">
            <v>#VALUE!</v>
          </cell>
          <cell r="AT1143" t="e">
            <v>#VALUE!</v>
          </cell>
          <cell r="AU1143" t="e">
            <v>#VALUE!</v>
          </cell>
          <cell r="AV1143" t="e">
            <v>#VALUE!</v>
          </cell>
          <cell r="AW1143" t="e">
            <v>#VALUE!</v>
          </cell>
          <cell r="AY1143" t="e">
            <v>#VALUE!</v>
          </cell>
          <cell r="AZ1143" t="str">
            <v>F18</v>
          </cell>
          <cell r="BA1143">
            <v>0</v>
          </cell>
          <cell r="BB1143" t="str">
            <v/>
          </cell>
          <cell r="BC1143" t="str">
            <v>F18</v>
          </cell>
        </row>
        <row r="1144">
          <cell r="A1144" t="str">
            <v/>
          </cell>
          <cell r="B1144" t="str">
            <v>3</v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>
            <v>0</v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e">
            <v>#VALUE!</v>
          </cell>
          <cell r="R1144" t="str">
            <v/>
          </cell>
          <cell r="S1144" t="str">
            <v/>
          </cell>
          <cell r="T1144" t="str">
            <v/>
          </cell>
          <cell r="U1144" t="str">
            <v/>
          </cell>
          <cell r="V1144" t="str">
            <v/>
          </cell>
          <cell r="W1144" t="str">
            <v/>
          </cell>
          <cell r="X1144" t="str">
            <v/>
          </cell>
          <cell r="Z1144">
            <v>0</v>
          </cell>
          <cell r="AA1144" t="e">
            <v>#VALUE!</v>
          </cell>
          <cell r="AM1144" t="str">
            <v/>
          </cell>
          <cell r="AO1144" t="e">
            <v>#VALUE!</v>
          </cell>
          <cell r="AP1144" t="e">
            <v>#VALUE!</v>
          </cell>
          <cell r="AQ1144">
            <v>0</v>
          </cell>
          <cell r="AR1144" t="e">
            <v>#VALUE!</v>
          </cell>
          <cell r="AS1144" t="e">
            <v>#VALUE!</v>
          </cell>
          <cell r="AT1144" t="e">
            <v>#VALUE!</v>
          </cell>
          <cell r="AU1144" t="e">
            <v>#VALUE!</v>
          </cell>
          <cell r="AV1144" t="e">
            <v>#VALUE!</v>
          </cell>
          <cell r="AW1144" t="e">
            <v>#VALUE!</v>
          </cell>
          <cell r="AY1144" t="e">
            <v>#VALUE!</v>
          </cell>
          <cell r="AZ1144" t="str">
            <v>F18</v>
          </cell>
          <cell r="BA1144">
            <v>0</v>
          </cell>
          <cell r="BB1144" t="str">
            <v/>
          </cell>
          <cell r="BC1144" t="str">
            <v>F18</v>
          </cell>
        </row>
        <row r="1145">
          <cell r="A1145" t="str">
            <v/>
          </cell>
          <cell r="B1145" t="str">
            <v>3</v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>
            <v>0</v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e">
            <v>#VALUE!</v>
          </cell>
          <cell r="R1145" t="str">
            <v/>
          </cell>
          <cell r="S1145" t="str">
            <v/>
          </cell>
          <cell r="T1145" t="str">
            <v/>
          </cell>
          <cell r="U1145" t="str">
            <v/>
          </cell>
          <cell r="V1145" t="str">
            <v/>
          </cell>
          <cell r="W1145" t="str">
            <v/>
          </cell>
          <cell r="X1145" t="str">
            <v/>
          </cell>
          <cell r="Z1145">
            <v>0</v>
          </cell>
          <cell r="AA1145" t="e">
            <v>#VALUE!</v>
          </cell>
          <cell r="AM1145" t="str">
            <v/>
          </cell>
          <cell r="AO1145" t="e">
            <v>#VALUE!</v>
          </cell>
          <cell r="AP1145" t="e">
            <v>#VALUE!</v>
          </cell>
          <cell r="AQ1145">
            <v>0</v>
          </cell>
          <cell r="AR1145" t="e">
            <v>#VALUE!</v>
          </cell>
          <cell r="AS1145" t="e">
            <v>#VALUE!</v>
          </cell>
          <cell r="AT1145" t="e">
            <v>#VALUE!</v>
          </cell>
          <cell r="AU1145" t="e">
            <v>#VALUE!</v>
          </cell>
          <cell r="AV1145" t="e">
            <v>#VALUE!</v>
          </cell>
          <cell r="AW1145" t="e">
            <v>#VALUE!</v>
          </cell>
          <cell r="AY1145" t="e">
            <v>#VALUE!</v>
          </cell>
          <cell r="AZ1145" t="str">
            <v>F18</v>
          </cell>
          <cell r="BA1145">
            <v>0</v>
          </cell>
          <cell r="BB1145" t="str">
            <v/>
          </cell>
          <cell r="BC1145" t="str">
            <v>F18</v>
          </cell>
        </row>
        <row r="1146">
          <cell r="A1146" t="str">
            <v/>
          </cell>
          <cell r="B1146" t="str">
            <v>3</v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>
            <v>0</v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e">
            <v>#VALUE!</v>
          </cell>
          <cell r="R1146" t="str">
            <v/>
          </cell>
          <cell r="S1146" t="str">
            <v/>
          </cell>
          <cell r="T1146" t="str">
            <v/>
          </cell>
          <cell r="U1146" t="str">
            <v/>
          </cell>
          <cell r="V1146" t="str">
            <v/>
          </cell>
          <cell r="W1146" t="str">
            <v/>
          </cell>
          <cell r="X1146" t="str">
            <v/>
          </cell>
          <cell r="Z1146">
            <v>0</v>
          </cell>
          <cell r="AA1146" t="e">
            <v>#VALUE!</v>
          </cell>
          <cell r="AM1146" t="str">
            <v/>
          </cell>
          <cell r="AO1146" t="e">
            <v>#VALUE!</v>
          </cell>
          <cell r="AP1146" t="e">
            <v>#VALUE!</v>
          </cell>
          <cell r="AQ1146">
            <v>0</v>
          </cell>
          <cell r="AR1146" t="e">
            <v>#VALUE!</v>
          </cell>
          <cell r="AS1146" t="e">
            <v>#VALUE!</v>
          </cell>
          <cell r="AT1146" t="e">
            <v>#VALUE!</v>
          </cell>
          <cell r="AU1146" t="e">
            <v>#VALUE!</v>
          </cell>
          <cell r="AV1146" t="e">
            <v>#VALUE!</v>
          </cell>
          <cell r="AW1146" t="e">
            <v>#VALUE!</v>
          </cell>
          <cell r="AY1146" t="e">
            <v>#VALUE!</v>
          </cell>
          <cell r="AZ1146" t="str">
            <v>F18</v>
          </cell>
          <cell r="BA1146">
            <v>0</v>
          </cell>
          <cell r="BB1146" t="str">
            <v/>
          </cell>
          <cell r="BC1146" t="str">
            <v>F18</v>
          </cell>
        </row>
        <row r="1147">
          <cell r="A1147" t="str">
            <v/>
          </cell>
          <cell r="B1147" t="str">
            <v>3</v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>
            <v>0</v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e">
            <v>#VALUE!</v>
          </cell>
          <cell r="R1147" t="str">
            <v/>
          </cell>
          <cell r="S1147" t="str">
            <v/>
          </cell>
          <cell r="T1147" t="str">
            <v/>
          </cell>
          <cell r="U1147" t="str">
            <v/>
          </cell>
          <cell r="V1147" t="str">
            <v/>
          </cell>
          <cell r="W1147" t="str">
            <v/>
          </cell>
          <cell r="X1147" t="str">
            <v/>
          </cell>
          <cell r="Z1147">
            <v>0</v>
          </cell>
          <cell r="AA1147" t="e">
            <v>#VALUE!</v>
          </cell>
          <cell r="AM1147" t="str">
            <v/>
          </cell>
          <cell r="AO1147" t="e">
            <v>#VALUE!</v>
          </cell>
          <cell r="AP1147" t="e">
            <v>#VALUE!</v>
          </cell>
          <cell r="AQ1147">
            <v>0</v>
          </cell>
          <cell r="AR1147" t="e">
            <v>#VALUE!</v>
          </cell>
          <cell r="AS1147" t="e">
            <v>#VALUE!</v>
          </cell>
          <cell r="AT1147" t="e">
            <v>#VALUE!</v>
          </cell>
          <cell r="AU1147" t="e">
            <v>#VALUE!</v>
          </cell>
          <cell r="AV1147" t="e">
            <v>#VALUE!</v>
          </cell>
          <cell r="AW1147" t="e">
            <v>#VALUE!</v>
          </cell>
          <cell r="AY1147" t="e">
            <v>#VALUE!</v>
          </cell>
          <cell r="AZ1147" t="str">
            <v>F18</v>
          </cell>
          <cell r="BA1147">
            <v>0</v>
          </cell>
          <cell r="BB1147" t="str">
            <v/>
          </cell>
          <cell r="BC1147" t="str">
            <v>F18</v>
          </cell>
        </row>
        <row r="1148">
          <cell r="A1148" t="str">
            <v/>
          </cell>
          <cell r="B1148" t="str">
            <v>3</v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>
            <v>0</v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e">
            <v>#VALUE!</v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/>
          </cell>
          <cell r="X1148" t="str">
            <v/>
          </cell>
          <cell r="Z1148">
            <v>0</v>
          </cell>
          <cell r="AA1148" t="e">
            <v>#VALUE!</v>
          </cell>
          <cell r="AM1148" t="str">
            <v/>
          </cell>
          <cell r="AO1148" t="e">
            <v>#VALUE!</v>
          </cell>
          <cell r="AP1148" t="e">
            <v>#VALUE!</v>
          </cell>
          <cell r="AQ1148">
            <v>0</v>
          </cell>
          <cell r="AR1148" t="e">
            <v>#VALUE!</v>
          </cell>
          <cell r="AS1148" t="e">
            <v>#VALUE!</v>
          </cell>
          <cell r="AT1148" t="e">
            <v>#VALUE!</v>
          </cell>
          <cell r="AU1148" t="e">
            <v>#VALUE!</v>
          </cell>
          <cell r="AV1148" t="e">
            <v>#VALUE!</v>
          </cell>
          <cell r="AW1148" t="e">
            <v>#VALUE!</v>
          </cell>
          <cell r="AY1148" t="e">
            <v>#VALUE!</v>
          </cell>
          <cell r="AZ1148" t="str">
            <v>F18</v>
          </cell>
          <cell r="BA1148">
            <v>0</v>
          </cell>
          <cell r="BB1148" t="str">
            <v/>
          </cell>
          <cell r="BC1148" t="str">
            <v>F18</v>
          </cell>
        </row>
        <row r="1149">
          <cell r="A1149" t="str">
            <v/>
          </cell>
          <cell r="B1149" t="str">
            <v>3</v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>
            <v>0</v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e">
            <v>#VALUE!</v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/>
          </cell>
          <cell r="W1149" t="str">
            <v/>
          </cell>
          <cell r="X1149" t="str">
            <v/>
          </cell>
          <cell r="Z1149">
            <v>0</v>
          </cell>
          <cell r="AA1149" t="e">
            <v>#VALUE!</v>
          </cell>
          <cell r="AM1149" t="str">
            <v/>
          </cell>
          <cell r="AO1149" t="e">
            <v>#VALUE!</v>
          </cell>
          <cell r="AP1149" t="e">
            <v>#VALUE!</v>
          </cell>
          <cell r="AQ1149">
            <v>0</v>
          </cell>
          <cell r="AR1149" t="e">
            <v>#VALUE!</v>
          </cell>
          <cell r="AS1149" t="e">
            <v>#VALUE!</v>
          </cell>
          <cell r="AT1149" t="e">
            <v>#VALUE!</v>
          </cell>
          <cell r="AU1149" t="e">
            <v>#VALUE!</v>
          </cell>
          <cell r="AV1149" t="e">
            <v>#VALUE!</v>
          </cell>
          <cell r="AW1149" t="e">
            <v>#VALUE!</v>
          </cell>
          <cell r="AY1149" t="e">
            <v>#VALUE!</v>
          </cell>
          <cell r="AZ1149" t="str">
            <v>F18</v>
          </cell>
          <cell r="BA1149">
            <v>0</v>
          </cell>
          <cell r="BB1149" t="str">
            <v/>
          </cell>
          <cell r="BC1149" t="str">
            <v>F18</v>
          </cell>
        </row>
        <row r="1150">
          <cell r="A1150" t="str">
            <v/>
          </cell>
          <cell r="B1150" t="str">
            <v>3</v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>
            <v>0</v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e">
            <v>#VALUE!</v>
          </cell>
          <cell r="R1150" t="str">
            <v/>
          </cell>
          <cell r="S1150" t="str">
            <v/>
          </cell>
          <cell r="T1150" t="str">
            <v/>
          </cell>
          <cell r="U1150" t="str">
            <v/>
          </cell>
          <cell r="V1150" t="str">
            <v/>
          </cell>
          <cell r="W1150" t="str">
            <v/>
          </cell>
          <cell r="X1150" t="str">
            <v/>
          </cell>
          <cell r="Z1150">
            <v>0</v>
          </cell>
          <cell r="AA1150" t="e">
            <v>#VALUE!</v>
          </cell>
          <cell r="AM1150" t="str">
            <v/>
          </cell>
          <cell r="AO1150" t="e">
            <v>#VALUE!</v>
          </cell>
          <cell r="AP1150" t="e">
            <v>#VALUE!</v>
          </cell>
          <cell r="AQ1150">
            <v>0</v>
          </cell>
          <cell r="AR1150" t="e">
            <v>#VALUE!</v>
          </cell>
          <cell r="AS1150" t="e">
            <v>#VALUE!</v>
          </cell>
          <cell r="AT1150" t="e">
            <v>#VALUE!</v>
          </cell>
          <cell r="AU1150" t="e">
            <v>#VALUE!</v>
          </cell>
          <cell r="AV1150" t="e">
            <v>#VALUE!</v>
          </cell>
          <cell r="AW1150" t="e">
            <v>#VALUE!</v>
          </cell>
          <cell r="AY1150" t="e">
            <v>#VALUE!</v>
          </cell>
          <cell r="AZ1150" t="str">
            <v>F18</v>
          </cell>
          <cell r="BA1150">
            <v>0</v>
          </cell>
          <cell r="BB1150" t="str">
            <v/>
          </cell>
          <cell r="BC1150" t="str">
            <v>F18</v>
          </cell>
        </row>
        <row r="1151">
          <cell r="A1151" t="str">
            <v/>
          </cell>
          <cell r="B1151" t="str">
            <v>3</v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>
            <v>0</v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e">
            <v>#VALUE!</v>
          </cell>
          <cell r="R1151" t="str">
            <v/>
          </cell>
          <cell r="S1151" t="str">
            <v/>
          </cell>
          <cell r="T1151" t="str">
            <v/>
          </cell>
          <cell r="U1151" t="str">
            <v/>
          </cell>
          <cell r="V1151" t="str">
            <v/>
          </cell>
          <cell r="W1151" t="str">
            <v/>
          </cell>
          <cell r="X1151" t="str">
            <v/>
          </cell>
          <cell r="Z1151">
            <v>0</v>
          </cell>
          <cell r="AA1151" t="e">
            <v>#VALUE!</v>
          </cell>
          <cell r="AM1151" t="str">
            <v/>
          </cell>
          <cell r="AO1151" t="e">
            <v>#VALUE!</v>
          </cell>
          <cell r="AP1151" t="e">
            <v>#VALUE!</v>
          </cell>
          <cell r="AQ1151">
            <v>0</v>
          </cell>
          <cell r="AR1151" t="e">
            <v>#VALUE!</v>
          </cell>
          <cell r="AS1151" t="e">
            <v>#VALUE!</v>
          </cell>
          <cell r="AT1151" t="e">
            <v>#VALUE!</v>
          </cell>
          <cell r="AU1151" t="e">
            <v>#VALUE!</v>
          </cell>
          <cell r="AV1151" t="e">
            <v>#VALUE!</v>
          </cell>
          <cell r="AW1151" t="e">
            <v>#VALUE!</v>
          </cell>
          <cell r="AY1151" t="e">
            <v>#VALUE!</v>
          </cell>
          <cell r="AZ1151" t="str">
            <v>F18</v>
          </cell>
          <cell r="BA1151">
            <v>0</v>
          </cell>
          <cell r="BB1151" t="str">
            <v/>
          </cell>
          <cell r="BC1151" t="str">
            <v>F18</v>
          </cell>
        </row>
        <row r="1152">
          <cell r="A1152" t="str">
            <v/>
          </cell>
          <cell r="B1152" t="str">
            <v>3</v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>
            <v>0</v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e">
            <v>#VALUE!</v>
          </cell>
          <cell r="R1152" t="str">
            <v/>
          </cell>
          <cell r="S1152" t="str">
            <v/>
          </cell>
          <cell r="T1152" t="str">
            <v/>
          </cell>
          <cell r="U1152" t="str">
            <v/>
          </cell>
          <cell r="V1152" t="str">
            <v/>
          </cell>
          <cell r="W1152" t="str">
            <v/>
          </cell>
          <cell r="X1152" t="str">
            <v/>
          </cell>
          <cell r="Z1152">
            <v>0</v>
          </cell>
          <cell r="AA1152" t="e">
            <v>#VALUE!</v>
          </cell>
          <cell r="AM1152" t="str">
            <v/>
          </cell>
          <cell r="AO1152" t="e">
            <v>#VALUE!</v>
          </cell>
          <cell r="AP1152" t="e">
            <v>#VALUE!</v>
          </cell>
          <cell r="AQ1152">
            <v>0</v>
          </cell>
          <cell r="AR1152" t="e">
            <v>#VALUE!</v>
          </cell>
          <cell r="AS1152" t="e">
            <v>#VALUE!</v>
          </cell>
          <cell r="AT1152" t="e">
            <v>#VALUE!</v>
          </cell>
          <cell r="AU1152" t="e">
            <v>#VALUE!</v>
          </cell>
          <cell r="AV1152" t="e">
            <v>#VALUE!</v>
          </cell>
          <cell r="AW1152" t="e">
            <v>#VALUE!</v>
          </cell>
          <cell r="AY1152" t="e">
            <v>#VALUE!</v>
          </cell>
          <cell r="AZ1152" t="str">
            <v>F18</v>
          </cell>
          <cell r="BA1152">
            <v>0</v>
          </cell>
          <cell r="BB1152" t="str">
            <v/>
          </cell>
          <cell r="BC1152" t="str">
            <v>F18</v>
          </cell>
        </row>
        <row r="1153">
          <cell r="A1153" t="str">
            <v/>
          </cell>
          <cell r="B1153" t="str">
            <v>3</v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>
            <v>0</v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e">
            <v>#VALUE!</v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/>
          </cell>
          <cell r="W1153" t="str">
            <v/>
          </cell>
          <cell r="X1153" t="str">
            <v/>
          </cell>
          <cell r="Z1153">
            <v>0</v>
          </cell>
          <cell r="AA1153" t="e">
            <v>#VALUE!</v>
          </cell>
          <cell r="AM1153" t="str">
            <v/>
          </cell>
          <cell r="AO1153" t="e">
            <v>#VALUE!</v>
          </cell>
          <cell r="AP1153" t="e">
            <v>#VALUE!</v>
          </cell>
          <cell r="AQ1153">
            <v>0</v>
          </cell>
          <cell r="AR1153" t="e">
            <v>#VALUE!</v>
          </cell>
          <cell r="AS1153" t="e">
            <v>#VALUE!</v>
          </cell>
          <cell r="AT1153" t="e">
            <v>#VALUE!</v>
          </cell>
          <cell r="AU1153" t="e">
            <v>#VALUE!</v>
          </cell>
          <cell r="AV1153" t="e">
            <v>#VALUE!</v>
          </cell>
          <cell r="AW1153" t="e">
            <v>#VALUE!</v>
          </cell>
          <cell r="AY1153" t="e">
            <v>#VALUE!</v>
          </cell>
          <cell r="AZ1153" t="str">
            <v>F18</v>
          </cell>
          <cell r="BA1153">
            <v>0</v>
          </cell>
          <cell r="BB1153" t="str">
            <v/>
          </cell>
          <cell r="BC1153" t="str">
            <v>F18</v>
          </cell>
        </row>
        <row r="1154">
          <cell r="A1154" t="str">
            <v/>
          </cell>
          <cell r="B1154" t="str">
            <v>3</v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>
            <v>0</v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e">
            <v>#VALUE!</v>
          </cell>
          <cell r="R1154" t="str">
            <v/>
          </cell>
          <cell r="S1154" t="str">
            <v/>
          </cell>
          <cell r="T1154" t="str">
            <v/>
          </cell>
          <cell r="U1154" t="str">
            <v/>
          </cell>
          <cell r="V1154" t="str">
            <v/>
          </cell>
          <cell r="W1154" t="str">
            <v/>
          </cell>
          <cell r="X1154" t="str">
            <v/>
          </cell>
          <cell r="Z1154">
            <v>0</v>
          </cell>
          <cell r="AA1154" t="e">
            <v>#VALUE!</v>
          </cell>
          <cell r="AM1154" t="str">
            <v/>
          </cell>
          <cell r="AO1154" t="e">
            <v>#VALUE!</v>
          </cell>
          <cell r="AP1154" t="e">
            <v>#VALUE!</v>
          </cell>
          <cell r="AQ1154">
            <v>0</v>
          </cell>
          <cell r="AR1154" t="e">
            <v>#VALUE!</v>
          </cell>
          <cell r="AS1154" t="e">
            <v>#VALUE!</v>
          </cell>
          <cell r="AT1154" t="e">
            <v>#VALUE!</v>
          </cell>
          <cell r="AU1154" t="e">
            <v>#VALUE!</v>
          </cell>
          <cell r="AV1154" t="e">
            <v>#VALUE!</v>
          </cell>
          <cell r="AW1154" t="e">
            <v>#VALUE!</v>
          </cell>
          <cell r="AY1154" t="e">
            <v>#VALUE!</v>
          </cell>
          <cell r="AZ1154" t="str">
            <v>F18</v>
          </cell>
          <cell r="BA1154">
            <v>0</v>
          </cell>
          <cell r="BB1154" t="str">
            <v/>
          </cell>
          <cell r="BC1154" t="str">
            <v>F18</v>
          </cell>
        </row>
        <row r="1155">
          <cell r="A1155" t="str">
            <v/>
          </cell>
          <cell r="B1155" t="str">
            <v>3</v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>
            <v>0</v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e">
            <v>#VALUE!</v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/>
          </cell>
          <cell r="W1155" t="str">
            <v/>
          </cell>
          <cell r="X1155" t="str">
            <v/>
          </cell>
          <cell r="Z1155">
            <v>0</v>
          </cell>
          <cell r="AA1155" t="e">
            <v>#VALUE!</v>
          </cell>
          <cell r="AM1155" t="str">
            <v/>
          </cell>
          <cell r="AO1155" t="e">
            <v>#VALUE!</v>
          </cell>
          <cell r="AP1155" t="e">
            <v>#VALUE!</v>
          </cell>
          <cell r="AQ1155">
            <v>0</v>
          </cell>
          <cell r="AR1155" t="e">
            <v>#VALUE!</v>
          </cell>
          <cell r="AS1155" t="e">
            <v>#VALUE!</v>
          </cell>
          <cell r="AT1155" t="e">
            <v>#VALUE!</v>
          </cell>
          <cell r="AU1155" t="e">
            <v>#VALUE!</v>
          </cell>
          <cell r="AV1155" t="e">
            <v>#VALUE!</v>
          </cell>
          <cell r="AW1155" t="e">
            <v>#VALUE!</v>
          </cell>
          <cell r="AY1155" t="e">
            <v>#VALUE!</v>
          </cell>
          <cell r="AZ1155" t="str">
            <v>F18</v>
          </cell>
          <cell r="BA1155">
            <v>0</v>
          </cell>
          <cell r="BB1155" t="str">
            <v/>
          </cell>
          <cell r="BC1155" t="str">
            <v>F18</v>
          </cell>
        </row>
        <row r="1156">
          <cell r="A1156" t="str">
            <v/>
          </cell>
          <cell r="B1156" t="str">
            <v>3</v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>
            <v>0</v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e">
            <v>#VALUE!</v>
          </cell>
          <cell r="R1156" t="str">
            <v/>
          </cell>
          <cell r="S1156" t="str">
            <v/>
          </cell>
          <cell r="T1156" t="str">
            <v/>
          </cell>
          <cell r="U1156" t="str">
            <v/>
          </cell>
          <cell r="V1156" t="str">
            <v/>
          </cell>
          <cell r="W1156" t="str">
            <v/>
          </cell>
          <cell r="X1156" t="str">
            <v/>
          </cell>
          <cell r="Z1156">
            <v>0</v>
          </cell>
          <cell r="AA1156" t="e">
            <v>#VALUE!</v>
          </cell>
          <cell r="AM1156" t="str">
            <v/>
          </cell>
          <cell r="AO1156" t="e">
            <v>#VALUE!</v>
          </cell>
          <cell r="AP1156" t="e">
            <v>#VALUE!</v>
          </cell>
          <cell r="AQ1156">
            <v>0</v>
          </cell>
          <cell r="AR1156" t="e">
            <v>#VALUE!</v>
          </cell>
          <cell r="AS1156" t="e">
            <v>#VALUE!</v>
          </cell>
          <cell r="AT1156" t="e">
            <v>#VALUE!</v>
          </cell>
          <cell r="AU1156" t="e">
            <v>#VALUE!</v>
          </cell>
          <cell r="AV1156" t="e">
            <v>#VALUE!</v>
          </cell>
          <cell r="AW1156" t="e">
            <v>#VALUE!</v>
          </cell>
          <cell r="AY1156" t="e">
            <v>#VALUE!</v>
          </cell>
          <cell r="AZ1156" t="str">
            <v>F18</v>
          </cell>
          <cell r="BA1156">
            <v>0</v>
          </cell>
          <cell r="BB1156" t="str">
            <v/>
          </cell>
          <cell r="BC1156" t="str">
            <v>F18</v>
          </cell>
        </row>
        <row r="1157">
          <cell r="A1157" t="str">
            <v/>
          </cell>
          <cell r="B1157" t="str">
            <v>3</v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>
            <v>0</v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e">
            <v>#VALUE!</v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/>
          </cell>
          <cell r="W1157" t="str">
            <v/>
          </cell>
          <cell r="X1157" t="str">
            <v/>
          </cell>
          <cell r="Z1157">
            <v>0</v>
          </cell>
          <cell r="AA1157" t="e">
            <v>#VALUE!</v>
          </cell>
          <cell r="AM1157" t="str">
            <v/>
          </cell>
          <cell r="AO1157" t="e">
            <v>#VALUE!</v>
          </cell>
          <cell r="AP1157" t="e">
            <v>#VALUE!</v>
          </cell>
          <cell r="AQ1157">
            <v>0</v>
          </cell>
          <cell r="AR1157" t="e">
            <v>#VALUE!</v>
          </cell>
          <cell r="AS1157" t="e">
            <v>#VALUE!</v>
          </cell>
          <cell r="AT1157" t="e">
            <v>#VALUE!</v>
          </cell>
          <cell r="AU1157" t="e">
            <v>#VALUE!</v>
          </cell>
          <cell r="AV1157" t="e">
            <v>#VALUE!</v>
          </cell>
          <cell r="AW1157" t="e">
            <v>#VALUE!</v>
          </cell>
          <cell r="AY1157" t="e">
            <v>#VALUE!</v>
          </cell>
          <cell r="AZ1157" t="str">
            <v>F18</v>
          </cell>
          <cell r="BA1157">
            <v>0</v>
          </cell>
          <cell r="BB1157" t="str">
            <v/>
          </cell>
          <cell r="BC1157" t="str">
            <v>F18</v>
          </cell>
        </row>
        <row r="1158">
          <cell r="A1158" t="str">
            <v/>
          </cell>
          <cell r="B1158" t="str">
            <v>3</v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>
            <v>0</v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e">
            <v>#VALUE!</v>
          </cell>
          <cell r="R1158" t="str">
            <v/>
          </cell>
          <cell r="S1158" t="str">
            <v/>
          </cell>
          <cell r="T1158" t="str">
            <v/>
          </cell>
          <cell r="U1158" t="str">
            <v/>
          </cell>
          <cell r="V1158" t="str">
            <v/>
          </cell>
          <cell r="W1158" t="str">
            <v/>
          </cell>
          <cell r="X1158" t="str">
            <v/>
          </cell>
          <cell r="Z1158">
            <v>0</v>
          </cell>
          <cell r="AA1158" t="e">
            <v>#VALUE!</v>
          </cell>
          <cell r="AM1158" t="str">
            <v/>
          </cell>
          <cell r="AO1158" t="e">
            <v>#VALUE!</v>
          </cell>
          <cell r="AP1158" t="e">
            <v>#VALUE!</v>
          </cell>
          <cell r="AQ1158">
            <v>0</v>
          </cell>
          <cell r="AR1158" t="e">
            <v>#VALUE!</v>
          </cell>
          <cell r="AS1158" t="e">
            <v>#VALUE!</v>
          </cell>
          <cell r="AT1158" t="e">
            <v>#VALUE!</v>
          </cell>
          <cell r="AU1158" t="e">
            <v>#VALUE!</v>
          </cell>
          <cell r="AV1158" t="e">
            <v>#VALUE!</v>
          </cell>
          <cell r="AW1158" t="e">
            <v>#VALUE!</v>
          </cell>
          <cell r="AY1158" t="e">
            <v>#VALUE!</v>
          </cell>
          <cell r="AZ1158" t="str">
            <v>F18</v>
          </cell>
          <cell r="BA1158">
            <v>0</v>
          </cell>
          <cell r="BB1158" t="str">
            <v/>
          </cell>
          <cell r="BC1158" t="str">
            <v>F18</v>
          </cell>
        </row>
        <row r="1159">
          <cell r="A1159" t="str">
            <v/>
          </cell>
          <cell r="B1159" t="str">
            <v>3</v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>
            <v>0</v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e">
            <v>#VALUE!</v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/>
          </cell>
          <cell r="W1159" t="str">
            <v/>
          </cell>
          <cell r="X1159" t="str">
            <v/>
          </cell>
          <cell r="Z1159">
            <v>0</v>
          </cell>
          <cell r="AA1159" t="e">
            <v>#VALUE!</v>
          </cell>
          <cell r="AM1159" t="str">
            <v/>
          </cell>
          <cell r="AO1159" t="e">
            <v>#VALUE!</v>
          </cell>
          <cell r="AP1159" t="e">
            <v>#VALUE!</v>
          </cell>
          <cell r="AQ1159">
            <v>0</v>
          </cell>
          <cell r="AR1159" t="e">
            <v>#VALUE!</v>
          </cell>
          <cell r="AS1159" t="e">
            <v>#VALUE!</v>
          </cell>
          <cell r="AT1159" t="e">
            <v>#VALUE!</v>
          </cell>
          <cell r="AU1159" t="e">
            <v>#VALUE!</v>
          </cell>
          <cell r="AV1159" t="e">
            <v>#VALUE!</v>
          </cell>
          <cell r="AW1159" t="e">
            <v>#VALUE!</v>
          </cell>
          <cell r="AY1159" t="e">
            <v>#VALUE!</v>
          </cell>
          <cell r="AZ1159" t="str">
            <v>F18</v>
          </cell>
          <cell r="BA1159">
            <v>0</v>
          </cell>
          <cell r="BB1159" t="str">
            <v/>
          </cell>
          <cell r="BC1159" t="str">
            <v>F18</v>
          </cell>
        </row>
        <row r="1160">
          <cell r="A1160" t="str">
            <v/>
          </cell>
          <cell r="B1160" t="str">
            <v>3</v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>
            <v>0</v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e">
            <v>#VALUE!</v>
          </cell>
          <cell r="R1160" t="str">
            <v/>
          </cell>
          <cell r="S1160" t="str">
            <v/>
          </cell>
          <cell r="T1160" t="str">
            <v/>
          </cell>
          <cell r="U1160" t="str">
            <v/>
          </cell>
          <cell r="V1160" t="str">
            <v/>
          </cell>
          <cell r="W1160" t="str">
            <v/>
          </cell>
          <cell r="X1160" t="str">
            <v/>
          </cell>
          <cell r="Z1160">
            <v>0</v>
          </cell>
          <cell r="AA1160" t="e">
            <v>#VALUE!</v>
          </cell>
          <cell r="AM1160" t="str">
            <v/>
          </cell>
          <cell r="AO1160" t="e">
            <v>#VALUE!</v>
          </cell>
          <cell r="AP1160" t="e">
            <v>#VALUE!</v>
          </cell>
          <cell r="AQ1160">
            <v>0</v>
          </cell>
          <cell r="AR1160" t="e">
            <v>#VALUE!</v>
          </cell>
          <cell r="AS1160" t="e">
            <v>#VALUE!</v>
          </cell>
          <cell r="AT1160" t="e">
            <v>#VALUE!</v>
          </cell>
          <cell r="AU1160" t="e">
            <v>#VALUE!</v>
          </cell>
          <cell r="AV1160" t="e">
            <v>#VALUE!</v>
          </cell>
          <cell r="AW1160" t="e">
            <v>#VALUE!</v>
          </cell>
          <cell r="AY1160" t="e">
            <v>#VALUE!</v>
          </cell>
          <cell r="AZ1160" t="str">
            <v>F18</v>
          </cell>
          <cell r="BA1160">
            <v>0</v>
          </cell>
          <cell r="BB1160" t="str">
            <v/>
          </cell>
          <cell r="BC1160" t="str">
            <v>F18</v>
          </cell>
        </row>
        <row r="1161">
          <cell r="A1161" t="str">
            <v/>
          </cell>
          <cell r="B1161" t="str">
            <v>3</v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>
            <v>0</v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e">
            <v>#VALUE!</v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/>
          </cell>
          <cell r="W1161" t="str">
            <v/>
          </cell>
          <cell r="X1161" t="str">
            <v/>
          </cell>
          <cell r="Z1161">
            <v>0</v>
          </cell>
          <cell r="AA1161" t="e">
            <v>#VALUE!</v>
          </cell>
          <cell r="AM1161" t="str">
            <v/>
          </cell>
          <cell r="AO1161" t="e">
            <v>#VALUE!</v>
          </cell>
          <cell r="AP1161" t="e">
            <v>#VALUE!</v>
          </cell>
          <cell r="AQ1161">
            <v>0</v>
          </cell>
          <cell r="AR1161" t="e">
            <v>#VALUE!</v>
          </cell>
          <cell r="AS1161" t="e">
            <v>#VALUE!</v>
          </cell>
          <cell r="AT1161" t="e">
            <v>#VALUE!</v>
          </cell>
          <cell r="AU1161" t="e">
            <v>#VALUE!</v>
          </cell>
          <cell r="AV1161" t="e">
            <v>#VALUE!</v>
          </cell>
          <cell r="AW1161" t="e">
            <v>#VALUE!</v>
          </cell>
          <cell r="AY1161" t="e">
            <v>#VALUE!</v>
          </cell>
          <cell r="AZ1161" t="str">
            <v>F18</v>
          </cell>
          <cell r="BA1161">
            <v>0</v>
          </cell>
          <cell r="BB1161" t="str">
            <v/>
          </cell>
          <cell r="BC1161" t="str">
            <v>F18</v>
          </cell>
        </row>
        <row r="1162">
          <cell r="A1162" t="str">
            <v/>
          </cell>
          <cell r="B1162" t="str">
            <v>3</v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>
            <v>0</v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e">
            <v>#VALUE!</v>
          </cell>
          <cell r="R1162" t="str">
            <v/>
          </cell>
          <cell r="S1162" t="str">
            <v/>
          </cell>
          <cell r="T1162" t="str">
            <v/>
          </cell>
          <cell r="U1162" t="str">
            <v/>
          </cell>
          <cell r="V1162" t="str">
            <v/>
          </cell>
          <cell r="W1162" t="str">
            <v/>
          </cell>
          <cell r="X1162" t="str">
            <v/>
          </cell>
          <cell r="Z1162">
            <v>0</v>
          </cell>
          <cell r="AA1162" t="e">
            <v>#VALUE!</v>
          </cell>
          <cell r="AM1162" t="str">
            <v/>
          </cell>
          <cell r="AO1162" t="e">
            <v>#VALUE!</v>
          </cell>
          <cell r="AP1162" t="e">
            <v>#VALUE!</v>
          </cell>
          <cell r="AQ1162">
            <v>0</v>
          </cell>
          <cell r="AR1162" t="e">
            <v>#VALUE!</v>
          </cell>
          <cell r="AS1162" t="e">
            <v>#VALUE!</v>
          </cell>
          <cell r="AT1162" t="e">
            <v>#VALUE!</v>
          </cell>
          <cell r="AU1162" t="e">
            <v>#VALUE!</v>
          </cell>
          <cell r="AV1162" t="e">
            <v>#VALUE!</v>
          </cell>
          <cell r="AW1162" t="e">
            <v>#VALUE!</v>
          </cell>
          <cell r="AY1162" t="e">
            <v>#VALUE!</v>
          </cell>
          <cell r="AZ1162" t="str">
            <v>F18</v>
          </cell>
          <cell r="BA1162">
            <v>0</v>
          </cell>
          <cell r="BB1162" t="str">
            <v/>
          </cell>
          <cell r="BC1162" t="str">
            <v>F18</v>
          </cell>
        </row>
        <row r="1163">
          <cell r="A1163" t="str">
            <v/>
          </cell>
          <cell r="B1163" t="str">
            <v>3</v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>
            <v>0</v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e">
            <v>#VALUE!</v>
          </cell>
          <cell r="R1163" t="str">
            <v/>
          </cell>
          <cell r="S1163" t="str">
            <v/>
          </cell>
          <cell r="T1163" t="str">
            <v/>
          </cell>
          <cell r="U1163" t="str">
            <v/>
          </cell>
          <cell r="V1163" t="str">
            <v/>
          </cell>
          <cell r="W1163" t="str">
            <v/>
          </cell>
          <cell r="X1163" t="str">
            <v/>
          </cell>
          <cell r="Z1163">
            <v>0</v>
          </cell>
          <cell r="AA1163" t="e">
            <v>#VALUE!</v>
          </cell>
          <cell r="AM1163" t="str">
            <v/>
          </cell>
          <cell r="AO1163" t="e">
            <v>#VALUE!</v>
          </cell>
          <cell r="AP1163" t="e">
            <v>#VALUE!</v>
          </cell>
          <cell r="AQ1163">
            <v>0</v>
          </cell>
          <cell r="AR1163" t="e">
            <v>#VALUE!</v>
          </cell>
          <cell r="AS1163" t="e">
            <v>#VALUE!</v>
          </cell>
          <cell r="AT1163" t="e">
            <v>#VALUE!</v>
          </cell>
          <cell r="AU1163" t="e">
            <v>#VALUE!</v>
          </cell>
          <cell r="AV1163" t="e">
            <v>#VALUE!</v>
          </cell>
          <cell r="AW1163" t="e">
            <v>#VALUE!</v>
          </cell>
          <cell r="AY1163" t="e">
            <v>#VALUE!</v>
          </cell>
          <cell r="AZ1163" t="str">
            <v>F18</v>
          </cell>
          <cell r="BA1163">
            <v>0</v>
          </cell>
          <cell r="BB1163" t="str">
            <v/>
          </cell>
          <cell r="BC1163" t="str">
            <v>F18</v>
          </cell>
        </row>
        <row r="1164">
          <cell r="A1164" t="str">
            <v/>
          </cell>
          <cell r="B1164" t="str">
            <v>3</v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>
            <v>0</v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e">
            <v>#VALUE!</v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/>
          </cell>
          <cell r="W1164" t="str">
            <v/>
          </cell>
          <cell r="X1164" t="str">
            <v/>
          </cell>
          <cell r="Z1164">
            <v>0</v>
          </cell>
          <cell r="AA1164" t="e">
            <v>#VALUE!</v>
          </cell>
          <cell r="AM1164" t="str">
            <v/>
          </cell>
          <cell r="AO1164" t="e">
            <v>#VALUE!</v>
          </cell>
          <cell r="AP1164" t="e">
            <v>#VALUE!</v>
          </cell>
          <cell r="AQ1164">
            <v>0</v>
          </cell>
          <cell r="AR1164" t="e">
            <v>#VALUE!</v>
          </cell>
          <cell r="AS1164" t="e">
            <v>#VALUE!</v>
          </cell>
          <cell r="AT1164" t="e">
            <v>#VALUE!</v>
          </cell>
          <cell r="AU1164" t="e">
            <v>#VALUE!</v>
          </cell>
          <cell r="AV1164" t="e">
            <v>#VALUE!</v>
          </cell>
          <cell r="AW1164" t="e">
            <v>#VALUE!</v>
          </cell>
          <cell r="AY1164" t="e">
            <v>#VALUE!</v>
          </cell>
          <cell r="AZ1164" t="str">
            <v>F18</v>
          </cell>
          <cell r="BA1164">
            <v>0</v>
          </cell>
          <cell r="BB1164" t="str">
            <v/>
          </cell>
          <cell r="BC1164" t="str">
            <v>F18</v>
          </cell>
        </row>
        <row r="1165">
          <cell r="A1165" t="str">
            <v/>
          </cell>
          <cell r="B1165" t="str">
            <v>3</v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>
            <v>0</v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e">
            <v>#VALUE!</v>
          </cell>
          <cell r="R1165" t="str">
            <v/>
          </cell>
          <cell r="S1165" t="str">
            <v/>
          </cell>
          <cell r="T1165" t="str">
            <v/>
          </cell>
          <cell r="U1165" t="str">
            <v/>
          </cell>
          <cell r="V1165" t="str">
            <v/>
          </cell>
          <cell r="W1165" t="str">
            <v/>
          </cell>
          <cell r="X1165" t="str">
            <v/>
          </cell>
          <cell r="Z1165">
            <v>0</v>
          </cell>
          <cell r="AA1165" t="e">
            <v>#VALUE!</v>
          </cell>
          <cell r="AM1165" t="str">
            <v/>
          </cell>
          <cell r="AO1165" t="e">
            <v>#VALUE!</v>
          </cell>
          <cell r="AP1165" t="e">
            <v>#VALUE!</v>
          </cell>
          <cell r="AQ1165">
            <v>0</v>
          </cell>
          <cell r="AR1165" t="e">
            <v>#VALUE!</v>
          </cell>
          <cell r="AS1165" t="e">
            <v>#VALUE!</v>
          </cell>
          <cell r="AT1165" t="e">
            <v>#VALUE!</v>
          </cell>
          <cell r="AU1165" t="e">
            <v>#VALUE!</v>
          </cell>
          <cell r="AV1165" t="e">
            <v>#VALUE!</v>
          </cell>
          <cell r="AW1165" t="e">
            <v>#VALUE!</v>
          </cell>
          <cell r="AY1165" t="e">
            <v>#VALUE!</v>
          </cell>
          <cell r="AZ1165" t="str">
            <v>F18</v>
          </cell>
          <cell r="BA1165">
            <v>0</v>
          </cell>
          <cell r="BB1165" t="str">
            <v/>
          </cell>
          <cell r="BC1165" t="str">
            <v>F18</v>
          </cell>
        </row>
        <row r="1166">
          <cell r="A1166" t="str">
            <v/>
          </cell>
          <cell r="B1166" t="str">
            <v>3</v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>
            <v>0</v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e">
            <v>#VALUE!</v>
          </cell>
          <cell r="R1166" t="str">
            <v/>
          </cell>
          <cell r="S1166" t="str">
            <v/>
          </cell>
          <cell r="T1166" t="str">
            <v/>
          </cell>
          <cell r="U1166" t="str">
            <v/>
          </cell>
          <cell r="V1166" t="str">
            <v/>
          </cell>
          <cell r="W1166" t="str">
            <v/>
          </cell>
          <cell r="X1166" t="str">
            <v/>
          </cell>
          <cell r="Z1166">
            <v>0</v>
          </cell>
          <cell r="AA1166" t="e">
            <v>#VALUE!</v>
          </cell>
          <cell r="AM1166" t="str">
            <v/>
          </cell>
          <cell r="AO1166" t="e">
            <v>#VALUE!</v>
          </cell>
          <cell r="AP1166" t="e">
            <v>#VALUE!</v>
          </cell>
          <cell r="AQ1166">
            <v>0</v>
          </cell>
          <cell r="AR1166" t="e">
            <v>#VALUE!</v>
          </cell>
          <cell r="AS1166" t="e">
            <v>#VALUE!</v>
          </cell>
          <cell r="AT1166" t="e">
            <v>#VALUE!</v>
          </cell>
          <cell r="AU1166" t="e">
            <v>#VALUE!</v>
          </cell>
          <cell r="AV1166" t="e">
            <v>#VALUE!</v>
          </cell>
          <cell r="AW1166" t="e">
            <v>#VALUE!</v>
          </cell>
          <cell r="AY1166" t="e">
            <v>#VALUE!</v>
          </cell>
          <cell r="AZ1166" t="str">
            <v>F18</v>
          </cell>
          <cell r="BA1166">
            <v>0</v>
          </cell>
          <cell r="BB1166" t="str">
            <v/>
          </cell>
          <cell r="BC1166" t="str">
            <v>F18</v>
          </cell>
        </row>
        <row r="1167">
          <cell r="A1167" t="str">
            <v/>
          </cell>
          <cell r="B1167" t="str">
            <v>3</v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>
            <v>0</v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e">
            <v>#VALUE!</v>
          </cell>
          <cell r="R1167" t="str">
            <v/>
          </cell>
          <cell r="S1167" t="str">
            <v/>
          </cell>
          <cell r="T1167" t="str">
            <v/>
          </cell>
          <cell r="U1167" t="str">
            <v/>
          </cell>
          <cell r="V1167" t="str">
            <v/>
          </cell>
          <cell r="W1167" t="str">
            <v/>
          </cell>
          <cell r="X1167" t="str">
            <v/>
          </cell>
          <cell r="Z1167">
            <v>0</v>
          </cell>
          <cell r="AA1167" t="e">
            <v>#VALUE!</v>
          </cell>
          <cell r="AM1167" t="str">
            <v/>
          </cell>
          <cell r="AO1167" t="e">
            <v>#VALUE!</v>
          </cell>
          <cell r="AP1167" t="e">
            <v>#VALUE!</v>
          </cell>
          <cell r="AQ1167">
            <v>0</v>
          </cell>
          <cell r="AR1167" t="e">
            <v>#VALUE!</v>
          </cell>
          <cell r="AS1167" t="e">
            <v>#VALUE!</v>
          </cell>
          <cell r="AT1167" t="e">
            <v>#VALUE!</v>
          </cell>
          <cell r="AU1167" t="e">
            <v>#VALUE!</v>
          </cell>
          <cell r="AV1167" t="e">
            <v>#VALUE!</v>
          </cell>
          <cell r="AW1167" t="e">
            <v>#VALUE!</v>
          </cell>
          <cell r="AY1167" t="e">
            <v>#VALUE!</v>
          </cell>
          <cell r="AZ1167" t="str">
            <v>F18</v>
          </cell>
          <cell r="BA1167">
            <v>0</v>
          </cell>
          <cell r="BB1167" t="str">
            <v/>
          </cell>
          <cell r="BC1167" t="str">
            <v>F18</v>
          </cell>
        </row>
        <row r="1168">
          <cell r="A1168" t="str">
            <v/>
          </cell>
          <cell r="B1168" t="str">
            <v>3</v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>
            <v>0</v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e">
            <v>#VALUE!</v>
          </cell>
          <cell r="R1168" t="str">
            <v/>
          </cell>
          <cell r="S1168" t="str">
            <v/>
          </cell>
          <cell r="T1168" t="str">
            <v/>
          </cell>
          <cell r="U1168" t="str">
            <v/>
          </cell>
          <cell r="V1168" t="str">
            <v/>
          </cell>
          <cell r="W1168" t="str">
            <v/>
          </cell>
          <cell r="X1168" t="str">
            <v/>
          </cell>
          <cell r="Z1168">
            <v>0</v>
          </cell>
          <cell r="AA1168" t="e">
            <v>#VALUE!</v>
          </cell>
          <cell r="AM1168" t="str">
            <v/>
          </cell>
          <cell r="AO1168" t="e">
            <v>#VALUE!</v>
          </cell>
          <cell r="AP1168" t="e">
            <v>#VALUE!</v>
          </cell>
          <cell r="AQ1168">
            <v>0</v>
          </cell>
          <cell r="AR1168" t="e">
            <v>#VALUE!</v>
          </cell>
          <cell r="AS1168" t="e">
            <v>#VALUE!</v>
          </cell>
          <cell r="AT1168" t="e">
            <v>#VALUE!</v>
          </cell>
          <cell r="AU1168" t="e">
            <v>#VALUE!</v>
          </cell>
          <cell r="AV1168" t="e">
            <v>#VALUE!</v>
          </cell>
          <cell r="AW1168" t="e">
            <v>#VALUE!</v>
          </cell>
          <cell r="AY1168" t="e">
            <v>#VALUE!</v>
          </cell>
          <cell r="AZ1168" t="str">
            <v>F18</v>
          </cell>
          <cell r="BA1168">
            <v>0</v>
          </cell>
          <cell r="BB1168" t="str">
            <v/>
          </cell>
          <cell r="BC1168" t="str">
            <v>F18</v>
          </cell>
        </row>
        <row r="1169">
          <cell r="A1169" t="str">
            <v/>
          </cell>
          <cell r="B1169" t="str">
            <v>3</v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>
            <v>0</v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e">
            <v>#VALUE!</v>
          </cell>
          <cell r="R1169" t="str">
            <v/>
          </cell>
          <cell r="S1169" t="str">
            <v/>
          </cell>
          <cell r="T1169" t="str">
            <v/>
          </cell>
          <cell r="U1169" t="str">
            <v/>
          </cell>
          <cell r="V1169" t="str">
            <v/>
          </cell>
          <cell r="W1169" t="str">
            <v/>
          </cell>
          <cell r="X1169" t="str">
            <v/>
          </cell>
          <cell r="Z1169">
            <v>0</v>
          </cell>
          <cell r="AA1169" t="e">
            <v>#VALUE!</v>
          </cell>
          <cell r="AM1169" t="str">
            <v/>
          </cell>
          <cell r="AO1169" t="e">
            <v>#VALUE!</v>
          </cell>
          <cell r="AP1169" t="e">
            <v>#VALUE!</v>
          </cell>
          <cell r="AQ1169">
            <v>0</v>
          </cell>
          <cell r="AR1169" t="e">
            <v>#VALUE!</v>
          </cell>
          <cell r="AS1169" t="e">
            <v>#VALUE!</v>
          </cell>
          <cell r="AT1169" t="e">
            <v>#VALUE!</v>
          </cell>
          <cell r="AU1169" t="e">
            <v>#VALUE!</v>
          </cell>
          <cell r="AV1169" t="e">
            <v>#VALUE!</v>
          </cell>
          <cell r="AW1169" t="e">
            <v>#VALUE!</v>
          </cell>
          <cell r="AY1169" t="e">
            <v>#VALUE!</v>
          </cell>
          <cell r="AZ1169" t="str">
            <v>F18</v>
          </cell>
          <cell r="BA1169">
            <v>0</v>
          </cell>
          <cell r="BB1169" t="str">
            <v/>
          </cell>
          <cell r="BC1169" t="str">
            <v>F18</v>
          </cell>
        </row>
        <row r="1170">
          <cell r="A1170" t="str">
            <v/>
          </cell>
          <cell r="B1170" t="str">
            <v>3</v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>
            <v>0</v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e">
            <v>#VALUE!</v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/>
          </cell>
          <cell r="W1170" t="str">
            <v/>
          </cell>
          <cell r="X1170" t="str">
            <v/>
          </cell>
          <cell r="Z1170">
            <v>0</v>
          </cell>
          <cell r="AA1170" t="e">
            <v>#VALUE!</v>
          </cell>
          <cell r="AM1170" t="str">
            <v/>
          </cell>
          <cell r="AO1170" t="e">
            <v>#VALUE!</v>
          </cell>
          <cell r="AP1170" t="e">
            <v>#VALUE!</v>
          </cell>
          <cell r="AQ1170">
            <v>0</v>
          </cell>
          <cell r="AR1170" t="e">
            <v>#VALUE!</v>
          </cell>
          <cell r="AS1170" t="e">
            <v>#VALUE!</v>
          </cell>
          <cell r="AT1170" t="e">
            <v>#VALUE!</v>
          </cell>
          <cell r="AU1170" t="e">
            <v>#VALUE!</v>
          </cell>
          <cell r="AV1170" t="e">
            <v>#VALUE!</v>
          </cell>
          <cell r="AW1170" t="e">
            <v>#VALUE!</v>
          </cell>
          <cell r="AY1170" t="e">
            <v>#VALUE!</v>
          </cell>
          <cell r="AZ1170" t="str">
            <v>F18</v>
          </cell>
          <cell r="BA1170">
            <v>0</v>
          </cell>
          <cell r="BB1170" t="str">
            <v/>
          </cell>
          <cell r="BC1170" t="str">
            <v>F18</v>
          </cell>
        </row>
        <row r="1171">
          <cell r="A1171" t="str">
            <v/>
          </cell>
          <cell r="B1171" t="str">
            <v>3</v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>
            <v>0</v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e">
            <v>#VALUE!</v>
          </cell>
          <cell r="R1171" t="str">
            <v/>
          </cell>
          <cell r="S1171" t="str">
            <v/>
          </cell>
          <cell r="T1171" t="str">
            <v/>
          </cell>
          <cell r="U1171" t="str">
            <v/>
          </cell>
          <cell r="V1171" t="str">
            <v/>
          </cell>
          <cell r="W1171" t="str">
            <v/>
          </cell>
          <cell r="X1171" t="str">
            <v/>
          </cell>
          <cell r="Z1171">
            <v>0</v>
          </cell>
          <cell r="AA1171" t="e">
            <v>#VALUE!</v>
          </cell>
          <cell r="AM1171" t="str">
            <v/>
          </cell>
          <cell r="AO1171" t="e">
            <v>#VALUE!</v>
          </cell>
          <cell r="AP1171" t="e">
            <v>#VALUE!</v>
          </cell>
          <cell r="AQ1171">
            <v>0</v>
          </cell>
          <cell r="AR1171" t="e">
            <v>#VALUE!</v>
          </cell>
          <cell r="AS1171" t="e">
            <v>#VALUE!</v>
          </cell>
          <cell r="AT1171" t="e">
            <v>#VALUE!</v>
          </cell>
          <cell r="AU1171" t="e">
            <v>#VALUE!</v>
          </cell>
          <cell r="AV1171" t="e">
            <v>#VALUE!</v>
          </cell>
          <cell r="AW1171" t="e">
            <v>#VALUE!</v>
          </cell>
          <cell r="AY1171" t="e">
            <v>#VALUE!</v>
          </cell>
          <cell r="AZ1171" t="str">
            <v>F18</v>
          </cell>
          <cell r="BA1171">
            <v>0</v>
          </cell>
          <cell r="BB1171" t="str">
            <v/>
          </cell>
          <cell r="BC1171" t="str">
            <v>F18</v>
          </cell>
        </row>
        <row r="1172">
          <cell r="A1172" t="str">
            <v/>
          </cell>
          <cell r="B1172" t="str">
            <v>3</v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>
            <v>0</v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e">
            <v>#VALUE!</v>
          </cell>
          <cell r="R1172" t="str">
            <v/>
          </cell>
          <cell r="S1172" t="str">
            <v/>
          </cell>
          <cell r="T1172" t="str">
            <v/>
          </cell>
          <cell r="U1172" t="str">
            <v/>
          </cell>
          <cell r="V1172" t="str">
            <v/>
          </cell>
          <cell r="W1172" t="str">
            <v/>
          </cell>
          <cell r="X1172" t="str">
            <v/>
          </cell>
          <cell r="Z1172">
            <v>0</v>
          </cell>
          <cell r="AA1172" t="e">
            <v>#VALUE!</v>
          </cell>
          <cell r="AM1172" t="str">
            <v/>
          </cell>
          <cell r="AO1172" t="e">
            <v>#VALUE!</v>
          </cell>
          <cell r="AP1172" t="e">
            <v>#VALUE!</v>
          </cell>
          <cell r="AQ1172">
            <v>0</v>
          </cell>
          <cell r="AR1172" t="e">
            <v>#VALUE!</v>
          </cell>
          <cell r="AS1172" t="e">
            <v>#VALUE!</v>
          </cell>
          <cell r="AT1172" t="e">
            <v>#VALUE!</v>
          </cell>
          <cell r="AU1172" t="e">
            <v>#VALUE!</v>
          </cell>
          <cell r="AV1172" t="e">
            <v>#VALUE!</v>
          </cell>
          <cell r="AW1172" t="e">
            <v>#VALUE!</v>
          </cell>
          <cell r="AY1172" t="e">
            <v>#VALUE!</v>
          </cell>
          <cell r="AZ1172" t="str">
            <v>F18</v>
          </cell>
          <cell r="BA1172">
            <v>0</v>
          </cell>
          <cell r="BB1172" t="str">
            <v/>
          </cell>
          <cell r="BC1172" t="str">
            <v>F18</v>
          </cell>
        </row>
        <row r="1173">
          <cell r="A1173" t="str">
            <v/>
          </cell>
          <cell r="B1173" t="str">
            <v>3</v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>
            <v>0</v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e">
            <v>#VALUE!</v>
          </cell>
          <cell r="R1173" t="str">
            <v/>
          </cell>
          <cell r="S1173" t="str">
            <v/>
          </cell>
          <cell r="T1173" t="str">
            <v/>
          </cell>
          <cell r="U1173" t="str">
            <v/>
          </cell>
          <cell r="V1173" t="str">
            <v/>
          </cell>
          <cell r="W1173" t="str">
            <v/>
          </cell>
          <cell r="X1173" t="str">
            <v/>
          </cell>
          <cell r="Z1173">
            <v>0</v>
          </cell>
          <cell r="AA1173" t="e">
            <v>#VALUE!</v>
          </cell>
          <cell r="AM1173" t="str">
            <v/>
          </cell>
          <cell r="AO1173" t="e">
            <v>#VALUE!</v>
          </cell>
          <cell r="AP1173" t="e">
            <v>#VALUE!</v>
          </cell>
          <cell r="AQ1173">
            <v>0</v>
          </cell>
          <cell r="AR1173" t="e">
            <v>#VALUE!</v>
          </cell>
          <cell r="AS1173" t="e">
            <v>#VALUE!</v>
          </cell>
          <cell r="AT1173" t="e">
            <v>#VALUE!</v>
          </cell>
          <cell r="AU1173" t="e">
            <v>#VALUE!</v>
          </cell>
          <cell r="AV1173" t="e">
            <v>#VALUE!</v>
          </cell>
          <cell r="AW1173" t="e">
            <v>#VALUE!</v>
          </cell>
          <cell r="AY1173" t="e">
            <v>#VALUE!</v>
          </cell>
          <cell r="AZ1173" t="str">
            <v>F18</v>
          </cell>
          <cell r="BA1173">
            <v>0</v>
          </cell>
          <cell r="BB1173" t="str">
            <v/>
          </cell>
          <cell r="BC1173" t="str">
            <v>F18</v>
          </cell>
        </row>
        <row r="1174">
          <cell r="A1174" t="str">
            <v/>
          </cell>
          <cell r="B1174" t="str">
            <v>3</v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>
            <v>0</v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e">
            <v>#VALUE!</v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/>
          </cell>
          <cell r="W1174" t="str">
            <v/>
          </cell>
          <cell r="X1174" t="str">
            <v/>
          </cell>
          <cell r="Z1174">
            <v>0</v>
          </cell>
          <cell r="AA1174" t="e">
            <v>#VALUE!</v>
          </cell>
          <cell r="AM1174" t="str">
            <v/>
          </cell>
          <cell r="AO1174" t="e">
            <v>#VALUE!</v>
          </cell>
          <cell r="AP1174" t="e">
            <v>#VALUE!</v>
          </cell>
          <cell r="AQ1174">
            <v>0</v>
          </cell>
          <cell r="AR1174" t="e">
            <v>#VALUE!</v>
          </cell>
          <cell r="AS1174" t="e">
            <v>#VALUE!</v>
          </cell>
          <cell r="AT1174" t="e">
            <v>#VALUE!</v>
          </cell>
          <cell r="AU1174" t="e">
            <v>#VALUE!</v>
          </cell>
          <cell r="AV1174" t="e">
            <v>#VALUE!</v>
          </cell>
          <cell r="AW1174" t="e">
            <v>#VALUE!</v>
          </cell>
          <cell r="AY1174" t="e">
            <v>#VALUE!</v>
          </cell>
          <cell r="AZ1174" t="str">
            <v>F18</v>
          </cell>
          <cell r="BA1174">
            <v>0</v>
          </cell>
          <cell r="BB1174" t="str">
            <v/>
          </cell>
          <cell r="BC1174" t="str">
            <v>F18</v>
          </cell>
        </row>
        <row r="1175">
          <cell r="A1175" t="str">
            <v/>
          </cell>
          <cell r="B1175" t="str">
            <v>3</v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>
            <v>0</v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e">
            <v>#VALUE!</v>
          </cell>
          <cell r="R1175" t="str">
            <v/>
          </cell>
          <cell r="S1175" t="str">
            <v/>
          </cell>
          <cell r="T1175" t="str">
            <v/>
          </cell>
          <cell r="U1175" t="str">
            <v/>
          </cell>
          <cell r="V1175" t="str">
            <v/>
          </cell>
          <cell r="W1175" t="str">
            <v/>
          </cell>
          <cell r="X1175" t="str">
            <v/>
          </cell>
          <cell r="Z1175">
            <v>0</v>
          </cell>
          <cell r="AA1175" t="e">
            <v>#VALUE!</v>
          </cell>
          <cell r="AM1175" t="str">
            <v/>
          </cell>
          <cell r="AO1175" t="e">
            <v>#VALUE!</v>
          </cell>
          <cell r="AP1175" t="e">
            <v>#VALUE!</v>
          </cell>
          <cell r="AQ1175">
            <v>0</v>
          </cell>
          <cell r="AR1175" t="e">
            <v>#VALUE!</v>
          </cell>
          <cell r="AS1175" t="e">
            <v>#VALUE!</v>
          </cell>
          <cell r="AT1175" t="e">
            <v>#VALUE!</v>
          </cell>
          <cell r="AU1175" t="e">
            <v>#VALUE!</v>
          </cell>
          <cell r="AV1175" t="e">
            <v>#VALUE!</v>
          </cell>
          <cell r="AW1175" t="e">
            <v>#VALUE!</v>
          </cell>
          <cell r="AY1175" t="e">
            <v>#VALUE!</v>
          </cell>
          <cell r="AZ1175" t="str">
            <v>F18</v>
          </cell>
          <cell r="BA1175">
            <v>0</v>
          </cell>
          <cell r="BB1175" t="str">
            <v/>
          </cell>
          <cell r="BC1175" t="str">
            <v>F18</v>
          </cell>
        </row>
        <row r="1176">
          <cell r="A1176" t="str">
            <v/>
          </cell>
          <cell r="B1176" t="str">
            <v>3</v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>
            <v>0</v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e">
            <v>#VALUE!</v>
          </cell>
          <cell r="R1176" t="str">
            <v/>
          </cell>
          <cell r="S1176" t="str">
            <v/>
          </cell>
          <cell r="T1176" t="str">
            <v/>
          </cell>
          <cell r="U1176" t="str">
            <v/>
          </cell>
          <cell r="V1176" t="str">
            <v/>
          </cell>
          <cell r="W1176" t="str">
            <v/>
          </cell>
          <cell r="X1176" t="str">
            <v/>
          </cell>
          <cell r="Z1176">
            <v>0</v>
          </cell>
          <cell r="AA1176" t="e">
            <v>#VALUE!</v>
          </cell>
          <cell r="AM1176" t="str">
            <v/>
          </cell>
          <cell r="AO1176" t="e">
            <v>#VALUE!</v>
          </cell>
          <cell r="AP1176" t="e">
            <v>#VALUE!</v>
          </cell>
          <cell r="AQ1176">
            <v>0</v>
          </cell>
          <cell r="AR1176" t="e">
            <v>#VALUE!</v>
          </cell>
          <cell r="AS1176" t="e">
            <v>#VALUE!</v>
          </cell>
          <cell r="AT1176" t="e">
            <v>#VALUE!</v>
          </cell>
          <cell r="AU1176" t="e">
            <v>#VALUE!</v>
          </cell>
          <cell r="AV1176" t="e">
            <v>#VALUE!</v>
          </cell>
          <cell r="AW1176" t="e">
            <v>#VALUE!</v>
          </cell>
          <cell r="AY1176" t="e">
            <v>#VALUE!</v>
          </cell>
          <cell r="AZ1176" t="str">
            <v>F18</v>
          </cell>
          <cell r="BA1176">
            <v>0</v>
          </cell>
          <cell r="BB1176" t="str">
            <v/>
          </cell>
          <cell r="BC1176" t="str">
            <v>F18</v>
          </cell>
        </row>
        <row r="1177">
          <cell r="A1177" t="str">
            <v/>
          </cell>
          <cell r="B1177" t="str">
            <v>3</v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>
            <v>0</v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e">
            <v>#VALUE!</v>
          </cell>
          <cell r="R1177" t="str">
            <v/>
          </cell>
          <cell r="S1177" t="str">
            <v/>
          </cell>
          <cell r="T1177" t="str">
            <v/>
          </cell>
          <cell r="U1177" t="str">
            <v/>
          </cell>
          <cell r="V1177" t="str">
            <v/>
          </cell>
          <cell r="W1177" t="str">
            <v/>
          </cell>
          <cell r="X1177" t="str">
            <v/>
          </cell>
          <cell r="Z1177">
            <v>0</v>
          </cell>
          <cell r="AA1177" t="e">
            <v>#VALUE!</v>
          </cell>
          <cell r="AM1177" t="str">
            <v/>
          </cell>
          <cell r="AO1177" t="e">
            <v>#VALUE!</v>
          </cell>
          <cell r="AP1177" t="e">
            <v>#VALUE!</v>
          </cell>
          <cell r="AQ1177">
            <v>0</v>
          </cell>
          <cell r="AR1177" t="e">
            <v>#VALUE!</v>
          </cell>
          <cell r="AS1177" t="e">
            <v>#VALUE!</v>
          </cell>
          <cell r="AT1177" t="e">
            <v>#VALUE!</v>
          </cell>
          <cell r="AU1177" t="e">
            <v>#VALUE!</v>
          </cell>
          <cell r="AV1177" t="e">
            <v>#VALUE!</v>
          </cell>
          <cell r="AW1177" t="e">
            <v>#VALUE!</v>
          </cell>
          <cell r="AY1177" t="e">
            <v>#VALUE!</v>
          </cell>
          <cell r="AZ1177" t="str">
            <v>F18</v>
          </cell>
          <cell r="BA1177">
            <v>0</v>
          </cell>
          <cell r="BB1177" t="str">
            <v/>
          </cell>
          <cell r="BC1177" t="str">
            <v>F18</v>
          </cell>
        </row>
        <row r="1178">
          <cell r="A1178" t="str">
            <v/>
          </cell>
          <cell r="B1178" t="str">
            <v>3</v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>
            <v>0</v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e">
            <v>#VALUE!</v>
          </cell>
          <cell r="R1178" t="str">
            <v/>
          </cell>
          <cell r="S1178" t="str">
            <v/>
          </cell>
          <cell r="T1178" t="str">
            <v/>
          </cell>
          <cell r="U1178" t="str">
            <v/>
          </cell>
          <cell r="V1178" t="str">
            <v/>
          </cell>
          <cell r="W1178" t="str">
            <v/>
          </cell>
          <cell r="X1178" t="str">
            <v/>
          </cell>
          <cell r="Z1178">
            <v>0</v>
          </cell>
          <cell r="AA1178" t="e">
            <v>#VALUE!</v>
          </cell>
          <cell r="AM1178" t="str">
            <v/>
          </cell>
          <cell r="AO1178" t="e">
            <v>#VALUE!</v>
          </cell>
          <cell r="AP1178" t="e">
            <v>#VALUE!</v>
          </cell>
          <cell r="AQ1178">
            <v>0</v>
          </cell>
          <cell r="AR1178" t="e">
            <v>#VALUE!</v>
          </cell>
          <cell r="AS1178" t="e">
            <v>#VALUE!</v>
          </cell>
          <cell r="AT1178" t="e">
            <v>#VALUE!</v>
          </cell>
          <cell r="AU1178" t="e">
            <v>#VALUE!</v>
          </cell>
          <cell r="AV1178" t="e">
            <v>#VALUE!</v>
          </cell>
          <cell r="AW1178" t="e">
            <v>#VALUE!</v>
          </cell>
          <cell r="AY1178" t="e">
            <v>#VALUE!</v>
          </cell>
          <cell r="AZ1178" t="str">
            <v>F18</v>
          </cell>
          <cell r="BA1178">
            <v>0</v>
          </cell>
          <cell r="BB1178" t="str">
            <v/>
          </cell>
          <cell r="BC1178" t="str">
            <v>F18</v>
          </cell>
        </row>
        <row r="1179">
          <cell r="A1179" t="str">
            <v/>
          </cell>
          <cell r="B1179" t="str">
            <v>3</v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>
            <v>0</v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e">
            <v>#VALUE!</v>
          </cell>
          <cell r="R1179" t="str">
            <v/>
          </cell>
          <cell r="S1179" t="str">
            <v/>
          </cell>
          <cell r="T1179" t="str">
            <v/>
          </cell>
          <cell r="U1179" t="str">
            <v/>
          </cell>
          <cell r="V1179" t="str">
            <v/>
          </cell>
          <cell r="W1179" t="str">
            <v/>
          </cell>
          <cell r="X1179" t="str">
            <v/>
          </cell>
          <cell r="Z1179">
            <v>0</v>
          </cell>
          <cell r="AA1179" t="e">
            <v>#VALUE!</v>
          </cell>
          <cell r="AM1179" t="str">
            <v/>
          </cell>
          <cell r="AO1179" t="e">
            <v>#VALUE!</v>
          </cell>
          <cell r="AP1179" t="e">
            <v>#VALUE!</v>
          </cell>
          <cell r="AQ1179">
            <v>0</v>
          </cell>
          <cell r="AR1179" t="e">
            <v>#VALUE!</v>
          </cell>
          <cell r="AS1179" t="e">
            <v>#VALUE!</v>
          </cell>
          <cell r="AT1179" t="e">
            <v>#VALUE!</v>
          </cell>
          <cell r="AU1179" t="e">
            <v>#VALUE!</v>
          </cell>
          <cell r="AV1179" t="e">
            <v>#VALUE!</v>
          </cell>
          <cell r="AW1179" t="e">
            <v>#VALUE!</v>
          </cell>
          <cell r="AY1179" t="e">
            <v>#VALUE!</v>
          </cell>
          <cell r="AZ1179" t="str">
            <v>F18</v>
          </cell>
          <cell r="BA1179">
            <v>0</v>
          </cell>
          <cell r="BB1179" t="str">
            <v/>
          </cell>
          <cell r="BC1179" t="str">
            <v>F18</v>
          </cell>
        </row>
        <row r="1180">
          <cell r="A1180" t="str">
            <v/>
          </cell>
          <cell r="B1180" t="str">
            <v>3</v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>
            <v>0</v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e">
            <v>#VALUE!</v>
          </cell>
          <cell r="R1180" t="str">
            <v/>
          </cell>
          <cell r="S1180" t="str">
            <v/>
          </cell>
          <cell r="T1180" t="str">
            <v/>
          </cell>
          <cell r="U1180" t="str">
            <v/>
          </cell>
          <cell r="V1180" t="str">
            <v/>
          </cell>
          <cell r="W1180" t="str">
            <v/>
          </cell>
          <cell r="X1180" t="str">
            <v/>
          </cell>
          <cell r="Z1180">
            <v>0</v>
          </cell>
          <cell r="AA1180" t="e">
            <v>#VALUE!</v>
          </cell>
          <cell r="AM1180" t="str">
            <v/>
          </cell>
          <cell r="AO1180" t="e">
            <v>#VALUE!</v>
          </cell>
          <cell r="AP1180" t="e">
            <v>#VALUE!</v>
          </cell>
          <cell r="AQ1180">
            <v>0</v>
          </cell>
          <cell r="AR1180" t="e">
            <v>#VALUE!</v>
          </cell>
          <cell r="AS1180" t="e">
            <v>#VALUE!</v>
          </cell>
          <cell r="AT1180" t="e">
            <v>#VALUE!</v>
          </cell>
          <cell r="AU1180" t="e">
            <v>#VALUE!</v>
          </cell>
          <cell r="AV1180" t="e">
            <v>#VALUE!</v>
          </cell>
          <cell r="AW1180" t="e">
            <v>#VALUE!</v>
          </cell>
          <cell r="AY1180" t="e">
            <v>#VALUE!</v>
          </cell>
          <cell r="AZ1180" t="str">
            <v>F18</v>
          </cell>
          <cell r="BA1180">
            <v>0</v>
          </cell>
          <cell r="BB1180" t="str">
            <v/>
          </cell>
          <cell r="BC1180" t="str">
            <v>F18</v>
          </cell>
        </row>
        <row r="1181">
          <cell r="A1181" t="str">
            <v/>
          </cell>
          <cell r="B1181" t="str">
            <v>3</v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>
            <v>0</v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e">
            <v>#VALUE!</v>
          </cell>
          <cell r="R1181" t="str">
            <v/>
          </cell>
          <cell r="S1181" t="str">
            <v/>
          </cell>
          <cell r="T1181" t="str">
            <v/>
          </cell>
          <cell r="U1181" t="str">
            <v/>
          </cell>
          <cell r="V1181" t="str">
            <v/>
          </cell>
          <cell r="W1181" t="str">
            <v/>
          </cell>
          <cell r="X1181" t="str">
            <v/>
          </cell>
          <cell r="Z1181">
            <v>0</v>
          </cell>
          <cell r="AA1181" t="e">
            <v>#VALUE!</v>
          </cell>
          <cell r="AM1181" t="str">
            <v/>
          </cell>
          <cell r="AO1181" t="e">
            <v>#VALUE!</v>
          </cell>
          <cell r="AP1181" t="e">
            <v>#VALUE!</v>
          </cell>
          <cell r="AQ1181">
            <v>0</v>
          </cell>
          <cell r="AR1181" t="e">
            <v>#VALUE!</v>
          </cell>
          <cell r="AS1181" t="e">
            <v>#VALUE!</v>
          </cell>
          <cell r="AT1181" t="e">
            <v>#VALUE!</v>
          </cell>
          <cell r="AU1181" t="e">
            <v>#VALUE!</v>
          </cell>
          <cell r="AV1181" t="e">
            <v>#VALUE!</v>
          </cell>
          <cell r="AW1181" t="e">
            <v>#VALUE!</v>
          </cell>
          <cell r="AY1181" t="e">
            <v>#VALUE!</v>
          </cell>
          <cell r="AZ1181" t="str">
            <v>F18</v>
          </cell>
          <cell r="BA1181">
            <v>0</v>
          </cell>
          <cell r="BB1181" t="str">
            <v/>
          </cell>
          <cell r="BC1181" t="str">
            <v>F18</v>
          </cell>
        </row>
        <row r="1182">
          <cell r="A1182" t="str">
            <v/>
          </cell>
          <cell r="B1182" t="str">
            <v>3</v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>
            <v>0</v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e">
            <v>#VALUE!</v>
          </cell>
          <cell r="R1182" t="str">
            <v/>
          </cell>
          <cell r="S1182" t="str">
            <v/>
          </cell>
          <cell r="T1182" t="str">
            <v/>
          </cell>
          <cell r="U1182" t="str">
            <v/>
          </cell>
          <cell r="V1182" t="str">
            <v/>
          </cell>
          <cell r="W1182" t="str">
            <v/>
          </cell>
          <cell r="X1182" t="str">
            <v/>
          </cell>
          <cell r="Z1182">
            <v>0</v>
          </cell>
          <cell r="AA1182" t="e">
            <v>#VALUE!</v>
          </cell>
          <cell r="AM1182" t="str">
            <v/>
          </cell>
          <cell r="AO1182" t="e">
            <v>#VALUE!</v>
          </cell>
          <cell r="AP1182" t="e">
            <v>#VALUE!</v>
          </cell>
          <cell r="AQ1182">
            <v>0</v>
          </cell>
          <cell r="AR1182" t="e">
            <v>#VALUE!</v>
          </cell>
          <cell r="AS1182" t="e">
            <v>#VALUE!</v>
          </cell>
          <cell r="AT1182" t="e">
            <v>#VALUE!</v>
          </cell>
          <cell r="AU1182" t="e">
            <v>#VALUE!</v>
          </cell>
          <cell r="AV1182" t="e">
            <v>#VALUE!</v>
          </cell>
          <cell r="AW1182" t="e">
            <v>#VALUE!</v>
          </cell>
          <cell r="AY1182" t="e">
            <v>#VALUE!</v>
          </cell>
          <cell r="AZ1182" t="str">
            <v>F18</v>
          </cell>
          <cell r="BA1182">
            <v>0</v>
          </cell>
          <cell r="BB1182" t="str">
            <v/>
          </cell>
          <cell r="BC1182" t="str">
            <v>F18</v>
          </cell>
        </row>
        <row r="1183">
          <cell r="A1183" t="str">
            <v/>
          </cell>
          <cell r="B1183" t="str">
            <v>3</v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>
            <v>0</v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e">
            <v>#VALUE!</v>
          </cell>
          <cell r="R1183" t="str">
            <v/>
          </cell>
          <cell r="S1183" t="str">
            <v/>
          </cell>
          <cell r="T1183" t="str">
            <v/>
          </cell>
          <cell r="U1183" t="str">
            <v/>
          </cell>
          <cell r="V1183" t="str">
            <v/>
          </cell>
          <cell r="W1183" t="str">
            <v/>
          </cell>
          <cell r="X1183" t="str">
            <v/>
          </cell>
          <cell r="Z1183">
            <v>0</v>
          </cell>
          <cell r="AA1183" t="e">
            <v>#VALUE!</v>
          </cell>
          <cell r="AM1183" t="str">
            <v/>
          </cell>
          <cell r="AO1183" t="e">
            <v>#VALUE!</v>
          </cell>
          <cell r="AP1183" t="e">
            <v>#VALUE!</v>
          </cell>
          <cell r="AQ1183">
            <v>0</v>
          </cell>
          <cell r="AR1183" t="e">
            <v>#VALUE!</v>
          </cell>
          <cell r="AS1183" t="e">
            <v>#VALUE!</v>
          </cell>
          <cell r="AT1183" t="e">
            <v>#VALUE!</v>
          </cell>
          <cell r="AU1183" t="e">
            <v>#VALUE!</v>
          </cell>
          <cell r="AV1183" t="e">
            <v>#VALUE!</v>
          </cell>
          <cell r="AW1183" t="e">
            <v>#VALUE!</v>
          </cell>
          <cell r="AY1183" t="e">
            <v>#VALUE!</v>
          </cell>
          <cell r="AZ1183" t="str">
            <v>F18</v>
          </cell>
          <cell r="BA1183">
            <v>0</v>
          </cell>
          <cell r="BB1183" t="str">
            <v/>
          </cell>
          <cell r="BC1183" t="str">
            <v>F18</v>
          </cell>
        </row>
        <row r="1184">
          <cell r="A1184" t="str">
            <v/>
          </cell>
          <cell r="B1184" t="str">
            <v>3</v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>
            <v>0</v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e">
            <v>#VALUE!</v>
          </cell>
          <cell r="R1184" t="str">
            <v/>
          </cell>
          <cell r="S1184" t="str">
            <v/>
          </cell>
          <cell r="T1184" t="str">
            <v/>
          </cell>
          <cell r="U1184" t="str">
            <v/>
          </cell>
          <cell r="V1184" t="str">
            <v/>
          </cell>
          <cell r="W1184" t="str">
            <v/>
          </cell>
          <cell r="X1184" t="str">
            <v/>
          </cell>
          <cell r="Z1184">
            <v>0</v>
          </cell>
          <cell r="AA1184" t="e">
            <v>#VALUE!</v>
          </cell>
          <cell r="AM1184" t="str">
            <v/>
          </cell>
          <cell r="AO1184" t="e">
            <v>#VALUE!</v>
          </cell>
          <cell r="AP1184" t="e">
            <v>#VALUE!</v>
          </cell>
          <cell r="AQ1184">
            <v>0</v>
          </cell>
          <cell r="AR1184" t="e">
            <v>#VALUE!</v>
          </cell>
          <cell r="AS1184" t="e">
            <v>#VALUE!</v>
          </cell>
          <cell r="AT1184" t="e">
            <v>#VALUE!</v>
          </cell>
          <cell r="AU1184" t="e">
            <v>#VALUE!</v>
          </cell>
          <cell r="AV1184" t="e">
            <v>#VALUE!</v>
          </cell>
          <cell r="AW1184" t="e">
            <v>#VALUE!</v>
          </cell>
          <cell r="AY1184" t="e">
            <v>#VALUE!</v>
          </cell>
          <cell r="AZ1184" t="str">
            <v>F18</v>
          </cell>
          <cell r="BA1184">
            <v>0</v>
          </cell>
          <cell r="BB1184" t="str">
            <v/>
          </cell>
          <cell r="BC1184" t="str">
            <v>F18</v>
          </cell>
        </row>
        <row r="1185">
          <cell r="A1185" t="str">
            <v/>
          </cell>
          <cell r="B1185" t="str">
            <v>3</v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>
            <v>0</v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e">
            <v>#VALUE!</v>
          </cell>
          <cell r="R1185" t="str">
            <v/>
          </cell>
          <cell r="S1185" t="str">
            <v/>
          </cell>
          <cell r="T1185" t="str">
            <v/>
          </cell>
          <cell r="U1185" t="str">
            <v/>
          </cell>
          <cell r="V1185" t="str">
            <v/>
          </cell>
          <cell r="W1185" t="str">
            <v/>
          </cell>
          <cell r="X1185" t="str">
            <v/>
          </cell>
          <cell r="Z1185">
            <v>0</v>
          </cell>
          <cell r="AA1185" t="e">
            <v>#VALUE!</v>
          </cell>
          <cell r="AM1185" t="str">
            <v/>
          </cell>
          <cell r="AO1185" t="e">
            <v>#VALUE!</v>
          </cell>
          <cell r="AP1185" t="e">
            <v>#VALUE!</v>
          </cell>
          <cell r="AQ1185">
            <v>0</v>
          </cell>
          <cell r="AR1185" t="e">
            <v>#VALUE!</v>
          </cell>
          <cell r="AS1185" t="e">
            <v>#VALUE!</v>
          </cell>
          <cell r="AT1185" t="e">
            <v>#VALUE!</v>
          </cell>
          <cell r="AU1185" t="e">
            <v>#VALUE!</v>
          </cell>
          <cell r="AV1185" t="e">
            <v>#VALUE!</v>
          </cell>
          <cell r="AW1185" t="e">
            <v>#VALUE!</v>
          </cell>
          <cell r="AY1185" t="e">
            <v>#VALUE!</v>
          </cell>
          <cell r="AZ1185" t="str">
            <v>F18</v>
          </cell>
          <cell r="BA1185">
            <v>0</v>
          </cell>
          <cell r="BB1185" t="str">
            <v/>
          </cell>
          <cell r="BC1185" t="str">
            <v>F18</v>
          </cell>
        </row>
        <row r="1186">
          <cell r="A1186" t="str">
            <v/>
          </cell>
          <cell r="B1186" t="str">
            <v>3</v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>
            <v>0</v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e">
            <v>#VALUE!</v>
          </cell>
          <cell r="R1186" t="str">
            <v/>
          </cell>
          <cell r="S1186" t="str">
            <v/>
          </cell>
          <cell r="T1186" t="str">
            <v/>
          </cell>
          <cell r="U1186" t="str">
            <v/>
          </cell>
          <cell r="V1186" t="str">
            <v/>
          </cell>
          <cell r="W1186" t="str">
            <v/>
          </cell>
          <cell r="X1186" t="str">
            <v/>
          </cell>
          <cell r="Z1186">
            <v>0</v>
          </cell>
          <cell r="AA1186" t="e">
            <v>#VALUE!</v>
          </cell>
          <cell r="AM1186" t="str">
            <v/>
          </cell>
          <cell r="AO1186" t="e">
            <v>#VALUE!</v>
          </cell>
          <cell r="AP1186" t="e">
            <v>#VALUE!</v>
          </cell>
          <cell r="AQ1186">
            <v>0</v>
          </cell>
          <cell r="AR1186" t="e">
            <v>#VALUE!</v>
          </cell>
          <cell r="AS1186" t="e">
            <v>#VALUE!</v>
          </cell>
          <cell r="AT1186" t="e">
            <v>#VALUE!</v>
          </cell>
          <cell r="AU1186" t="e">
            <v>#VALUE!</v>
          </cell>
          <cell r="AV1186" t="e">
            <v>#VALUE!</v>
          </cell>
          <cell r="AW1186" t="e">
            <v>#VALUE!</v>
          </cell>
          <cell r="AY1186" t="e">
            <v>#VALUE!</v>
          </cell>
          <cell r="AZ1186" t="str">
            <v>F18</v>
          </cell>
          <cell r="BA1186">
            <v>0</v>
          </cell>
          <cell r="BB1186" t="str">
            <v/>
          </cell>
          <cell r="BC1186" t="str">
            <v>F18</v>
          </cell>
        </row>
        <row r="1187">
          <cell r="A1187" t="str">
            <v/>
          </cell>
          <cell r="B1187" t="str">
            <v>3</v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>
            <v>0</v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e">
            <v>#VALUE!</v>
          </cell>
          <cell r="R1187" t="str">
            <v/>
          </cell>
          <cell r="S1187" t="str">
            <v/>
          </cell>
          <cell r="T1187" t="str">
            <v/>
          </cell>
          <cell r="U1187" t="str">
            <v/>
          </cell>
          <cell r="V1187" t="str">
            <v/>
          </cell>
          <cell r="W1187" t="str">
            <v/>
          </cell>
          <cell r="X1187" t="str">
            <v/>
          </cell>
          <cell r="Z1187">
            <v>0</v>
          </cell>
          <cell r="AA1187" t="e">
            <v>#VALUE!</v>
          </cell>
          <cell r="AM1187" t="str">
            <v/>
          </cell>
          <cell r="AO1187" t="e">
            <v>#VALUE!</v>
          </cell>
          <cell r="AP1187" t="e">
            <v>#VALUE!</v>
          </cell>
          <cell r="AQ1187">
            <v>0</v>
          </cell>
          <cell r="AR1187" t="e">
            <v>#VALUE!</v>
          </cell>
          <cell r="AS1187" t="e">
            <v>#VALUE!</v>
          </cell>
          <cell r="AT1187" t="e">
            <v>#VALUE!</v>
          </cell>
          <cell r="AU1187" t="e">
            <v>#VALUE!</v>
          </cell>
          <cell r="AV1187" t="e">
            <v>#VALUE!</v>
          </cell>
          <cell r="AW1187" t="e">
            <v>#VALUE!</v>
          </cell>
          <cell r="AY1187" t="e">
            <v>#VALUE!</v>
          </cell>
          <cell r="AZ1187" t="str">
            <v>F18</v>
          </cell>
          <cell r="BA1187">
            <v>0</v>
          </cell>
          <cell r="BB1187" t="str">
            <v/>
          </cell>
          <cell r="BC1187" t="str">
            <v>F18</v>
          </cell>
        </row>
        <row r="1188">
          <cell r="A1188" t="str">
            <v/>
          </cell>
          <cell r="B1188" t="str">
            <v>3</v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>
            <v>0</v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e">
            <v>#VALUE!</v>
          </cell>
          <cell r="R1188" t="str">
            <v/>
          </cell>
          <cell r="S1188" t="str">
            <v/>
          </cell>
          <cell r="T1188" t="str">
            <v/>
          </cell>
          <cell r="U1188" t="str">
            <v/>
          </cell>
          <cell r="V1188" t="str">
            <v/>
          </cell>
          <cell r="W1188" t="str">
            <v/>
          </cell>
          <cell r="X1188" t="str">
            <v/>
          </cell>
          <cell r="Z1188">
            <v>0</v>
          </cell>
          <cell r="AA1188" t="e">
            <v>#VALUE!</v>
          </cell>
          <cell r="AM1188" t="str">
            <v/>
          </cell>
          <cell r="AO1188" t="e">
            <v>#VALUE!</v>
          </cell>
          <cell r="AP1188" t="e">
            <v>#VALUE!</v>
          </cell>
          <cell r="AQ1188">
            <v>0</v>
          </cell>
          <cell r="AR1188" t="e">
            <v>#VALUE!</v>
          </cell>
          <cell r="AS1188" t="e">
            <v>#VALUE!</v>
          </cell>
          <cell r="AT1188" t="e">
            <v>#VALUE!</v>
          </cell>
          <cell r="AU1188" t="e">
            <v>#VALUE!</v>
          </cell>
          <cell r="AV1188" t="e">
            <v>#VALUE!</v>
          </cell>
          <cell r="AW1188" t="e">
            <v>#VALUE!</v>
          </cell>
          <cell r="AY1188" t="e">
            <v>#VALUE!</v>
          </cell>
          <cell r="AZ1188" t="str">
            <v>F18</v>
          </cell>
          <cell r="BA1188">
            <v>0</v>
          </cell>
          <cell r="BB1188" t="str">
            <v/>
          </cell>
          <cell r="BC1188" t="str">
            <v>F18</v>
          </cell>
        </row>
        <row r="1189">
          <cell r="A1189" t="str">
            <v/>
          </cell>
          <cell r="B1189" t="str">
            <v>3</v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>
            <v>0</v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e">
            <v>#VALUE!</v>
          </cell>
          <cell r="R1189" t="str">
            <v/>
          </cell>
          <cell r="S1189" t="str">
            <v/>
          </cell>
          <cell r="T1189" t="str">
            <v/>
          </cell>
          <cell r="U1189" t="str">
            <v/>
          </cell>
          <cell r="V1189" t="str">
            <v/>
          </cell>
          <cell r="W1189" t="str">
            <v/>
          </cell>
          <cell r="X1189" t="str">
            <v/>
          </cell>
          <cell r="Z1189">
            <v>0</v>
          </cell>
          <cell r="AA1189" t="e">
            <v>#VALUE!</v>
          </cell>
          <cell r="AM1189" t="str">
            <v/>
          </cell>
          <cell r="AO1189" t="e">
            <v>#VALUE!</v>
          </cell>
          <cell r="AP1189" t="e">
            <v>#VALUE!</v>
          </cell>
          <cell r="AQ1189">
            <v>0</v>
          </cell>
          <cell r="AR1189" t="e">
            <v>#VALUE!</v>
          </cell>
          <cell r="AS1189" t="e">
            <v>#VALUE!</v>
          </cell>
          <cell r="AT1189" t="e">
            <v>#VALUE!</v>
          </cell>
          <cell r="AU1189" t="e">
            <v>#VALUE!</v>
          </cell>
          <cell r="AV1189" t="e">
            <v>#VALUE!</v>
          </cell>
          <cell r="AW1189" t="e">
            <v>#VALUE!</v>
          </cell>
          <cell r="AY1189" t="e">
            <v>#VALUE!</v>
          </cell>
          <cell r="AZ1189" t="str">
            <v>F18</v>
          </cell>
          <cell r="BA1189">
            <v>0</v>
          </cell>
          <cell r="BB1189" t="str">
            <v/>
          </cell>
          <cell r="BC1189" t="str">
            <v>F18</v>
          </cell>
        </row>
        <row r="1190">
          <cell r="A1190" t="str">
            <v/>
          </cell>
          <cell r="B1190" t="str">
            <v>3</v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>
            <v>0</v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e">
            <v>#VALUE!</v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/>
          </cell>
          <cell r="W1190" t="str">
            <v/>
          </cell>
          <cell r="X1190" t="str">
            <v/>
          </cell>
          <cell r="Z1190">
            <v>0</v>
          </cell>
          <cell r="AA1190" t="e">
            <v>#VALUE!</v>
          </cell>
          <cell r="AM1190" t="str">
            <v/>
          </cell>
          <cell r="AO1190" t="e">
            <v>#VALUE!</v>
          </cell>
          <cell r="AP1190" t="e">
            <v>#VALUE!</v>
          </cell>
          <cell r="AQ1190">
            <v>0</v>
          </cell>
          <cell r="AR1190" t="e">
            <v>#VALUE!</v>
          </cell>
          <cell r="AS1190" t="e">
            <v>#VALUE!</v>
          </cell>
          <cell r="AT1190" t="e">
            <v>#VALUE!</v>
          </cell>
          <cell r="AU1190" t="e">
            <v>#VALUE!</v>
          </cell>
          <cell r="AV1190" t="e">
            <v>#VALUE!</v>
          </cell>
          <cell r="AW1190" t="e">
            <v>#VALUE!</v>
          </cell>
          <cell r="AY1190" t="e">
            <v>#VALUE!</v>
          </cell>
          <cell r="AZ1190" t="str">
            <v>F18</v>
          </cell>
          <cell r="BA1190">
            <v>0</v>
          </cell>
          <cell r="BB1190" t="str">
            <v/>
          </cell>
          <cell r="BC1190" t="str">
            <v>F18</v>
          </cell>
        </row>
        <row r="1191">
          <cell r="A1191" t="str">
            <v/>
          </cell>
          <cell r="B1191" t="str">
            <v>3</v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>
            <v>0</v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e">
            <v>#VALUE!</v>
          </cell>
          <cell r="R1191" t="str">
            <v/>
          </cell>
          <cell r="S1191" t="str">
            <v/>
          </cell>
          <cell r="T1191" t="str">
            <v/>
          </cell>
          <cell r="U1191" t="str">
            <v/>
          </cell>
          <cell r="V1191" t="str">
            <v/>
          </cell>
          <cell r="W1191" t="str">
            <v/>
          </cell>
          <cell r="X1191" t="str">
            <v/>
          </cell>
          <cell r="Z1191">
            <v>0</v>
          </cell>
          <cell r="AA1191" t="e">
            <v>#VALUE!</v>
          </cell>
          <cell r="AM1191" t="str">
            <v/>
          </cell>
          <cell r="AO1191" t="e">
            <v>#VALUE!</v>
          </cell>
          <cell r="AP1191" t="e">
            <v>#VALUE!</v>
          </cell>
          <cell r="AQ1191">
            <v>0</v>
          </cell>
          <cell r="AR1191" t="e">
            <v>#VALUE!</v>
          </cell>
          <cell r="AS1191" t="e">
            <v>#VALUE!</v>
          </cell>
          <cell r="AT1191" t="e">
            <v>#VALUE!</v>
          </cell>
          <cell r="AU1191" t="e">
            <v>#VALUE!</v>
          </cell>
          <cell r="AV1191" t="e">
            <v>#VALUE!</v>
          </cell>
          <cell r="AW1191" t="e">
            <v>#VALUE!</v>
          </cell>
          <cell r="AY1191" t="e">
            <v>#VALUE!</v>
          </cell>
          <cell r="AZ1191" t="str">
            <v>F18</v>
          </cell>
          <cell r="BA1191">
            <v>0</v>
          </cell>
          <cell r="BB1191" t="str">
            <v/>
          </cell>
          <cell r="BC1191" t="str">
            <v>F18</v>
          </cell>
        </row>
        <row r="1192">
          <cell r="A1192" t="str">
            <v/>
          </cell>
          <cell r="B1192" t="str">
            <v>3</v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>
            <v>0</v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e">
            <v>#VALUE!</v>
          </cell>
          <cell r="R1192" t="str">
            <v/>
          </cell>
          <cell r="S1192" t="str">
            <v/>
          </cell>
          <cell r="T1192" t="str">
            <v/>
          </cell>
          <cell r="U1192" t="str">
            <v/>
          </cell>
          <cell r="V1192" t="str">
            <v/>
          </cell>
          <cell r="W1192" t="str">
            <v/>
          </cell>
          <cell r="X1192" t="str">
            <v/>
          </cell>
          <cell r="Z1192">
            <v>0</v>
          </cell>
          <cell r="AA1192" t="e">
            <v>#VALUE!</v>
          </cell>
          <cell r="AM1192" t="str">
            <v/>
          </cell>
          <cell r="AO1192" t="e">
            <v>#VALUE!</v>
          </cell>
          <cell r="AP1192" t="e">
            <v>#VALUE!</v>
          </cell>
          <cell r="AQ1192">
            <v>0</v>
          </cell>
          <cell r="AR1192" t="e">
            <v>#VALUE!</v>
          </cell>
          <cell r="AS1192" t="e">
            <v>#VALUE!</v>
          </cell>
          <cell r="AT1192" t="e">
            <v>#VALUE!</v>
          </cell>
          <cell r="AU1192" t="e">
            <v>#VALUE!</v>
          </cell>
          <cell r="AV1192" t="e">
            <v>#VALUE!</v>
          </cell>
          <cell r="AW1192" t="e">
            <v>#VALUE!</v>
          </cell>
          <cell r="AY1192" t="e">
            <v>#VALUE!</v>
          </cell>
          <cell r="AZ1192" t="str">
            <v>F18</v>
          </cell>
          <cell r="BA1192">
            <v>0</v>
          </cell>
          <cell r="BB1192" t="str">
            <v/>
          </cell>
          <cell r="BC1192" t="str">
            <v>F18</v>
          </cell>
        </row>
        <row r="1193">
          <cell r="A1193" t="str">
            <v/>
          </cell>
          <cell r="B1193" t="str">
            <v>3</v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>
            <v>0</v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e">
            <v>#VALUE!</v>
          </cell>
          <cell r="R1193" t="str">
            <v/>
          </cell>
          <cell r="S1193" t="str">
            <v/>
          </cell>
          <cell r="T1193" t="str">
            <v/>
          </cell>
          <cell r="U1193" t="str">
            <v/>
          </cell>
          <cell r="V1193" t="str">
            <v/>
          </cell>
          <cell r="W1193" t="str">
            <v/>
          </cell>
          <cell r="X1193" t="str">
            <v/>
          </cell>
          <cell r="Z1193">
            <v>0</v>
          </cell>
          <cell r="AA1193" t="e">
            <v>#VALUE!</v>
          </cell>
          <cell r="AM1193" t="str">
            <v/>
          </cell>
          <cell r="AO1193" t="e">
            <v>#VALUE!</v>
          </cell>
          <cell r="AP1193" t="e">
            <v>#VALUE!</v>
          </cell>
          <cell r="AQ1193">
            <v>0</v>
          </cell>
          <cell r="AR1193" t="e">
            <v>#VALUE!</v>
          </cell>
          <cell r="AS1193" t="e">
            <v>#VALUE!</v>
          </cell>
          <cell r="AT1193" t="e">
            <v>#VALUE!</v>
          </cell>
          <cell r="AU1193" t="e">
            <v>#VALUE!</v>
          </cell>
          <cell r="AV1193" t="e">
            <v>#VALUE!</v>
          </cell>
          <cell r="AW1193" t="e">
            <v>#VALUE!</v>
          </cell>
          <cell r="AY1193" t="e">
            <v>#VALUE!</v>
          </cell>
          <cell r="AZ1193" t="str">
            <v>F18</v>
          </cell>
          <cell r="BA1193">
            <v>0</v>
          </cell>
          <cell r="BB1193" t="str">
            <v/>
          </cell>
          <cell r="BC1193" t="str">
            <v>F18</v>
          </cell>
        </row>
        <row r="1194">
          <cell r="A1194" t="str">
            <v/>
          </cell>
          <cell r="B1194" t="str">
            <v>3</v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>
            <v>0</v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e">
            <v>#VALUE!</v>
          </cell>
          <cell r="R1194" t="str">
            <v/>
          </cell>
          <cell r="S1194" t="str">
            <v/>
          </cell>
          <cell r="T1194" t="str">
            <v/>
          </cell>
          <cell r="U1194" t="str">
            <v/>
          </cell>
          <cell r="V1194" t="str">
            <v/>
          </cell>
          <cell r="W1194" t="str">
            <v/>
          </cell>
          <cell r="X1194" t="str">
            <v/>
          </cell>
          <cell r="Z1194">
            <v>0</v>
          </cell>
          <cell r="AA1194" t="e">
            <v>#VALUE!</v>
          </cell>
          <cell r="AM1194" t="str">
            <v/>
          </cell>
          <cell r="AO1194" t="e">
            <v>#VALUE!</v>
          </cell>
          <cell r="AP1194" t="e">
            <v>#VALUE!</v>
          </cell>
          <cell r="AQ1194">
            <v>0</v>
          </cell>
          <cell r="AR1194" t="e">
            <v>#VALUE!</v>
          </cell>
          <cell r="AS1194" t="e">
            <v>#VALUE!</v>
          </cell>
          <cell r="AT1194" t="e">
            <v>#VALUE!</v>
          </cell>
          <cell r="AU1194" t="e">
            <v>#VALUE!</v>
          </cell>
          <cell r="AV1194" t="e">
            <v>#VALUE!</v>
          </cell>
          <cell r="AW1194" t="e">
            <v>#VALUE!</v>
          </cell>
          <cell r="AY1194" t="e">
            <v>#VALUE!</v>
          </cell>
          <cell r="AZ1194" t="str">
            <v>F18</v>
          </cell>
          <cell r="BA1194">
            <v>0</v>
          </cell>
          <cell r="BB1194" t="str">
            <v/>
          </cell>
          <cell r="BC1194" t="str">
            <v>F18</v>
          </cell>
        </row>
        <row r="1195">
          <cell r="A1195" t="str">
            <v/>
          </cell>
          <cell r="B1195" t="str">
            <v>3</v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>
            <v>0</v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e">
            <v>#VALUE!</v>
          </cell>
          <cell r="R1195" t="str">
            <v/>
          </cell>
          <cell r="S1195" t="str">
            <v/>
          </cell>
          <cell r="T1195" t="str">
            <v/>
          </cell>
          <cell r="U1195" t="str">
            <v/>
          </cell>
          <cell r="V1195" t="str">
            <v/>
          </cell>
          <cell r="W1195" t="str">
            <v/>
          </cell>
          <cell r="X1195" t="str">
            <v/>
          </cell>
          <cell r="Z1195">
            <v>0</v>
          </cell>
          <cell r="AA1195" t="e">
            <v>#VALUE!</v>
          </cell>
          <cell r="AM1195" t="str">
            <v/>
          </cell>
          <cell r="AO1195" t="e">
            <v>#VALUE!</v>
          </cell>
          <cell r="AP1195" t="e">
            <v>#VALUE!</v>
          </cell>
          <cell r="AQ1195">
            <v>0</v>
          </cell>
          <cell r="AR1195" t="e">
            <v>#VALUE!</v>
          </cell>
          <cell r="AS1195" t="e">
            <v>#VALUE!</v>
          </cell>
          <cell r="AT1195" t="e">
            <v>#VALUE!</v>
          </cell>
          <cell r="AU1195" t="e">
            <v>#VALUE!</v>
          </cell>
          <cell r="AV1195" t="e">
            <v>#VALUE!</v>
          </cell>
          <cell r="AW1195" t="e">
            <v>#VALUE!</v>
          </cell>
          <cell r="AY1195" t="e">
            <v>#VALUE!</v>
          </cell>
          <cell r="AZ1195" t="str">
            <v>F18</v>
          </cell>
          <cell r="BA1195">
            <v>0</v>
          </cell>
          <cell r="BB1195" t="str">
            <v/>
          </cell>
          <cell r="BC1195" t="str">
            <v>F18</v>
          </cell>
        </row>
        <row r="1196">
          <cell r="A1196" t="str">
            <v/>
          </cell>
          <cell r="B1196" t="str">
            <v>3</v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>
            <v>0</v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e">
            <v>#VALUE!</v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/>
          </cell>
          <cell r="W1196" t="str">
            <v/>
          </cell>
          <cell r="X1196" t="str">
            <v/>
          </cell>
          <cell r="Z1196">
            <v>0</v>
          </cell>
          <cell r="AA1196" t="e">
            <v>#VALUE!</v>
          </cell>
          <cell r="AM1196" t="str">
            <v/>
          </cell>
          <cell r="AO1196" t="e">
            <v>#VALUE!</v>
          </cell>
          <cell r="AP1196" t="e">
            <v>#VALUE!</v>
          </cell>
          <cell r="AQ1196">
            <v>0</v>
          </cell>
          <cell r="AR1196" t="e">
            <v>#VALUE!</v>
          </cell>
          <cell r="AS1196" t="e">
            <v>#VALUE!</v>
          </cell>
          <cell r="AT1196" t="e">
            <v>#VALUE!</v>
          </cell>
          <cell r="AU1196" t="e">
            <v>#VALUE!</v>
          </cell>
          <cell r="AV1196" t="e">
            <v>#VALUE!</v>
          </cell>
          <cell r="AW1196" t="e">
            <v>#VALUE!</v>
          </cell>
          <cell r="AY1196" t="e">
            <v>#VALUE!</v>
          </cell>
          <cell r="AZ1196" t="str">
            <v>F18</v>
          </cell>
          <cell r="BA1196">
            <v>0</v>
          </cell>
          <cell r="BB1196" t="str">
            <v/>
          </cell>
          <cell r="BC1196" t="str">
            <v>F18</v>
          </cell>
        </row>
        <row r="1197">
          <cell r="A1197" t="str">
            <v/>
          </cell>
          <cell r="B1197" t="str">
            <v>3</v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>
            <v>0</v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e">
            <v>#VALUE!</v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/>
          </cell>
          <cell r="W1197" t="str">
            <v/>
          </cell>
          <cell r="X1197" t="str">
            <v/>
          </cell>
          <cell r="Z1197">
            <v>0</v>
          </cell>
          <cell r="AA1197" t="e">
            <v>#VALUE!</v>
          </cell>
          <cell r="AM1197" t="str">
            <v/>
          </cell>
          <cell r="AO1197" t="e">
            <v>#VALUE!</v>
          </cell>
          <cell r="AP1197" t="e">
            <v>#VALUE!</v>
          </cell>
          <cell r="AQ1197">
            <v>0</v>
          </cell>
          <cell r="AR1197" t="e">
            <v>#VALUE!</v>
          </cell>
          <cell r="AS1197" t="e">
            <v>#VALUE!</v>
          </cell>
          <cell r="AT1197" t="e">
            <v>#VALUE!</v>
          </cell>
          <cell r="AU1197" t="e">
            <v>#VALUE!</v>
          </cell>
          <cell r="AV1197" t="e">
            <v>#VALUE!</v>
          </cell>
          <cell r="AW1197" t="e">
            <v>#VALUE!</v>
          </cell>
          <cell r="AY1197" t="e">
            <v>#VALUE!</v>
          </cell>
          <cell r="AZ1197" t="str">
            <v>F18</v>
          </cell>
          <cell r="BA1197">
            <v>0</v>
          </cell>
          <cell r="BB1197" t="str">
            <v/>
          </cell>
          <cell r="BC1197" t="str">
            <v>F18</v>
          </cell>
        </row>
        <row r="1198">
          <cell r="A1198" t="str">
            <v/>
          </cell>
          <cell r="B1198" t="str">
            <v>3</v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>
            <v>0</v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e">
            <v>#VALUE!</v>
          </cell>
          <cell r="R1198" t="str">
            <v/>
          </cell>
          <cell r="S1198" t="str">
            <v/>
          </cell>
          <cell r="T1198" t="str">
            <v/>
          </cell>
          <cell r="U1198" t="str">
            <v/>
          </cell>
          <cell r="V1198" t="str">
            <v/>
          </cell>
          <cell r="W1198" t="str">
            <v/>
          </cell>
          <cell r="X1198" t="str">
            <v/>
          </cell>
          <cell r="Z1198">
            <v>0</v>
          </cell>
          <cell r="AA1198" t="e">
            <v>#VALUE!</v>
          </cell>
          <cell r="AM1198" t="str">
            <v/>
          </cell>
          <cell r="AO1198" t="e">
            <v>#VALUE!</v>
          </cell>
          <cell r="AP1198" t="e">
            <v>#VALUE!</v>
          </cell>
          <cell r="AQ1198">
            <v>0</v>
          </cell>
          <cell r="AR1198" t="e">
            <v>#VALUE!</v>
          </cell>
          <cell r="AS1198" t="e">
            <v>#VALUE!</v>
          </cell>
          <cell r="AT1198" t="e">
            <v>#VALUE!</v>
          </cell>
          <cell r="AU1198" t="e">
            <v>#VALUE!</v>
          </cell>
          <cell r="AV1198" t="e">
            <v>#VALUE!</v>
          </cell>
          <cell r="AW1198" t="e">
            <v>#VALUE!</v>
          </cell>
          <cell r="AY1198" t="e">
            <v>#VALUE!</v>
          </cell>
          <cell r="AZ1198" t="str">
            <v>F18</v>
          </cell>
          <cell r="BA1198">
            <v>0</v>
          </cell>
          <cell r="BB1198" t="str">
            <v/>
          </cell>
          <cell r="BC1198" t="str">
            <v>F18</v>
          </cell>
        </row>
        <row r="1199">
          <cell r="A1199" t="str">
            <v/>
          </cell>
          <cell r="B1199" t="str">
            <v>3</v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>
            <v>0</v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e">
            <v>#VALUE!</v>
          </cell>
          <cell r="R1199" t="str">
            <v/>
          </cell>
          <cell r="S1199" t="str">
            <v/>
          </cell>
          <cell r="T1199" t="str">
            <v/>
          </cell>
          <cell r="U1199" t="str">
            <v/>
          </cell>
          <cell r="V1199" t="str">
            <v/>
          </cell>
          <cell r="W1199" t="str">
            <v/>
          </cell>
          <cell r="X1199" t="str">
            <v/>
          </cell>
          <cell r="Z1199">
            <v>0</v>
          </cell>
          <cell r="AA1199" t="e">
            <v>#VALUE!</v>
          </cell>
          <cell r="AM1199" t="str">
            <v/>
          </cell>
          <cell r="AO1199" t="e">
            <v>#VALUE!</v>
          </cell>
          <cell r="AP1199" t="e">
            <v>#VALUE!</v>
          </cell>
          <cell r="AQ1199">
            <v>0</v>
          </cell>
          <cell r="AR1199" t="e">
            <v>#VALUE!</v>
          </cell>
          <cell r="AS1199" t="e">
            <v>#VALUE!</v>
          </cell>
          <cell r="AT1199" t="e">
            <v>#VALUE!</v>
          </cell>
          <cell r="AU1199" t="e">
            <v>#VALUE!</v>
          </cell>
          <cell r="AV1199" t="e">
            <v>#VALUE!</v>
          </cell>
          <cell r="AW1199" t="e">
            <v>#VALUE!</v>
          </cell>
          <cell r="AY1199" t="e">
            <v>#VALUE!</v>
          </cell>
          <cell r="AZ1199" t="str">
            <v>F18</v>
          </cell>
          <cell r="BA1199">
            <v>0</v>
          </cell>
          <cell r="BB1199" t="str">
            <v/>
          </cell>
          <cell r="BC1199" t="str">
            <v>F18</v>
          </cell>
        </row>
        <row r="1200">
          <cell r="A1200" t="str">
            <v/>
          </cell>
          <cell r="B1200" t="str">
            <v>3</v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>
            <v>0</v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e">
            <v>#VALUE!</v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/>
          </cell>
          <cell r="W1200" t="str">
            <v/>
          </cell>
          <cell r="X1200" t="str">
            <v/>
          </cell>
          <cell r="Z1200">
            <v>0</v>
          </cell>
          <cell r="AA1200" t="e">
            <v>#VALUE!</v>
          </cell>
          <cell r="AM1200" t="str">
            <v/>
          </cell>
          <cell r="AO1200" t="e">
            <v>#VALUE!</v>
          </cell>
          <cell r="AP1200" t="e">
            <v>#VALUE!</v>
          </cell>
          <cell r="AQ1200">
            <v>0</v>
          </cell>
          <cell r="AR1200" t="e">
            <v>#VALUE!</v>
          </cell>
          <cell r="AS1200" t="e">
            <v>#VALUE!</v>
          </cell>
          <cell r="AT1200" t="e">
            <v>#VALUE!</v>
          </cell>
          <cell r="AU1200" t="e">
            <v>#VALUE!</v>
          </cell>
          <cell r="AV1200" t="e">
            <v>#VALUE!</v>
          </cell>
          <cell r="AW1200" t="e">
            <v>#VALUE!</v>
          </cell>
          <cell r="AY1200" t="e">
            <v>#VALUE!</v>
          </cell>
          <cell r="AZ1200" t="str">
            <v>F18</v>
          </cell>
          <cell r="BA1200">
            <v>0</v>
          </cell>
          <cell r="BB1200" t="str">
            <v/>
          </cell>
          <cell r="BC1200" t="str">
            <v>F18</v>
          </cell>
        </row>
        <row r="1201">
          <cell r="A1201" t="str">
            <v/>
          </cell>
          <cell r="B1201" t="str">
            <v>3</v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>
            <v>0</v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e">
            <v>#VALUE!</v>
          </cell>
          <cell r="R1201" t="str">
            <v/>
          </cell>
          <cell r="S1201" t="str">
            <v/>
          </cell>
          <cell r="T1201" t="str">
            <v/>
          </cell>
          <cell r="U1201" t="str">
            <v/>
          </cell>
          <cell r="V1201" t="str">
            <v/>
          </cell>
          <cell r="W1201" t="str">
            <v/>
          </cell>
          <cell r="X1201" t="str">
            <v/>
          </cell>
          <cell r="Z1201">
            <v>0</v>
          </cell>
          <cell r="AA1201" t="e">
            <v>#VALUE!</v>
          </cell>
          <cell r="AM1201" t="str">
            <v/>
          </cell>
          <cell r="AO1201" t="e">
            <v>#VALUE!</v>
          </cell>
          <cell r="AP1201" t="e">
            <v>#VALUE!</v>
          </cell>
          <cell r="AQ1201">
            <v>0</v>
          </cell>
          <cell r="AR1201" t="e">
            <v>#VALUE!</v>
          </cell>
          <cell r="AS1201" t="e">
            <v>#VALUE!</v>
          </cell>
          <cell r="AT1201" t="e">
            <v>#VALUE!</v>
          </cell>
          <cell r="AU1201" t="e">
            <v>#VALUE!</v>
          </cell>
          <cell r="AV1201" t="e">
            <v>#VALUE!</v>
          </cell>
          <cell r="AW1201" t="e">
            <v>#VALUE!</v>
          </cell>
          <cell r="AY1201" t="e">
            <v>#VALUE!</v>
          </cell>
          <cell r="AZ1201" t="str">
            <v>F18</v>
          </cell>
          <cell r="BA1201">
            <v>0</v>
          </cell>
          <cell r="BB1201" t="str">
            <v/>
          </cell>
          <cell r="BC1201" t="str">
            <v>F18</v>
          </cell>
        </row>
        <row r="1202">
          <cell r="A1202" t="str">
            <v/>
          </cell>
          <cell r="B1202" t="str">
            <v>3</v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>
            <v>0</v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e">
            <v>#VALUE!</v>
          </cell>
          <cell r="R1202" t="str">
            <v/>
          </cell>
          <cell r="S1202" t="str">
            <v/>
          </cell>
          <cell r="T1202" t="str">
            <v/>
          </cell>
          <cell r="U1202" t="str">
            <v/>
          </cell>
          <cell r="V1202" t="str">
            <v/>
          </cell>
          <cell r="W1202" t="str">
            <v/>
          </cell>
          <cell r="X1202" t="str">
            <v/>
          </cell>
          <cell r="Z1202">
            <v>0</v>
          </cell>
          <cell r="AA1202" t="e">
            <v>#VALUE!</v>
          </cell>
          <cell r="AM1202" t="str">
            <v/>
          </cell>
          <cell r="AO1202" t="e">
            <v>#VALUE!</v>
          </cell>
          <cell r="AP1202" t="e">
            <v>#VALUE!</v>
          </cell>
          <cell r="AQ1202">
            <v>0</v>
          </cell>
          <cell r="AR1202" t="e">
            <v>#VALUE!</v>
          </cell>
          <cell r="AS1202" t="e">
            <v>#VALUE!</v>
          </cell>
          <cell r="AT1202" t="e">
            <v>#VALUE!</v>
          </cell>
          <cell r="AU1202" t="e">
            <v>#VALUE!</v>
          </cell>
          <cell r="AV1202" t="e">
            <v>#VALUE!</v>
          </cell>
          <cell r="AW1202" t="e">
            <v>#VALUE!</v>
          </cell>
          <cell r="AY1202" t="e">
            <v>#VALUE!</v>
          </cell>
          <cell r="AZ1202" t="str">
            <v>F18</v>
          </cell>
          <cell r="BA1202">
            <v>0</v>
          </cell>
          <cell r="BB1202" t="str">
            <v/>
          </cell>
          <cell r="BC1202" t="str">
            <v>F18</v>
          </cell>
        </row>
        <row r="1203">
          <cell r="A1203" t="str">
            <v/>
          </cell>
          <cell r="B1203" t="str">
            <v>3</v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>
            <v>0</v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e">
            <v>#VALUE!</v>
          </cell>
          <cell r="R1203" t="str">
            <v/>
          </cell>
          <cell r="S1203" t="str">
            <v/>
          </cell>
          <cell r="T1203" t="str">
            <v/>
          </cell>
          <cell r="U1203" t="str">
            <v/>
          </cell>
          <cell r="V1203" t="str">
            <v/>
          </cell>
          <cell r="W1203" t="str">
            <v/>
          </cell>
          <cell r="X1203" t="str">
            <v/>
          </cell>
          <cell r="Z1203">
            <v>0</v>
          </cell>
          <cell r="AA1203" t="e">
            <v>#VALUE!</v>
          </cell>
          <cell r="AM1203" t="str">
            <v/>
          </cell>
          <cell r="AO1203" t="e">
            <v>#VALUE!</v>
          </cell>
          <cell r="AP1203" t="e">
            <v>#VALUE!</v>
          </cell>
          <cell r="AQ1203">
            <v>0</v>
          </cell>
          <cell r="AR1203" t="e">
            <v>#VALUE!</v>
          </cell>
          <cell r="AS1203" t="e">
            <v>#VALUE!</v>
          </cell>
          <cell r="AT1203" t="e">
            <v>#VALUE!</v>
          </cell>
          <cell r="AU1203" t="e">
            <v>#VALUE!</v>
          </cell>
          <cell r="AV1203" t="e">
            <v>#VALUE!</v>
          </cell>
          <cell r="AW1203" t="e">
            <v>#VALUE!</v>
          </cell>
          <cell r="AY1203" t="e">
            <v>#VALUE!</v>
          </cell>
          <cell r="AZ1203" t="str">
            <v>F18</v>
          </cell>
          <cell r="BA1203">
            <v>0</v>
          </cell>
          <cell r="BB1203" t="str">
            <v/>
          </cell>
          <cell r="BC1203" t="str">
            <v>F18</v>
          </cell>
        </row>
        <row r="1204">
          <cell r="A1204" t="str">
            <v/>
          </cell>
          <cell r="B1204" t="str">
            <v>3</v>
          </cell>
          <cell r="C1204" t="str">
            <v/>
          </cell>
          <cell r="D1204" t="str">
            <v/>
          </cell>
          <cell r="E1204" t="str">
            <v/>
          </cell>
          <cell r="F1204" t="str">
            <v/>
          </cell>
          <cell r="G1204" t="str">
            <v/>
          </cell>
          <cell r="H1204" t="str">
            <v/>
          </cell>
          <cell r="I1204" t="str">
            <v/>
          </cell>
          <cell r="J1204" t="str">
            <v/>
          </cell>
          <cell r="K1204">
            <v>0</v>
          </cell>
          <cell r="L1204" t="str">
            <v/>
          </cell>
          <cell r="M1204" t="str">
            <v/>
          </cell>
          <cell r="N1204" t="str">
            <v/>
          </cell>
          <cell r="O1204" t="str">
            <v/>
          </cell>
          <cell r="P1204" t="str">
            <v/>
          </cell>
          <cell r="Q1204" t="e">
            <v>#VALUE!</v>
          </cell>
          <cell r="R1204" t="str">
            <v/>
          </cell>
          <cell r="S1204" t="str">
            <v/>
          </cell>
          <cell r="T1204" t="str">
            <v/>
          </cell>
          <cell r="U1204" t="str">
            <v/>
          </cell>
          <cell r="V1204" t="str">
            <v/>
          </cell>
          <cell r="W1204" t="str">
            <v/>
          </cell>
          <cell r="X1204" t="str">
            <v/>
          </cell>
          <cell r="Z1204">
            <v>0</v>
          </cell>
          <cell r="AA1204" t="e">
            <v>#VALUE!</v>
          </cell>
          <cell r="AM1204" t="str">
            <v/>
          </cell>
          <cell r="AO1204" t="e">
            <v>#VALUE!</v>
          </cell>
          <cell r="AP1204" t="e">
            <v>#VALUE!</v>
          </cell>
          <cell r="AQ1204">
            <v>0</v>
          </cell>
          <cell r="AR1204" t="e">
            <v>#VALUE!</v>
          </cell>
          <cell r="AS1204" t="e">
            <v>#VALUE!</v>
          </cell>
          <cell r="AT1204" t="e">
            <v>#VALUE!</v>
          </cell>
          <cell r="AU1204" t="e">
            <v>#VALUE!</v>
          </cell>
          <cell r="AV1204" t="e">
            <v>#VALUE!</v>
          </cell>
          <cell r="AW1204" t="e">
            <v>#VALUE!</v>
          </cell>
          <cell r="AY1204" t="e">
            <v>#VALUE!</v>
          </cell>
          <cell r="AZ1204" t="str">
            <v>F18</v>
          </cell>
          <cell r="BA1204">
            <v>0</v>
          </cell>
          <cell r="BB1204" t="str">
            <v/>
          </cell>
          <cell r="BC1204" t="str">
            <v>F18</v>
          </cell>
        </row>
        <row r="1205">
          <cell r="A1205" t="str">
            <v/>
          </cell>
          <cell r="B1205" t="str">
            <v>3</v>
          </cell>
          <cell r="C1205" t="str">
            <v/>
          </cell>
          <cell r="D1205" t="str">
            <v/>
          </cell>
          <cell r="E1205" t="str">
            <v/>
          </cell>
          <cell r="F1205" t="str">
            <v/>
          </cell>
          <cell r="G1205" t="str">
            <v/>
          </cell>
          <cell r="H1205" t="str">
            <v/>
          </cell>
          <cell r="I1205" t="str">
            <v/>
          </cell>
          <cell r="J1205" t="str">
            <v/>
          </cell>
          <cell r="K1205">
            <v>0</v>
          </cell>
          <cell r="L1205" t="str">
            <v/>
          </cell>
          <cell r="M1205" t="str">
            <v/>
          </cell>
          <cell r="N1205" t="str">
            <v/>
          </cell>
          <cell r="O1205" t="str">
            <v/>
          </cell>
          <cell r="P1205" t="str">
            <v/>
          </cell>
          <cell r="Q1205" t="e">
            <v>#VALUE!</v>
          </cell>
          <cell r="R1205" t="str">
            <v/>
          </cell>
          <cell r="S1205" t="str">
            <v/>
          </cell>
          <cell r="T1205" t="str">
            <v/>
          </cell>
          <cell r="U1205" t="str">
            <v/>
          </cell>
          <cell r="V1205" t="str">
            <v/>
          </cell>
          <cell r="W1205" t="str">
            <v/>
          </cell>
          <cell r="X1205" t="str">
            <v/>
          </cell>
          <cell r="Z1205">
            <v>0</v>
          </cell>
          <cell r="AA1205" t="e">
            <v>#VALUE!</v>
          </cell>
          <cell r="AM1205" t="str">
            <v/>
          </cell>
          <cell r="AO1205" t="e">
            <v>#VALUE!</v>
          </cell>
          <cell r="AP1205" t="e">
            <v>#VALUE!</v>
          </cell>
          <cell r="AQ1205">
            <v>0</v>
          </cell>
          <cell r="AR1205" t="e">
            <v>#VALUE!</v>
          </cell>
          <cell r="AS1205" t="e">
            <v>#VALUE!</v>
          </cell>
          <cell r="AT1205" t="e">
            <v>#VALUE!</v>
          </cell>
          <cell r="AU1205" t="e">
            <v>#VALUE!</v>
          </cell>
          <cell r="AV1205" t="e">
            <v>#VALUE!</v>
          </cell>
          <cell r="AW1205" t="e">
            <v>#VALUE!</v>
          </cell>
          <cell r="AY1205" t="e">
            <v>#VALUE!</v>
          </cell>
          <cell r="AZ1205" t="str">
            <v>F18</v>
          </cell>
          <cell r="BA1205">
            <v>0</v>
          </cell>
          <cell r="BB1205" t="str">
            <v/>
          </cell>
          <cell r="BC1205" t="str">
            <v>F18</v>
          </cell>
        </row>
        <row r="1206">
          <cell r="A1206" t="str">
            <v/>
          </cell>
          <cell r="B1206" t="str">
            <v>3</v>
          </cell>
          <cell r="C1206" t="str">
            <v/>
          </cell>
          <cell r="D1206" t="str">
            <v/>
          </cell>
          <cell r="E1206" t="str">
            <v/>
          </cell>
          <cell r="F1206" t="str">
            <v/>
          </cell>
          <cell r="G1206" t="str">
            <v/>
          </cell>
          <cell r="H1206" t="str">
            <v/>
          </cell>
          <cell r="I1206" t="str">
            <v/>
          </cell>
          <cell r="J1206" t="str">
            <v/>
          </cell>
          <cell r="K1206">
            <v>0</v>
          </cell>
          <cell r="L1206" t="str">
            <v/>
          </cell>
          <cell r="M1206" t="str">
            <v/>
          </cell>
          <cell r="N1206" t="str">
            <v/>
          </cell>
          <cell r="O1206" t="str">
            <v/>
          </cell>
          <cell r="P1206" t="str">
            <v/>
          </cell>
          <cell r="Q1206" t="e">
            <v>#VALUE!</v>
          </cell>
          <cell r="R1206" t="str">
            <v/>
          </cell>
          <cell r="S1206" t="str">
            <v/>
          </cell>
          <cell r="T1206" t="str">
            <v/>
          </cell>
          <cell r="U1206" t="str">
            <v/>
          </cell>
          <cell r="V1206" t="str">
            <v/>
          </cell>
          <cell r="W1206" t="str">
            <v/>
          </cell>
          <cell r="X1206" t="str">
            <v/>
          </cell>
          <cell r="Z1206">
            <v>0</v>
          </cell>
          <cell r="AA1206" t="e">
            <v>#VALUE!</v>
          </cell>
          <cell r="AM1206" t="str">
            <v/>
          </cell>
          <cell r="AO1206" t="e">
            <v>#VALUE!</v>
          </cell>
          <cell r="AP1206" t="e">
            <v>#VALUE!</v>
          </cell>
          <cell r="AQ1206">
            <v>0</v>
          </cell>
          <cell r="AR1206" t="e">
            <v>#VALUE!</v>
          </cell>
          <cell r="AS1206" t="e">
            <v>#VALUE!</v>
          </cell>
          <cell r="AT1206" t="e">
            <v>#VALUE!</v>
          </cell>
          <cell r="AU1206" t="e">
            <v>#VALUE!</v>
          </cell>
          <cell r="AV1206" t="e">
            <v>#VALUE!</v>
          </cell>
          <cell r="AW1206" t="e">
            <v>#VALUE!</v>
          </cell>
          <cell r="AY1206" t="e">
            <v>#VALUE!</v>
          </cell>
          <cell r="AZ1206" t="str">
            <v>F18</v>
          </cell>
          <cell r="BA1206">
            <v>0</v>
          </cell>
          <cell r="BB1206" t="str">
            <v/>
          </cell>
          <cell r="BC1206" t="str">
            <v>F18</v>
          </cell>
        </row>
        <row r="1207">
          <cell r="A1207" t="str">
            <v/>
          </cell>
          <cell r="B1207" t="str">
            <v>3</v>
          </cell>
          <cell r="C1207" t="str">
            <v/>
          </cell>
          <cell r="D1207" t="str">
            <v/>
          </cell>
          <cell r="E1207" t="str">
            <v/>
          </cell>
          <cell r="F1207" t="str">
            <v/>
          </cell>
          <cell r="G1207" t="str">
            <v/>
          </cell>
          <cell r="H1207" t="str">
            <v/>
          </cell>
          <cell r="I1207" t="str">
            <v/>
          </cell>
          <cell r="J1207" t="str">
            <v/>
          </cell>
          <cell r="K1207">
            <v>0</v>
          </cell>
          <cell r="L1207" t="str">
            <v/>
          </cell>
          <cell r="M1207" t="str">
            <v/>
          </cell>
          <cell r="N1207" t="str">
            <v/>
          </cell>
          <cell r="O1207" t="str">
            <v/>
          </cell>
          <cell r="P1207" t="str">
            <v/>
          </cell>
          <cell r="Q1207" t="e">
            <v>#VALUE!</v>
          </cell>
          <cell r="R1207" t="str">
            <v/>
          </cell>
          <cell r="S1207" t="str">
            <v/>
          </cell>
          <cell r="T1207" t="str">
            <v/>
          </cell>
          <cell r="U1207" t="str">
            <v/>
          </cell>
          <cell r="V1207" t="str">
            <v/>
          </cell>
          <cell r="W1207" t="str">
            <v/>
          </cell>
          <cell r="X1207" t="str">
            <v/>
          </cell>
          <cell r="Z1207">
            <v>0</v>
          </cell>
          <cell r="AA1207" t="e">
            <v>#VALUE!</v>
          </cell>
          <cell r="AM1207" t="str">
            <v/>
          </cell>
          <cell r="AO1207" t="e">
            <v>#VALUE!</v>
          </cell>
          <cell r="AP1207" t="e">
            <v>#VALUE!</v>
          </cell>
          <cell r="AQ1207">
            <v>0</v>
          </cell>
          <cell r="AR1207" t="e">
            <v>#VALUE!</v>
          </cell>
          <cell r="AS1207" t="e">
            <v>#VALUE!</v>
          </cell>
          <cell r="AT1207" t="e">
            <v>#VALUE!</v>
          </cell>
          <cell r="AU1207" t="e">
            <v>#VALUE!</v>
          </cell>
          <cell r="AV1207" t="e">
            <v>#VALUE!</v>
          </cell>
          <cell r="AW1207" t="e">
            <v>#VALUE!</v>
          </cell>
          <cell r="AY1207" t="e">
            <v>#VALUE!</v>
          </cell>
          <cell r="AZ1207" t="str">
            <v>F18</v>
          </cell>
          <cell r="BA1207">
            <v>0</v>
          </cell>
          <cell r="BB1207" t="str">
            <v/>
          </cell>
          <cell r="BC1207" t="str">
            <v>F18</v>
          </cell>
        </row>
        <row r="1208">
          <cell r="A1208" t="str">
            <v/>
          </cell>
          <cell r="B1208" t="str">
            <v>3</v>
          </cell>
          <cell r="C1208" t="str">
            <v/>
          </cell>
          <cell r="D1208" t="str">
            <v/>
          </cell>
          <cell r="E1208" t="str">
            <v/>
          </cell>
          <cell r="F1208" t="str">
            <v/>
          </cell>
          <cell r="G1208" t="str">
            <v/>
          </cell>
          <cell r="H1208" t="str">
            <v/>
          </cell>
          <cell r="I1208" t="str">
            <v/>
          </cell>
          <cell r="J1208" t="str">
            <v/>
          </cell>
          <cell r="K1208">
            <v>0</v>
          </cell>
          <cell r="L1208" t="str">
            <v/>
          </cell>
          <cell r="M1208" t="str">
            <v/>
          </cell>
          <cell r="N1208" t="str">
            <v/>
          </cell>
          <cell r="O1208" t="str">
            <v/>
          </cell>
          <cell r="P1208" t="str">
            <v/>
          </cell>
          <cell r="Q1208" t="e">
            <v>#VALUE!</v>
          </cell>
          <cell r="R1208" t="str">
            <v/>
          </cell>
          <cell r="S1208" t="str">
            <v/>
          </cell>
          <cell r="T1208" t="str">
            <v/>
          </cell>
          <cell r="U1208" t="str">
            <v/>
          </cell>
          <cell r="V1208" t="str">
            <v/>
          </cell>
          <cell r="W1208" t="str">
            <v/>
          </cell>
          <cell r="X1208" t="str">
            <v/>
          </cell>
          <cell r="Z1208">
            <v>0</v>
          </cell>
          <cell r="AA1208" t="e">
            <v>#VALUE!</v>
          </cell>
          <cell r="AM1208" t="str">
            <v/>
          </cell>
          <cell r="AO1208" t="e">
            <v>#VALUE!</v>
          </cell>
          <cell r="AP1208" t="e">
            <v>#VALUE!</v>
          </cell>
          <cell r="AQ1208">
            <v>0</v>
          </cell>
          <cell r="AR1208" t="e">
            <v>#VALUE!</v>
          </cell>
          <cell r="AS1208" t="e">
            <v>#VALUE!</v>
          </cell>
          <cell r="AT1208" t="e">
            <v>#VALUE!</v>
          </cell>
          <cell r="AU1208" t="e">
            <v>#VALUE!</v>
          </cell>
          <cell r="AV1208" t="e">
            <v>#VALUE!</v>
          </cell>
          <cell r="AW1208" t="e">
            <v>#VALUE!</v>
          </cell>
          <cell r="AY1208" t="e">
            <v>#VALUE!</v>
          </cell>
          <cell r="AZ1208" t="str">
            <v>F18</v>
          </cell>
          <cell r="BA1208">
            <v>0</v>
          </cell>
          <cell r="BB1208" t="str">
            <v/>
          </cell>
          <cell r="BC1208" t="str">
            <v>F18</v>
          </cell>
        </row>
        <row r="1209">
          <cell r="A1209" t="str">
            <v/>
          </cell>
          <cell r="B1209" t="str">
            <v>3</v>
          </cell>
          <cell r="C1209" t="str">
            <v/>
          </cell>
          <cell r="D1209" t="str">
            <v/>
          </cell>
          <cell r="E1209" t="str">
            <v/>
          </cell>
          <cell r="F1209" t="str">
            <v/>
          </cell>
          <cell r="G1209" t="str">
            <v/>
          </cell>
          <cell r="H1209" t="str">
            <v/>
          </cell>
          <cell r="I1209" t="str">
            <v/>
          </cell>
          <cell r="J1209" t="str">
            <v/>
          </cell>
          <cell r="K1209">
            <v>0</v>
          </cell>
          <cell r="L1209" t="str">
            <v/>
          </cell>
          <cell r="M1209" t="str">
            <v/>
          </cell>
          <cell r="N1209" t="str">
            <v/>
          </cell>
          <cell r="O1209" t="str">
            <v/>
          </cell>
          <cell r="P1209" t="str">
            <v/>
          </cell>
          <cell r="Q1209" t="e">
            <v>#VALUE!</v>
          </cell>
          <cell r="R1209" t="str">
            <v/>
          </cell>
          <cell r="S1209" t="str">
            <v/>
          </cell>
          <cell r="T1209" t="str">
            <v/>
          </cell>
          <cell r="U1209" t="str">
            <v/>
          </cell>
          <cell r="V1209" t="str">
            <v/>
          </cell>
          <cell r="W1209" t="str">
            <v/>
          </cell>
          <cell r="X1209" t="str">
            <v/>
          </cell>
          <cell r="Z1209">
            <v>0</v>
          </cell>
          <cell r="AA1209" t="e">
            <v>#VALUE!</v>
          </cell>
          <cell r="AM1209" t="str">
            <v/>
          </cell>
          <cell r="AO1209" t="e">
            <v>#VALUE!</v>
          </cell>
          <cell r="AP1209" t="e">
            <v>#VALUE!</v>
          </cell>
          <cell r="AQ1209">
            <v>0</v>
          </cell>
          <cell r="AR1209" t="e">
            <v>#VALUE!</v>
          </cell>
          <cell r="AS1209" t="e">
            <v>#VALUE!</v>
          </cell>
          <cell r="AT1209" t="e">
            <v>#VALUE!</v>
          </cell>
          <cell r="AU1209" t="e">
            <v>#VALUE!</v>
          </cell>
          <cell r="AV1209" t="e">
            <v>#VALUE!</v>
          </cell>
          <cell r="AW1209" t="e">
            <v>#VALUE!</v>
          </cell>
          <cell r="AY1209" t="e">
            <v>#VALUE!</v>
          </cell>
          <cell r="AZ1209" t="str">
            <v>F18</v>
          </cell>
          <cell r="BA1209">
            <v>0</v>
          </cell>
          <cell r="BB1209" t="str">
            <v/>
          </cell>
          <cell r="BC1209" t="str">
            <v>F18</v>
          </cell>
        </row>
        <row r="1210">
          <cell r="A1210" t="str">
            <v/>
          </cell>
          <cell r="B1210" t="str">
            <v>3</v>
          </cell>
          <cell r="C1210" t="str">
            <v/>
          </cell>
          <cell r="D1210" t="str">
            <v/>
          </cell>
          <cell r="E1210" t="str">
            <v/>
          </cell>
          <cell r="F1210" t="str">
            <v/>
          </cell>
          <cell r="G1210" t="str">
            <v/>
          </cell>
          <cell r="H1210" t="str">
            <v/>
          </cell>
          <cell r="I1210" t="str">
            <v/>
          </cell>
          <cell r="J1210" t="str">
            <v/>
          </cell>
          <cell r="K1210">
            <v>0</v>
          </cell>
          <cell r="L1210" t="str">
            <v/>
          </cell>
          <cell r="M1210" t="str">
            <v/>
          </cell>
          <cell r="N1210" t="str">
            <v/>
          </cell>
          <cell r="O1210" t="str">
            <v/>
          </cell>
          <cell r="P1210" t="str">
            <v/>
          </cell>
          <cell r="Q1210" t="e">
            <v>#VALUE!</v>
          </cell>
          <cell r="R1210" t="str">
            <v/>
          </cell>
          <cell r="S1210" t="str">
            <v/>
          </cell>
          <cell r="T1210" t="str">
            <v/>
          </cell>
          <cell r="U1210" t="str">
            <v/>
          </cell>
          <cell r="V1210" t="str">
            <v/>
          </cell>
          <cell r="W1210" t="str">
            <v/>
          </cell>
          <cell r="X1210" t="str">
            <v/>
          </cell>
          <cell r="Z1210">
            <v>0</v>
          </cell>
          <cell r="AA1210" t="e">
            <v>#VALUE!</v>
          </cell>
          <cell r="AM1210" t="str">
            <v/>
          </cell>
          <cell r="AO1210" t="e">
            <v>#VALUE!</v>
          </cell>
          <cell r="AP1210" t="e">
            <v>#VALUE!</v>
          </cell>
          <cell r="AQ1210">
            <v>0</v>
          </cell>
          <cell r="AR1210" t="e">
            <v>#VALUE!</v>
          </cell>
          <cell r="AS1210" t="e">
            <v>#VALUE!</v>
          </cell>
          <cell r="AT1210" t="e">
            <v>#VALUE!</v>
          </cell>
          <cell r="AU1210" t="e">
            <v>#VALUE!</v>
          </cell>
          <cell r="AV1210" t="e">
            <v>#VALUE!</v>
          </cell>
          <cell r="AW1210" t="e">
            <v>#VALUE!</v>
          </cell>
          <cell r="AY1210" t="e">
            <v>#VALUE!</v>
          </cell>
          <cell r="AZ1210" t="str">
            <v>F18</v>
          </cell>
          <cell r="BA1210">
            <v>0</v>
          </cell>
          <cell r="BB1210" t="str">
            <v/>
          </cell>
          <cell r="BC1210" t="str">
            <v>F18</v>
          </cell>
        </row>
        <row r="1211">
          <cell r="A1211" t="str">
            <v/>
          </cell>
          <cell r="B1211" t="str">
            <v>3</v>
          </cell>
          <cell r="C1211" t="str">
            <v/>
          </cell>
          <cell r="D1211" t="str">
            <v/>
          </cell>
          <cell r="E1211" t="str">
            <v/>
          </cell>
          <cell r="F1211" t="str">
            <v/>
          </cell>
          <cell r="G1211" t="str">
            <v/>
          </cell>
          <cell r="H1211" t="str">
            <v/>
          </cell>
          <cell r="I1211" t="str">
            <v/>
          </cell>
          <cell r="J1211" t="str">
            <v/>
          </cell>
          <cell r="K1211">
            <v>0</v>
          </cell>
          <cell r="L1211" t="str">
            <v/>
          </cell>
          <cell r="M1211" t="str">
            <v/>
          </cell>
          <cell r="N1211" t="str">
            <v/>
          </cell>
          <cell r="O1211" t="str">
            <v/>
          </cell>
          <cell r="P1211" t="str">
            <v/>
          </cell>
          <cell r="Q1211" t="e">
            <v>#VALUE!</v>
          </cell>
          <cell r="R1211" t="str">
            <v/>
          </cell>
          <cell r="S1211" t="str">
            <v/>
          </cell>
          <cell r="T1211" t="str">
            <v/>
          </cell>
          <cell r="U1211" t="str">
            <v/>
          </cell>
          <cell r="V1211" t="str">
            <v/>
          </cell>
          <cell r="W1211" t="str">
            <v/>
          </cell>
          <cell r="X1211" t="str">
            <v/>
          </cell>
          <cell r="Z1211">
            <v>0</v>
          </cell>
          <cell r="AA1211" t="e">
            <v>#VALUE!</v>
          </cell>
          <cell r="AM1211" t="str">
            <v/>
          </cell>
          <cell r="AO1211" t="e">
            <v>#VALUE!</v>
          </cell>
          <cell r="AP1211" t="e">
            <v>#VALUE!</v>
          </cell>
          <cell r="AQ1211">
            <v>0</v>
          </cell>
          <cell r="AR1211" t="e">
            <v>#VALUE!</v>
          </cell>
          <cell r="AS1211" t="e">
            <v>#VALUE!</v>
          </cell>
          <cell r="AT1211" t="e">
            <v>#VALUE!</v>
          </cell>
          <cell r="AU1211" t="e">
            <v>#VALUE!</v>
          </cell>
          <cell r="AV1211" t="e">
            <v>#VALUE!</v>
          </cell>
          <cell r="AW1211" t="e">
            <v>#VALUE!</v>
          </cell>
          <cell r="AY1211" t="e">
            <v>#VALUE!</v>
          </cell>
          <cell r="AZ1211" t="str">
            <v>F18</v>
          </cell>
          <cell r="BA1211">
            <v>0</v>
          </cell>
          <cell r="BB1211" t="str">
            <v/>
          </cell>
          <cell r="BC1211" t="str">
            <v>F18</v>
          </cell>
        </row>
        <row r="1212">
          <cell r="A1212" t="str">
            <v/>
          </cell>
          <cell r="B1212" t="str">
            <v>3</v>
          </cell>
          <cell r="C1212" t="str">
            <v/>
          </cell>
          <cell r="D1212" t="str">
            <v/>
          </cell>
          <cell r="E1212" t="str">
            <v/>
          </cell>
          <cell r="F1212" t="str">
            <v/>
          </cell>
          <cell r="G1212" t="str">
            <v/>
          </cell>
          <cell r="H1212" t="str">
            <v/>
          </cell>
          <cell r="I1212" t="str">
            <v/>
          </cell>
          <cell r="J1212" t="str">
            <v/>
          </cell>
          <cell r="K1212">
            <v>0</v>
          </cell>
          <cell r="L1212" t="str">
            <v/>
          </cell>
          <cell r="M1212" t="str">
            <v/>
          </cell>
          <cell r="N1212" t="str">
            <v/>
          </cell>
          <cell r="O1212" t="str">
            <v/>
          </cell>
          <cell r="P1212" t="str">
            <v/>
          </cell>
          <cell r="Q1212" t="e">
            <v>#VALUE!</v>
          </cell>
          <cell r="R1212" t="str">
            <v/>
          </cell>
          <cell r="S1212" t="str">
            <v/>
          </cell>
          <cell r="T1212" t="str">
            <v/>
          </cell>
          <cell r="U1212" t="str">
            <v/>
          </cell>
          <cell r="V1212" t="str">
            <v/>
          </cell>
          <cell r="W1212" t="str">
            <v/>
          </cell>
          <cell r="X1212" t="str">
            <v/>
          </cell>
          <cell r="Z1212">
            <v>0</v>
          </cell>
          <cell r="AA1212" t="e">
            <v>#VALUE!</v>
          </cell>
          <cell r="AM1212" t="str">
            <v/>
          </cell>
          <cell r="AO1212" t="e">
            <v>#VALUE!</v>
          </cell>
          <cell r="AP1212" t="e">
            <v>#VALUE!</v>
          </cell>
          <cell r="AQ1212">
            <v>0</v>
          </cell>
          <cell r="AR1212" t="e">
            <v>#VALUE!</v>
          </cell>
          <cell r="AS1212" t="e">
            <v>#VALUE!</v>
          </cell>
          <cell r="AT1212" t="e">
            <v>#VALUE!</v>
          </cell>
          <cell r="AU1212" t="e">
            <v>#VALUE!</v>
          </cell>
          <cell r="AV1212" t="e">
            <v>#VALUE!</v>
          </cell>
          <cell r="AW1212" t="e">
            <v>#VALUE!</v>
          </cell>
          <cell r="AY1212" t="e">
            <v>#VALUE!</v>
          </cell>
          <cell r="AZ1212" t="str">
            <v>F18</v>
          </cell>
          <cell r="BA1212">
            <v>0</v>
          </cell>
          <cell r="BB1212" t="str">
            <v/>
          </cell>
          <cell r="BC1212" t="str">
            <v>F18</v>
          </cell>
        </row>
        <row r="1213">
          <cell r="A1213" t="str">
            <v/>
          </cell>
          <cell r="B1213" t="str">
            <v>3</v>
          </cell>
          <cell r="C1213" t="str">
            <v/>
          </cell>
          <cell r="D1213" t="str">
            <v/>
          </cell>
          <cell r="E1213" t="str">
            <v/>
          </cell>
          <cell r="F1213" t="str">
            <v/>
          </cell>
          <cell r="G1213" t="str">
            <v/>
          </cell>
          <cell r="H1213" t="str">
            <v/>
          </cell>
          <cell r="I1213" t="str">
            <v/>
          </cell>
          <cell r="J1213" t="str">
            <v/>
          </cell>
          <cell r="K1213">
            <v>0</v>
          </cell>
          <cell r="L1213" t="str">
            <v/>
          </cell>
          <cell r="M1213" t="str">
            <v/>
          </cell>
          <cell r="N1213" t="str">
            <v/>
          </cell>
          <cell r="O1213" t="str">
            <v/>
          </cell>
          <cell r="P1213" t="str">
            <v/>
          </cell>
          <cell r="Q1213" t="e">
            <v>#VALUE!</v>
          </cell>
          <cell r="R1213" t="str">
            <v/>
          </cell>
          <cell r="S1213" t="str">
            <v/>
          </cell>
          <cell r="T1213" t="str">
            <v/>
          </cell>
          <cell r="U1213" t="str">
            <v/>
          </cell>
          <cell r="V1213" t="str">
            <v/>
          </cell>
          <cell r="W1213" t="str">
            <v/>
          </cell>
          <cell r="X1213" t="str">
            <v/>
          </cell>
          <cell r="Z1213">
            <v>0</v>
          </cell>
          <cell r="AA1213" t="e">
            <v>#VALUE!</v>
          </cell>
          <cell r="AM1213" t="str">
            <v/>
          </cell>
          <cell r="AO1213" t="e">
            <v>#VALUE!</v>
          </cell>
          <cell r="AP1213" t="e">
            <v>#VALUE!</v>
          </cell>
          <cell r="AQ1213">
            <v>0</v>
          </cell>
          <cell r="AR1213" t="e">
            <v>#VALUE!</v>
          </cell>
          <cell r="AS1213" t="e">
            <v>#VALUE!</v>
          </cell>
          <cell r="AT1213" t="e">
            <v>#VALUE!</v>
          </cell>
          <cell r="AU1213" t="e">
            <v>#VALUE!</v>
          </cell>
          <cell r="AV1213" t="e">
            <v>#VALUE!</v>
          </cell>
          <cell r="AW1213" t="e">
            <v>#VALUE!</v>
          </cell>
          <cell r="AY1213" t="e">
            <v>#VALUE!</v>
          </cell>
          <cell r="AZ1213" t="str">
            <v>F18</v>
          </cell>
          <cell r="BA1213">
            <v>0</v>
          </cell>
          <cell r="BB1213" t="str">
            <v/>
          </cell>
          <cell r="BC1213" t="str">
            <v>F18</v>
          </cell>
        </row>
        <row r="1214">
          <cell r="A1214" t="str">
            <v/>
          </cell>
          <cell r="B1214" t="str">
            <v>3</v>
          </cell>
          <cell r="C1214" t="str">
            <v/>
          </cell>
          <cell r="D1214" t="str">
            <v/>
          </cell>
          <cell r="E1214" t="str">
            <v/>
          </cell>
          <cell r="F1214" t="str">
            <v/>
          </cell>
          <cell r="G1214" t="str">
            <v/>
          </cell>
          <cell r="H1214" t="str">
            <v/>
          </cell>
          <cell r="I1214" t="str">
            <v/>
          </cell>
          <cell r="J1214" t="str">
            <v/>
          </cell>
          <cell r="K1214">
            <v>0</v>
          </cell>
          <cell r="L1214" t="str">
            <v/>
          </cell>
          <cell r="M1214" t="str">
            <v/>
          </cell>
          <cell r="N1214" t="str">
            <v/>
          </cell>
          <cell r="O1214" t="str">
            <v/>
          </cell>
          <cell r="P1214" t="str">
            <v/>
          </cell>
          <cell r="Q1214" t="e">
            <v>#VALUE!</v>
          </cell>
          <cell r="R1214" t="str">
            <v/>
          </cell>
          <cell r="S1214" t="str">
            <v/>
          </cell>
          <cell r="T1214" t="str">
            <v/>
          </cell>
          <cell r="U1214" t="str">
            <v/>
          </cell>
          <cell r="V1214" t="str">
            <v/>
          </cell>
          <cell r="W1214" t="str">
            <v/>
          </cell>
          <cell r="X1214" t="str">
            <v/>
          </cell>
          <cell r="Z1214">
            <v>0</v>
          </cell>
          <cell r="AA1214" t="e">
            <v>#VALUE!</v>
          </cell>
          <cell r="AM1214" t="str">
            <v/>
          </cell>
          <cell r="AO1214" t="e">
            <v>#VALUE!</v>
          </cell>
          <cell r="AP1214" t="e">
            <v>#VALUE!</v>
          </cell>
          <cell r="AQ1214">
            <v>0</v>
          </cell>
          <cell r="AR1214" t="e">
            <v>#VALUE!</v>
          </cell>
          <cell r="AS1214" t="e">
            <v>#VALUE!</v>
          </cell>
          <cell r="AT1214" t="e">
            <v>#VALUE!</v>
          </cell>
          <cell r="AU1214" t="e">
            <v>#VALUE!</v>
          </cell>
          <cell r="AV1214" t="e">
            <v>#VALUE!</v>
          </cell>
          <cell r="AW1214" t="e">
            <v>#VALUE!</v>
          </cell>
          <cell r="AY1214" t="e">
            <v>#VALUE!</v>
          </cell>
          <cell r="AZ1214" t="str">
            <v>F18</v>
          </cell>
          <cell r="BA1214">
            <v>0</v>
          </cell>
          <cell r="BB1214" t="str">
            <v/>
          </cell>
          <cell r="BC1214" t="str">
            <v>F18</v>
          </cell>
        </row>
        <row r="1215">
          <cell r="A1215" t="str">
            <v/>
          </cell>
          <cell r="B1215" t="str">
            <v>3</v>
          </cell>
          <cell r="C1215" t="str">
            <v/>
          </cell>
          <cell r="D1215" t="str">
            <v/>
          </cell>
          <cell r="E1215" t="str">
            <v/>
          </cell>
          <cell r="F1215" t="str">
            <v/>
          </cell>
          <cell r="G1215" t="str">
            <v/>
          </cell>
          <cell r="H1215" t="str">
            <v/>
          </cell>
          <cell r="I1215" t="str">
            <v/>
          </cell>
          <cell r="J1215" t="str">
            <v/>
          </cell>
          <cell r="K1215">
            <v>0</v>
          </cell>
          <cell r="L1215" t="str">
            <v/>
          </cell>
          <cell r="M1215" t="str">
            <v/>
          </cell>
          <cell r="N1215" t="str">
            <v/>
          </cell>
          <cell r="O1215" t="str">
            <v/>
          </cell>
          <cell r="P1215" t="str">
            <v/>
          </cell>
          <cell r="Q1215" t="e">
            <v>#VALUE!</v>
          </cell>
          <cell r="R1215" t="str">
            <v/>
          </cell>
          <cell r="S1215" t="str">
            <v/>
          </cell>
          <cell r="T1215" t="str">
            <v/>
          </cell>
          <cell r="U1215" t="str">
            <v/>
          </cell>
          <cell r="V1215" t="str">
            <v/>
          </cell>
          <cell r="W1215" t="str">
            <v/>
          </cell>
          <cell r="X1215" t="str">
            <v/>
          </cell>
          <cell r="Z1215">
            <v>0</v>
          </cell>
          <cell r="AA1215" t="e">
            <v>#VALUE!</v>
          </cell>
          <cell r="AM1215" t="str">
            <v/>
          </cell>
          <cell r="AO1215" t="e">
            <v>#VALUE!</v>
          </cell>
          <cell r="AP1215" t="e">
            <v>#VALUE!</v>
          </cell>
          <cell r="AQ1215">
            <v>0</v>
          </cell>
          <cell r="AR1215" t="e">
            <v>#VALUE!</v>
          </cell>
          <cell r="AS1215" t="e">
            <v>#VALUE!</v>
          </cell>
          <cell r="AT1215" t="e">
            <v>#VALUE!</v>
          </cell>
          <cell r="AU1215" t="e">
            <v>#VALUE!</v>
          </cell>
          <cell r="AV1215" t="e">
            <v>#VALUE!</v>
          </cell>
          <cell r="AW1215" t="e">
            <v>#VALUE!</v>
          </cell>
          <cell r="AY1215" t="e">
            <v>#VALUE!</v>
          </cell>
          <cell r="AZ1215" t="str">
            <v>F18</v>
          </cell>
          <cell r="BA1215">
            <v>0</v>
          </cell>
          <cell r="BB1215" t="str">
            <v/>
          </cell>
          <cell r="BC1215" t="str">
            <v>F18</v>
          </cell>
        </row>
        <row r="1216">
          <cell r="A1216" t="str">
            <v/>
          </cell>
          <cell r="B1216" t="str">
            <v>3</v>
          </cell>
          <cell r="C1216" t="str">
            <v/>
          </cell>
          <cell r="D1216" t="str">
            <v/>
          </cell>
          <cell r="E1216" t="str">
            <v/>
          </cell>
          <cell r="F1216" t="str">
            <v/>
          </cell>
          <cell r="G1216" t="str">
            <v/>
          </cell>
          <cell r="H1216" t="str">
            <v/>
          </cell>
          <cell r="I1216" t="str">
            <v/>
          </cell>
          <cell r="J1216" t="str">
            <v/>
          </cell>
          <cell r="K1216">
            <v>0</v>
          </cell>
          <cell r="L1216" t="str">
            <v/>
          </cell>
          <cell r="M1216" t="str">
            <v/>
          </cell>
          <cell r="N1216" t="str">
            <v/>
          </cell>
          <cell r="O1216" t="str">
            <v/>
          </cell>
          <cell r="P1216" t="str">
            <v/>
          </cell>
          <cell r="Q1216" t="e">
            <v>#VALUE!</v>
          </cell>
          <cell r="R1216" t="str">
            <v/>
          </cell>
          <cell r="S1216" t="str">
            <v/>
          </cell>
          <cell r="T1216" t="str">
            <v/>
          </cell>
          <cell r="U1216" t="str">
            <v/>
          </cell>
          <cell r="V1216" t="str">
            <v/>
          </cell>
          <cell r="W1216" t="str">
            <v/>
          </cell>
          <cell r="X1216" t="str">
            <v/>
          </cell>
          <cell r="Z1216">
            <v>0</v>
          </cell>
          <cell r="AA1216" t="e">
            <v>#VALUE!</v>
          </cell>
          <cell r="AM1216" t="str">
            <v/>
          </cell>
          <cell r="AO1216" t="e">
            <v>#VALUE!</v>
          </cell>
          <cell r="AP1216" t="e">
            <v>#VALUE!</v>
          </cell>
          <cell r="AQ1216">
            <v>0</v>
          </cell>
          <cell r="AR1216" t="e">
            <v>#VALUE!</v>
          </cell>
          <cell r="AS1216" t="e">
            <v>#VALUE!</v>
          </cell>
          <cell r="AT1216" t="e">
            <v>#VALUE!</v>
          </cell>
          <cell r="AU1216" t="e">
            <v>#VALUE!</v>
          </cell>
          <cell r="AV1216" t="e">
            <v>#VALUE!</v>
          </cell>
          <cell r="AW1216" t="e">
            <v>#VALUE!</v>
          </cell>
          <cell r="AY1216" t="e">
            <v>#VALUE!</v>
          </cell>
          <cell r="AZ1216" t="str">
            <v>F18</v>
          </cell>
          <cell r="BA1216">
            <v>0</v>
          </cell>
          <cell r="BB1216" t="str">
            <v/>
          </cell>
          <cell r="BC1216" t="str">
            <v>F18</v>
          </cell>
        </row>
        <row r="1217">
          <cell r="A1217" t="str">
            <v/>
          </cell>
          <cell r="B1217" t="str">
            <v>3</v>
          </cell>
          <cell r="C1217" t="str">
            <v/>
          </cell>
          <cell r="D1217" t="str">
            <v/>
          </cell>
          <cell r="E1217" t="str">
            <v/>
          </cell>
          <cell r="F1217" t="str">
            <v/>
          </cell>
          <cell r="G1217" t="str">
            <v/>
          </cell>
          <cell r="H1217" t="str">
            <v/>
          </cell>
          <cell r="I1217" t="str">
            <v/>
          </cell>
          <cell r="J1217" t="str">
            <v/>
          </cell>
          <cell r="K1217">
            <v>0</v>
          </cell>
          <cell r="L1217" t="str">
            <v/>
          </cell>
          <cell r="M1217" t="str">
            <v/>
          </cell>
          <cell r="N1217" t="str">
            <v/>
          </cell>
          <cell r="O1217" t="str">
            <v/>
          </cell>
          <cell r="P1217" t="str">
            <v/>
          </cell>
          <cell r="Q1217" t="e">
            <v>#VALUE!</v>
          </cell>
          <cell r="R1217" t="str">
            <v/>
          </cell>
          <cell r="S1217" t="str">
            <v/>
          </cell>
          <cell r="T1217" t="str">
            <v/>
          </cell>
          <cell r="U1217" t="str">
            <v/>
          </cell>
          <cell r="V1217" t="str">
            <v/>
          </cell>
          <cell r="W1217" t="str">
            <v/>
          </cell>
          <cell r="X1217" t="str">
            <v/>
          </cell>
          <cell r="Z1217">
            <v>0</v>
          </cell>
          <cell r="AA1217" t="e">
            <v>#VALUE!</v>
          </cell>
          <cell r="AM1217" t="str">
            <v/>
          </cell>
          <cell r="AO1217" t="e">
            <v>#VALUE!</v>
          </cell>
          <cell r="AP1217" t="e">
            <v>#VALUE!</v>
          </cell>
          <cell r="AQ1217">
            <v>0</v>
          </cell>
          <cell r="AR1217" t="e">
            <v>#VALUE!</v>
          </cell>
          <cell r="AS1217" t="e">
            <v>#VALUE!</v>
          </cell>
          <cell r="AT1217" t="e">
            <v>#VALUE!</v>
          </cell>
          <cell r="AU1217" t="e">
            <v>#VALUE!</v>
          </cell>
          <cell r="AV1217" t="e">
            <v>#VALUE!</v>
          </cell>
          <cell r="AW1217" t="e">
            <v>#VALUE!</v>
          </cell>
          <cell r="AY1217" t="e">
            <v>#VALUE!</v>
          </cell>
          <cell r="AZ1217" t="str">
            <v>F18</v>
          </cell>
          <cell r="BA1217">
            <v>0</v>
          </cell>
          <cell r="BB1217" t="str">
            <v/>
          </cell>
          <cell r="BC1217" t="str">
            <v>F18</v>
          </cell>
        </row>
        <row r="1218">
          <cell r="A1218" t="str">
            <v/>
          </cell>
          <cell r="B1218" t="str">
            <v>3</v>
          </cell>
          <cell r="C1218" t="str">
            <v/>
          </cell>
          <cell r="D1218" t="str">
            <v/>
          </cell>
          <cell r="E1218" t="str">
            <v/>
          </cell>
          <cell r="F1218" t="str">
            <v/>
          </cell>
          <cell r="G1218" t="str">
            <v/>
          </cell>
          <cell r="H1218" t="str">
            <v/>
          </cell>
          <cell r="I1218" t="str">
            <v/>
          </cell>
          <cell r="J1218" t="str">
            <v/>
          </cell>
          <cell r="K1218">
            <v>0</v>
          </cell>
          <cell r="L1218" t="str">
            <v/>
          </cell>
          <cell r="M1218" t="str">
            <v/>
          </cell>
          <cell r="N1218" t="str">
            <v/>
          </cell>
          <cell r="O1218" t="str">
            <v/>
          </cell>
          <cell r="P1218" t="str">
            <v/>
          </cell>
          <cell r="Q1218" t="e">
            <v>#VALUE!</v>
          </cell>
          <cell r="R1218" t="str">
            <v/>
          </cell>
          <cell r="S1218" t="str">
            <v/>
          </cell>
          <cell r="T1218" t="str">
            <v/>
          </cell>
          <cell r="U1218" t="str">
            <v/>
          </cell>
          <cell r="V1218" t="str">
            <v/>
          </cell>
          <cell r="W1218" t="str">
            <v/>
          </cell>
          <cell r="X1218" t="str">
            <v/>
          </cell>
          <cell r="Z1218">
            <v>0</v>
          </cell>
          <cell r="AA1218" t="e">
            <v>#VALUE!</v>
          </cell>
          <cell r="AM1218" t="str">
            <v/>
          </cell>
          <cell r="AO1218" t="e">
            <v>#VALUE!</v>
          </cell>
          <cell r="AP1218" t="e">
            <v>#VALUE!</v>
          </cell>
          <cell r="AQ1218">
            <v>0</v>
          </cell>
          <cell r="AR1218" t="e">
            <v>#VALUE!</v>
          </cell>
          <cell r="AS1218" t="e">
            <v>#VALUE!</v>
          </cell>
          <cell r="AT1218" t="e">
            <v>#VALUE!</v>
          </cell>
          <cell r="AU1218" t="e">
            <v>#VALUE!</v>
          </cell>
          <cell r="AV1218" t="e">
            <v>#VALUE!</v>
          </cell>
          <cell r="AW1218" t="e">
            <v>#VALUE!</v>
          </cell>
          <cell r="AY1218" t="e">
            <v>#VALUE!</v>
          </cell>
          <cell r="AZ1218" t="str">
            <v>F18</v>
          </cell>
          <cell r="BA1218">
            <v>0</v>
          </cell>
          <cell r="BB1218" t="str">
            <v/>
          </cell>
          <cell r="BC1218" t="str">
            <v>F18</v>
          </cell>
        </row>
        <row r="1219">
          <cell r="A1219" t="str">
            <v/>
          </cell>
          <cell r="B1219" t="str">
            <v>3</v>
          </cell>
          <cell r="C1219" t="str">
            <v/>
          </cell>
          <cell r="D1219" t="str">
            <v/>
          </cell>
          <cell r="E1219" t="str">
            <v/>
          </cell>
          <cell r="F1219" t="str">
            <v/>
          </cell>
          <cell r="G1219" t="str">
            <v/>
          </cell>
          <cell r="H1219" t="str">
            <v/>
          </cell>
          <cell r="I1219" t="str">
            <v/>
          </cell>
          <cell r="J1219" t="str">
            <v/>
          </cell>
          <cell r="K1219">
            <v>0</v>
          </cell>
          <cell r="L1219" t="str">
            <v/>
          </cell>
          <cell r="M1219" t="str">
            <v/>
          </cell>
          <cell r="N1219" t="str">
            <v/>
          </cell>
          <cell r="O1219" t="str">
            <v/>
          </cell>
          <cell r="P1219" t="str">
            <v/>
          </cell>
          <cell r="Q1219" t="e">
            <v>#VALUE!</v>
          </cell>
          <cell r="R1219" t="str">
            <v/>
          </cell>
          <cell r="S1219" t="str">
            <v/>
          </cell>
          <cell r="T1219" t="str">
            <v/>
          </cell>
          <cell r="U1219" t="str">
            <v/>
          </cell>
          <cell r="V1219" t="str">
            <v/>
          </cell>
          <cell r="W1219" t="str">
            <v/>
          </cell>
          <cell r="X1219" t="str">
            <v/>
          </cell>
          <cell r="Z1219">
            <v>0</v>
          </cell>
          <cell r="AA1219" t="e">
            <v>#VALUE!</v>
          </cell>
          <cell r="AM1219" t="str">
            <v/>
          </cell>
          <cell r="AO1219" t="e">
            <v>#VALUE!</v>
          </cell>
          <cell r="AP1219" t="e">
            <v>#VALUE!</v>
          </cell>
          <cell r="AQ1219">
            <v>0</v>
          </cell>
          <cell r="AR1219" t="e">
            <v>#VALUE!</v>
          </cell>
          <cell r="AS1219" t="e">
            <v>#VALUE!</v>
          </cell>
          <cell r="AT1219" t="e">
            <v>#VALUE!</v>
          </cell>
          <cell r="AU1219" t="e">
            <v>#VALUE!</v>
          </cell>
          <cell r="AV1219" t="e">
            <v>#VALUE!</v>
          </cell>
          <cell r="AW1219" t="e">
            <v>#VALUE!</v>
          </cell>
          <cell r="AY1219" t="e">
            <v>#VALUE!</v>
          </cell>
          <cell r="AZ1219" t="str">
            <v>F18</v>
          </cell>
          <cell r="BA1219">
            <v>0</v>
          </cell>
          <cell r="BB1219" t="str">
            <v/>
          </cell>
          <cell r="BC1219" t="str">
            <v>F18</v>
          </cell>
        </row>
        <row r="1220">
          <cell r="A1220" t="str">
            <v/>
          </cell>
          <cell r="B1220" t="str">
            <v>3</v>
          </cell>
          <cell r="C1220" t="str">
            <v/>
          </cell>
          <cell r="D1220" t="str">
            <v/>
          </cell>
          <cell r="E1220" t="str">
            <v/>
          </cell>
          <cell r="F1220" t="str">
            <v/>
          </cell>
          <cell r="G1220" t="str">
            <v/>
          </cell>
          <cell r="H1220" t="str">
            <v/>
          </cell>
          <cell r="I1220" t="str">
            <v/>
          </cell>
          <cell r="J1220" t="str">
            <v/>
          </cell>
          <cell r="K1220">
            <v>0</v>
          </cell>
          <cell r="L1220" t="str">
            <v/>
          </cell>
          <cell r="M1220" t="str">
            <v/>
          </cell>
          <cell r="N1220" t="str">
            <v/>
          </cell>
          <cell r="O1220" t="str">
            <v/>
          </cell>
          <cell r="P1220" t="str">
            <v/>
          </cell>
          <cell r="Q1220" t="e">
            <v>#VALUE!</v>
          </cell>
          <cell r="R1220" t="str">
            <v/>
          </cell>
          <cell r="S1220" t="str">
            <v/>
          </cell>
          <cell r="T1220" t="str">
            <v/>
          </cell>
          <cell r="U1220" t="str">
            <v/>
          </cell>
          <cell r="V1220" t="str">
            <v/>
          </cell>
          <cell r="W1220" t="str">
            <v/>
          </cell>
          <cell r="X1220" t="str">
            <v/>
          </cell>
          <cell r="Z1220">
            <v>0</v>
          </cell>
          <cell r="AA1220" t="e">
            <v>#VALUE!</v>
          </cell>
          <cell r="AM1220" t="str">
            <v/>
          </cell>
          <cell r="AO1220" t="e">
            <v>#VALUE!</v>
          </cell>
          <cell r="AP1220" t="e">
            <v>#VALUE!</v>
          </cell>
          <cell r="AQ1220">
            <v>0</v>
          </cell>
          <cell r="AR1220" t="e">
            <v>#VALUE!</v>
          </cell>
          <cell r="AS1220" t="e">
            <v>#VALUE!</v>
          </cell>
          <cell r="AT1220" t="e">
            <v>#VALUE!</v>
          </cell>
          <cell r="AU1220" t="e">
            <v>#VALUE!</v>
          </cell>
          <cell r="AV1220" t="e">
            <v>#VALUE!</v>
          </cell>
          <cell r="AW1220" t="e">
            <v>#VALUE!</v>
          </cell>
          <cell r="AY1220" t="e">
            <v>#VALUE!</v>
          </cell>
          <cell r="AZ1220" t="str">
            <v>F18</v>
          </cell>
          <cell r="BA1220">
            <v>0</v>
          </cell>
          <cell r="BB1220" t="str">
            <v/>
          </cell>
          <cell r="BC1220" t="str">
            <v>F18</v>
          </cell>
        </row>
        <row r="1221">
          <cell r="A1221" t="str">
            <v/>
          </cell>
          <cell r="B1221" t="str">
            <v>3</v>
          </cell>
          <cell r="C1221" t="str">
            <v/>
          </cell>
          <cell r="D1221" t="str">
            <v/>
          </cell>
          <cell r="E1221" t="str">
            <v/>
          </cell>
          <cell r="F1221" t="str">
            <v/>
          </cell>
          <cell r="G1221" t="str">
            <v/>
          </cell>
          <cell r="H1221" t="str">
            <v/>
          </cell>
          <cell r="I1221" t="str">
            <v/>
          </cell>
          <cell r="J1221" t="str">
            <v/>
          </cell>
          <cell r="K1221">
            <v>0</v>
          </cell>
          <cell r="L1221" t="str">
            <v/>
          </cell>
          <cell r="M1221" t="str">
            <v/>
          </cell>
          <cell r="N1221" t="str">
            <v/>
          </cell>
          <cell r="O1221" t="str">
            <v/>
          </cell>
          <cell r="P1221" t="str">
            <v/>
          </cell>
          <cell r="Q1221" t="e">
            <v>#VALUE!</v>
          </cell>
          <cell r="R1221" t="str">
            <v/>
          </cell>
          <cell r="S1221" t="str">
            <v/>
          </cell>
          <cell r="T1221" t="str">
            <v/>
          </cell>
          <cell r="U1221" t="str">
            <v/>
          </cell>
          <cell r="V1221" t="str">
            <v/>
          </cell>
          <cell r="W1221" t="str">
            <v/>
          </cell>
          <cell r="X1221" t="str">
            <v/>
          </cell>
          <cell r="Z1221">
            <v>0</v>
          </cell>
          <cell r="AA1221" t="e">
            <v>#VALUE!</v>
          </cell>
          <cell r="AM1221" t="str">
            <v/>
          </cell>
          <cell r="AO1221" t="e">
            <v>#VALUE!</v>
          </cell>
          <cell r="AP1221" t="e">
            <v>#VALUE!</v>
          </cell>
          <cell r="AQ1221">
            <v>0</v>
          </cell>
          <cell r="AR1221" t="e">
            <v>#VALUE!</v>
          </cell>
          <cell r="AS1221" t="e">
            <v>#VALUE!</v>
          </cell>
          <cell r="AT1221" t="e">
            <v>#VALUE!</v>
          </cell>
          <cell r="AU1221" t="e">
            <v>#VALUE!</v>
          </cell>
          <cell r="AV1221" t="e">
            <v>#VALUE!</v>
          </cell>
          <cell r="AW1221" t="e">
            <v>#VALUE!</v>
          </cell>
          <cell r="AY1221" t="e">
            <v>#VALUE!</v>
          </cell>
          <cell r="AZ1221" t="str">
            <v>F18</v>
          </cell>
          <cell r="BA1221">
            <v>0</v>
          </cell>
          <cell r="BB1221" t="str">
            <v/>
          </cell>
          <cell r="BC1221" t="str">
            <v>F18</v>
          </cell>
        </row>
        <row r="1222">
          <cell r="A1222" t="str">
            <v/>
          </cell>
          <cell r="B1222" t="str">
            <v>3</v>
          </cell>
          <cell r="C1222" t="str">
            <v/>
          </cell>
          <cell r="D1222" t="str">
            <v/>
          </cell>
          <cell r="E1222" t="str">
            <v/>
          </cell>
          <cell r="F1222" t="str">
            <v/>
          </cell>
          <cell r="G1222" t="str">
            <v/>
          </cell>
          <cell r="H1222" t="str">
            <v/>
          </cell>
          <cell r="I1222" t="str">
            <v/>
          </cell>
          <cell r="J1222" t="str">
            <v/>
          </cell>
          <cell r="K1222">
            <v>0</v>
          </cell>
          <cell r="L1222" t="str">
            <v/>
          </cell>
          <cell r="M1222" t="str">
            <v/>
          </cell>
          <cell r="N1222" t="str">
            <v/>
          </cell>
          <cell r="O1222" t="str">
            <v/>
          </cell>
          <cell r="P1222" t="str">
            <v/>
          </cell>
          <cell r="Q1222" t="e">
            <v>#VALUE!</v>
          </cell>
          <cell r="R1222" t="str">
            <v/>
          </cell>
          <cell r="S1222" t="str">
            <v/>
          </cell>
          <cell r="T1222" t="str">
            <v/>
          </cell>
          <cell r="U1222" t="str">
            <v/>
          </cell>
          <cell r="V1222" t="str">
            <v/>
          </cell>
          <cell r="W1222" t="str">
            <v/>
          </cell>
          <cell r="X1222" t="str">
            <v/>
          </cell>
          <cell r="Z1222">
            <v>0</v>
          </cell>
          <cell r="AA1222" t="e">
            <v>#VALUE!</v>
          </cell>
          <cell r="AM1222" t="str">
            <v/>
          </cell>
          <cell r="AO1222" t="e">
            <v>#VALUE!</v>
          </cell>
          <cell r="AP1222" t="e">
            <v>#VALUE!</v>
          </cell>
          <cell r="AQ1222">
            <v>0</v>
          </cell>
          <cell r="AR1222" t="e">
            <v>#VALUE!</v>
          </cell>
          <cell r="AS1222" t="e">
            <v>#VALUE!</v>
          </cell>
          <cell r="AT1222" t="e">
            <v>#VALUE!</v>
          </cell>
          <cell r="AU1222" t="e">
            <v>#VALUE!</v>
          </cell>
          <cell r="AV1222" t="e">
            <v>#VALUE!</v>
          </cell>
          <cell r="AW1222" t="e">
            <v>#VALUE!</v>
          </cell>
          <cell r="AY1222" t="e">
            <v>#VALUE!</v>
          </cell>
          <cell r="AZ1222" t="str">
            <v>F18</v>
          </cell>
          <cell r="BA1222">
            <v>0</v>
          </cell>
          <cell r="BB1222" t="str">
            <v/>
          </cell>
          <cell r="BC1222" t="str">
            <v>F18</v>
          </cell>
        </row>
        <row r="1223">
          <cell r="A1223" t="str">
            <v/>
          </cell>
          <cell r="B1223" t="str">
            <v>3</v>
          </cell>
          <cell r="C1223" t="str">
            <v/>
          </cell>
          <cell r="D1223" t="str">
            <v/>
          </cell>
          <cell r="E1223" t="str">
            <v/>
          </cell>
          <cell r="F1223" t="str">
            <v/>
          </cell>
          <cell r="G1223" t="str">
            <v/>
          </cell>
          <cell r="H1223" t="str">
            <v/>
          </cell>
          <cell r="I1223" t="str">
            <v/>
          </cell>
          <cell r="J1223" t="str">
            <v/>
          </cell>
          <cell r="K1223">
            <v>0</v>
          </cell>
          <cell r="L1223" t="str">
            <v/>
          </cell>
          <cell r="M1223" t="str">
            <v/>
          </cell>
          <cell r="N1223" t="str">
            <v/>
          </cell>
          <cell r="O1223" t="str">
            <v/>
          </cell>
          <cell r="P1223" t="str">
            <v/>
          </cell>
          <cell r="Q1223" t="e">
            <v>#VALUE!</v>
          </cell>
          <cell r="R1223" t="str">
            <v/>
          </cell>
          <cell r="S1223" t="str">
            <v/>
          </cell>
          <cell r="T1223" t="str">
            <v/>
          </cell>
          <cell r="U1223" t="str">
            <v/>
          </cell>
          <cell r="V1223" t="str">
            <v/>
          </cell>
          <cell r="W1223" t="str">
            <v/>
          </cell>
          <cell r="X1223" t="str">
            <v/>
          </cell>
          <cell r="Z1223">
            <v>0</v>
          </cell>
          <cell r="AA1223" t="e">
            <v>#VALUE!</v>
          </cell>
          <cell r="AM1223" t="str">
            <v/>
          </cell>
          <cell r="AO1223" t="e">
            <v>#VALUE!</v>
          </cell>
          <cell r="AP1223" t="e">
            <v>#VALUE!</v>
          </cell>
          <cell r="AQ1223">
            <v>0</v>
          </cell>
          <cell r="AR1223" t="e">
            <v>#VALUE!</v>
          </cell>
          <cell r="AS1223" t="e">
            <v>#VALUE!</v>
          </cell>
          <cell r="AT1223" t="e">
            <v>#VALUE!</v>
          </cell>
          <cell r="AU1223" t="e">
            <v>#VALUE!</v>
          </cell>
          <cell r="AV1223" t="e">
            <v>#VALUE!</v>
          </cell>
          <cell r="AW1223" t="e">
            <v>#VALUE!</v>
          </cell>
          <cell r="AY1223" t="e">
            <v>#VALUE!</v>
          </cell>
          <cell r="AZ1223" t="str">
            <v>F18</v>
          </cell>
          <cell r="BA1223">
            <v>0</v>
          </cell>
          <cell r="BB1223" t="str">
            <v/>
          </cell>
          <cell r="BC1223" t="str">
            <v>F18</v>
          </cell>
        </row>
        <row r="1224">
          <cell r="A1224" t="str">
            <v/>
          </cell>
          <cell r="B1224" t="str">
            <v>3</v>
          </cell>
          <cell r="C1224" t="str">
            <v/>
          </cell>
          <cell r="D1224" t="str">
            <v/>
          </cell>
          <cell r="E1224" t="str">
            <v/>
          </cell>
          <cell r="F1224" t="str">
            <v/>
          </cell>
          <cell r="G1224" t="str">
            <v/>
          </cell>
          <cell r="H1224" t="str">
            <v/>
          </cell>
          <cell r="I1224" t="str">
            <v/>
          </cell>
          <cell r="J1224" t="str">
            <v/>
          </cell>
          <cell r="K1224">
            <v>0</v>
          </cell>
          <cell r="L1224" t="str">
            <v/>
          </cell>
          <cell r="M1224" t="str">
            <v/>
          </cell>
          <cell r="N1224" t="str">
            <v/>
          </cell>
          <cell r="O1224" t="str">
            <v/>
          </cell>
          <cell r="P1224" t="str">
            <v/>
          </cell>
          <cell r="Q1224" t="e">
            <v>#VALUE!</v>
          </cell>
          <cell r="R1224" t="str">
            <v/>
          </cell>
          <cell r="S1224" t="str">
            <v/>
          </cell>
          <cell r="T1224" t="str">
            <v/>
          </cell>
          <cell r="U1224" t="str">
            <v/>
          </cell>
          <cell r="V1224" t="str">
            <v/>
          </cell>
          <cell r="W1224" t="str">
            <v/>
          </cell>
          <cell r="X1224" t="str">
            <v/>
          </cell>
          <cell r="Z1224">
            <v>0</v>
          </cell>
          <cell r="AA1224" t="e">
            <v>#VALUE!</v>
          </cell>
          <cell r="AM1224" t="str">
            <v/>
          </cell>
          <cell r="AO1224" t="e">
            <v>#VALUE!</v>
          </cell>
          <cell r="AP1224" t="e">
            <v>#VALUE!</v>
          </cell>
          <cell r="AQ1224">
            <v>0</v>
          </cell>
          <cell r="AR1224" t="e">
            <v>#VALUE!</v>
          </cell>
          <cell r="AS1224" t="e">
            <v>#VALUE!</v>
          </cell>
          <cell r="AT1224" t="e">
            <v>#VALUE!</v>
          </cell>
          <cell r="AU1224" t="e">
            <v>#VALUE!</v>
          </cell>
          <cell r="AV1224" t="e">
            <v>#VALUE!</v>
          </cell>
          <cell r="AW1224" t="e">
            <v>#VALUE!</v>
          </cell>
          <cell r="AY1224" t="e">
            <v>#VALUE!</v>
          </cell>
          <cell r="AZ1224" t="str">
            <v>F18</v>
          </cell>
          <cell r="BA1224">
            <v>0</v>
          </cell>
          <cell r="BB1224" t="str">
            <v/>
          </cell>
          <cell r="BC1224" t="str">
            <v>F18</v>
          </cell>
        </row>
        <row r="1225">
          <cell r="A1225" t="str">
            <v/>
          </cell>
          <cell r="B1225" t="str">
            <v>3</v>
          </cell>
          <cell r="C1225" t="str">
            <v/>
          </cell>
          <cell r="D1225" t="str">
            <v/>
          </cell>
          <cell r="E1225" t="str">
            <v/>
          </cell>
          <cell r="F1225" t="str">
            <v/>
          </cell>
          <cell r="G1225" t="str">
            <v/>
          </cell>
          <cell r="H1225" t="str">
            <v/>
          </cell>
          <cell r="I1225" t="str">
            <v/>
          </cell>
          <cell r="J1225" t="str">
            <v/>
          </cell>
          <cell r="K1225">
            <v>0</v>
          </cell>
          <cell r="L1225" t="str">
            <v/>
          </cell>
          <cell r="M1225" t="str">
            <v/>
          </cell>
          <cell r="N1225" t="str">
            <v/>
          </cell>
          <cell r="O1225" t="str">
            <v/>
          </cell>
          <cell r="P1225" t="str">
            <v/>
          </cell>
          <cell r="Q1225" t="e">
            <v>#VALUE!</v>
          </cell>
          <cell r="R1225" t="str">
            <v/>
          </cell>
          <cell r="S1225" t="str">
            <v/>
          </cell>
          <cell r="T1225" t="str">
            <v/>
          </cell>
          <cell r="U1225" t="str">
            <v/>
          </cell>
          <cell r="V1225" t="str">
            <v/>
          </cell>
          <cell r="W1225" t="str">
            <v/>
          </cell>
          <cell r="X1225" t="str">
            <v/>
          </cell>
          <cell r="Z1225">
            <v>0</v>
          </cell>
          <cell r="AA1225" t="e">
            <v>#VALUE!</v>
          </cell>
          <cell r="AM1225" t="str">
            <v/>
          </cell>
          <cell r="AO1225" t="e">
            <v>#VALUE!</v>
          </cell>
          <cell r="AP1225" t="e">
            <v>#VALUE!</v>
          </cell>
          <cell r="AQ1225">
            <v>0</v>
          </cell>
          <cell r="AR1225" t="e">
            <v>#VALUE!</v>
          </cell>
          <cell r="AS1225" t="e">
            <v>#VALUE!</v>
          </cell>
          <cell r="AT1225" t="e">
            <v>#VALUE!</v>
          </cell>
          <cell r="AU1225" t="e">
            <v>#VALUE!</v>
          </cell>
          <cell r="AV1225" t="e">
            <v>#VALUE!</v>
          </cell>
          <cell r="AW1225" t="e">
            <v>#VALUE!</v>
          </cell>
          <cell r="AY1225" t="e">
            <v>#VALUE!</v>
          </cell>
          <cell r="AZ1225" t="str">
            <v>F18</v>
          </cell>
          <cell r="BA1225">
            <v>0</v>
          </cell>
          <cell r="BB1225" t="str">
            <v/>
          </cell>
          <cell r="BC1225" t="str">
            <v>F18</v>
          </cell>
        </row>
        <row r="1226">
          <cell r="A1226" t="str">
            <v/>
          </cell>
          <cell r="B1226" t="str">
            <v>3</v>
          </cell>
          <cell r="C1226" t="str">
            <v/>
          </cell>
          <cell r="D1226" t="str">
            <v/>
          </cell>
          <cell r="E1226" t="str">
            <v/>
          </cell>
          <cell r="F1226" t="str">
            <v/>
          </cell>
          <cell r="G1226" t="str">
            <v/>
          </cell>
          <cell r="H1226" t="str">
            <v/>
          </cell>
          <cell r="I1226" t="str">
            <v/>
          </cell>
          <cell r="J1226" t="str">
            <v/>
          </cell>
          <cell r="K1226">
            <v>0</v>
          </cell>
          <cell r="L1226" t="str">
            <v/>
          </cell>
          <cell r="M1226" t="str">
            <v/>
          </cell>
          <cell r="N1226" t="str">
            <v/>
          </cell>
          <cell r="O1226" t="str">
            <v/>
          </cell>
          <cell r="P1226" t="str">
            <v/>
          </cell>
          <cell r="Q1226" t="e">
            <v>#VALUE!</v>
          </cell>
          <cell r="R1226" t="str">
            <v/>
          </cell>
          <cell r="S1226" t="str">
            <v/>
          </cell>
          <cell r="T1226" t="str">
            <v/>
          </cell>
          <cell r="U1226" t="str">
            <v/>
          </cell>
          <cell r="V1226" t="str">
            <v/>
          </cell>
          <cell r="W1226" t="str">
            <v/>
          </cell>
          <cell r="X1226" t="str">
            <v/>
          </cell>
          <cell r="Z1226">
            <v>0</v>
          </cell>
          <cell r="AA1226" t="e">
            <v>#VALUE!</v>
          </cell>
          <cell r="AM1226" t="str">
            <v/>
          </cell>
          <cell r="AO1226" t="e">
            <v>#VALUE!</v>
          </cell>
          <cell r="AP1226" t="e">
            <v>#VALUE!</v>
          </cell>
          <cell r="AQ1226">
            <v>0</v>
          </cell>
          <cell r="AR1226" t="e">
            <v>#VALUE!</v>
          </cell>
          <cell r="AS1226" t="e">
            <v>#VALUE!</v>
          </cell>
          <cell r="AT1226" t="e">
            <v>#VALUE!</v>
          </cell>
          <cell r="AU1226" t="e">
            <v>#VALUE!</v>
          </cell>
          <cell r="AV1226" t="e">
            <v>#VALUE!</v>
          </cell>
          <cell r="AW1226" t="e">
            <v>#VALUE!</v>
          </cell>
          <cell r="AY1226" t="e">
            <v>#VALUE!</v>
          </cell>
          <cell r="AZ1226" t="str">
            <v>F18</v>
          </cell>
          <cell r="BA1226">
            <v>0</v>
          </cell>
          <cell r="BB1226" t="str">
            <v/>
          </cell>
          <cell r="BC1226" t="str">
            <v>F18</v>
          </cell>
        </row>
        <row r="1227">
          <cell r="A1227" t="str">
            <v/>
          </cell>
          <cell r="B1227" t="str">
            <v>3</v>
          </cell>
          <cell r="C1227" t="str">
            <v/>
          </cell>
          <cell r="D1227" t="str">
            <v/>
          </cell>
          <cell r="E1227" t="str">
            <v/>
          </cell>
          <cell r="F1227" t="str">
            <v/>
          </cell>
          <cell r="G1227" t="str">
            <v/>
          </cell>
          <cell r="H1227" t="str">
            <v/>
          </cell>
          <cell r="I1227" t="str">
            <v/>
          </cell>
          <cell r="J1227" t="str">
            <v/>
          </cell>
          <cell r="K1227">
            <v>0</v>
          </cell>
          <cell r="L1227" t="str">
            <v/>
          </cell>
          <cell r="M1227" t="str">
            <v/>
          </cell>
          <cell r="N1227" t="str">
            <v/>
          </cell>
          <cell r="O1227" t="str">
            <v/>
          </cell>
          <cell r="P1227" t="str">
            <v/>
          </cell>
          <cell r="Q1227" t="e">
            <v>#VALUE!</v>
          </cell>
          <cell r="R1227" t="str">
            <v/>
          </cell>
          <cell r="S1227" t="str">
            <v/>
          </cell>
          <cell r="T1227" t="str">
            <v/>
          </cell>
          <cell r="U1227" t="str">
            <v/>
          </cell>
          <cell r="V1227" t="str">
            <v/>
          </cell>
          <cell r="W1227" t="str">
            <v/>
          </cell>
          <cell r="X1227" t="str">
            <v/>
          </cell>
          <cell r="Z1227">
            <v>0</v>
          </cell>
          <cell r="AA1227" t="e">
            <v>#VALUE!</v>
          </cell>
          <cell r="AM1227" t="str">
            <v/>
          </cell>
          <cell r="AO1227" t="e">
            <v>#VALUE!</v>
          </cell>
          <cell r="AP1227" t="e">
            <v>#VALUE!</v>
          </cell>
          <cell r="AQ1227">
            <v>0</v>
          </cell>
          <cell r="AR1227" t="e">
            <v>#VALUE!</v>
          </cell>
          <cell r="AS1227" t="e">
            <v>#VALUE!</v>
          </cell>
          <cell r="AT1227" t="e">
            <v>#VALUE!</v>
          </cell>
          <cell r="AU1227" t="e">
            <v>#VALUE!</v>
          </cell>
          <cell r="AV1227" t="e">
            <v>#VALUE!</v>
          </cell>
          <cell r="AW1227" t="e">
            <v>#VALUE!</v>
          </cell>
          <cell r="AY1227" t="e">
            <v>#VALUE!</v>
          </cell>
          <cell r="AZ1227" t="str">
            <v>F18</v>
          </cell>
          <cell r="BA1227">
            <v>0</v>
          </cell>
          <cell r="BB1227" t="str">
            <v/>
          </cell>
          <cell r="BC1227" t="str">
            <v>F18</v>
          </cell>
        </row>
        <row r="1228">
          <cell r="A1228" t="str">
            <v/>
          </cell>
          <cell r="B1228" t="str">
            <v>3</v>
          </cell>
          <cell r="C1228" t="str">
            <v/>
          </cell>
          <cell r="D1228" t="str">
            <v/>
          </cell>
          <cell r="E1228" t="str">
            <v/>
          </cell>
          <cell r="F1228" t="str">
            <v/>
          </cell>
          <cell r="G1228" t="str">
            <v/>
          </cell>
          <cell r="H1228" t="str">
            <v/>
          </cell>
          <cell r="I1228" t="str">
            <v/>
          </cell>
          <cell r="J1228" t="str">
            <v/>
          </cell>
          <cell r="K1228">
            <v>0</v>
          </cell>
          <cell r="L1228" t="str">
            <v/>
          </cell>
          <cell r="M1228" t="str">
            <v/>
          </cell>
          <cell r="N1228" t="str">
            <v/>
          </cell>
          <cell r="O1228" t="str">
            <v/>
          </cell>
          <cell r="P1228" t="str">
            <v/>
          </cell>
          <cell r="Q1228" t="e">
            <v>#VALUE!</v>
          </cell>
          <cell r="R1228" t="str">
            <v/>
          </cell>
          <cell r="S1228" t="str">
            <v/>
          </cell>
          <cell r="T1228" t="str">
            <v/>
          </cell>
          <cell r="U1228" t="str">
            <v/>
          </cell>
          <cell r="V1228" t="str">
            <v/>
          </cell>
          <cell r="W1228" t="str">
            <v/>
          </cell>
          <cell r="X1228" t="str">
            <v/>
          </cell>
          <cell r="Z1228">
            <v>0</v>
          </cell>
          <cell r="AA1228" t="e">
            <v>#VALUE!</v>
          </cell>
          <cell r="AM1228" t="str">
            <v/>
          </cell>
          <cell r="AO1228" t="e">
            <v>#VALUE!</v>
          </cell>
          <cell r="AP1228" t="e">
            <v>#VALUE!</v>
          </cell>
          <cell r="AQ1228">
            <v>0</v>
          </cell>
          <cell r="AR1228" t="e">
            <v>#VALUE!</v>
          </cell>
          <cell r="AS1228" t="e">
            <v>#VALUE!</v>
          </cell>
          <cell r="AT1228" t="e">
            <v>#VALUE!</v>
          </cell>
          <cell r="AU1228" t="e">
            <v>#VALUE!</v>
          </cell>
          <cell r="AV1228" t="e">
            <v>#VALUE!</v>
          </cell>
          <cell r="AW1228" t="e">
            <v>#VALUE!</v>
          </cell>
          <cell r="AY1228" t="e">
            <v>#VALUE!</v>
          </cell>
          <cell r="AZ1228" t="str">
            <v>F18</v>
          </cell>
          <cell r="BA1228">
            <v>0</v>
          </cell>
          <cell r="BB1228" t="str">
            <v/>
          </cell>
          <cell r="BC1228" t="str">
            <v>F18</v>
          </cell>
        </row>
        <row r="1229">
          <cell r="A1229" t="str">
            <v/>
          </cell>
          <cell r="B1229" t="str">
            <v>3</v>
          </cell>
          <cell r="C1229" t="str">
            <v/>
          </cell>
          <cell r="D1229" t="str">
            <v/>
          </cell>
          <cell r="E1229" t="str">
            <v/>
          </cell>
          <cell r="F1229" t="str">
            <v/>
          </cell>
          <cell r="G1229" t="str">
            <v/>
          </cell>
          <cell r="H1229" t="str">
            <v/>
          </cell>
          <cell r="I1229" t="str">
            <v/>
          </cell>
          <cell r="J1229" t="str">
            <v/>
          </cell>
          <cell r="K1229">
            <v>0</v>
          </cell>
          <cell r="L1229" t="str">
            <v/>
          </cell>
          <cell r="M1229" t="str">
            <v/>
          </cell>
          <cell r="N1229" t="str">
            <v/>
          </cell>
          <cell r="O1229" t="str">
            <v/>
          </cell>
          <cell r="P1229" t="str">
            <v/>
          </cell>
          <cell r="Q1229" t="e">
            <v>#VALUE!</v>
          </cell>
          <cell r="R1229" t="str">
            <v/>
          </cell>
          <cell r="S1229" t="str">
            <v/>
          </cell>
          <cell r="T1229" t="str">
            <v/>
          </cell>
          <cell r="U1229" t="str">
            <v/>
          </cell>
          <cell r="V1229" t="str">
            <v/>
          </cell>
          <cell r="W1229" t="str">
            <v/>
          </cell>
          <cell r="X1229" t="str">
            <v/>
          </cell>
          <cell r="Z1229">
            <v>0</v>
          </cell>
          <cell r="AA1229" t="e">
            <v>#VALUE!</v>
          </cell>
          <cell r="AM1229" t="str">
            <v/>
          </cell>
          <cell r="AO1229" t="e">
            <v>#VALUE!</v>
          </cell>
          <cell r="AP1229" t="e">
            <v>#VALUE!</v>
          </cell>
          <cell r="AQ1229">
            <v>0</v>
          </cell>
          <cell r="AR1229" t="e">
            <v>#VALUE!</v>
          </cell>
          <cell r="AS1229" t="e">
            <v>#VALUE!</v>
          </cell>
          <cell r="AT1229" t="e">
            <v>#VALUE!</v>
          </cell>
          <cell r="AU1229" t="e">
            <v>#VALUE!</v>
          </cell>
          <cell r="AV1229" t="e">
            <v>#VALUE!</v>
          </cell>
          <cell r="AW1229" t="e">
            <v>#VALUE!</v>
          </cell>
          <cell r="AY1229" t="e">
            <v>#VALUE!</v>
          </cell>
          <cell r="AZ1229" t="str">
            <v>F18</v>
          </cell>
          <cell r="BA1229">
            <v>0</v>
          </cell>
          <cell r="BB1229" t="str">
            <v/>
          </cell>
          <cell r="BC1229" t="str">
            <v>F18</v>
          </cell>
        </row>
        <row r="1230">
          <cell r="A1230" t="str">
            <v/>
          </cell>
          <cell r="B1230" t="str">
            <v>3</v>
          </cell>
          <cell r="C1230" t="str">
            <v/>
          </cell>
          <cell r="D1230" t="str">
            <v/>
          </cell>
          <cell r="E1230" t="str">
            <v/>
          </cell>
          <cell r="F1230" t="str">
            <v/>
          </cell>
          <cell r="G1230" t="str">
            <v/>
          </cell>
          <cell r="H1230" t="str">
            <v/>
          </cell>
          <cell r="I1230" t="str">
            <v/>
          </cell>
          <cell r="J1230" t="str">
            <v/>
          </cell>
          <cell r="K1230">
            <v>0</v>
          </cell>
          <cell r="L1230" t="str">
            <v/>
          </cell>
          <cell r="M1230" t="str">
            <v/>
          </cell>
          <cell r="N1230" t="str">
            <v/>
          </cell>
          <cell r="O1230" t="str">
            <v/>
          </cell>
          <cell r="P1230" t="str">
            <v/>
          </cell>
          <cell r="Q1230" t="e">
            <v>#VALUE!</v>
          </cell>
          <cell r="R1230" t="str">
            <v/>
          </cell>
          <cell r="S1230" t="str">
            <v/>
          </cell>
          <cell r="T1230" t="str">
            <v/>
          </cell>
          <cell r="U1230" t="str">
            <v/>
          </cell>
          <cell r="V1230" t="str">
            <v/>
          </cell>
          <cell r="W1230" t="str">
            <v/>
          </cell>
          <cell r="X1230" t="str">
            <v/>
          </cell>
          <cell r="Z1230">
            <v>0</v>
          </cell>
          <cell r="AA1230" t="e">
            <v>#VALUE!</v>
          </cell>
          <cell r="AM1230" t="str">
            <v/>
          </cell>
          <cell r="AO1230" t="e">
            <v>#VALUE!</v>
          </cell>
          <cell r="AP1230" t="e">
            <v>#VALUE!</v>
          </cell>
          <cell r="AQ1230">
            <v>0</v>
          </cell>
          <cell r="AR1230" t="e">
            <v>#VALUE!</v>
          </cell>
          <cell r="AS1230" t="e">
            <v>#VALUE!</v>
          </cell>
          <cell r="AT1230" t="e">
            <v>#VALUE!</v>
          </cell>
          <cell r="AU1230" t="e">
            <v>#VALUE!</v>
          </cell>
          <cell r="AV1230" t="e">
            <v>#VALUE!</v>
          </cell>
          <cell r="AW1230" t="e">
            <v>#VALUE!</v>
          </cell>
          <cell r="AY1230" t="e">
            <v>#VALUE!</v>
          </cell>
          <cell r="AZ1230" t="str">
            <v>F18</v>
          </cell>
          <cell r="BA1230">
            <v>0</v>
          </cell>
          <cell r="BB1230" t="str">
            <v/>
          </cell>
          <cell r="BC1230" t="str">
            <v>F18</v>
          </cell>
        </row>
        <row r="1231">
          <cell r="A1231" t="str">
            <v/>
          </cell>
          <cell r="B1231" t="str">
            <v>3</v>
          </cell>
          <cell r="C1231" t="str">
            <v/>
          </cell>
          <cell r="D1231" t="str">
            <v/>
          </cell>
          <cell r="E1231" t="str">
            <v/>
          </cell>
          <cell r="F1231" t="str">
            <v/>
          </cell>
          <cell r="G1231" t="str">
            <v/>
          </cell>
          <cell r="H1231" t="str">
            <v/>
          </cell>
          <cell r="I1231" t="str">
            <v/>
          </cell>
          <cell r="J1231" t="str">
            <v/>
          </cell>
          <cell r="K1231">
            <v>0</v>
          </cell>
          <cell r="L1231" t="str">
            <v/>
          </cell>
          <cell r="M1231" t="str">
            <v/>
          </cell>
          <cell r="N1231" t="str">
            <v/>
          </cell>
          <cell r="O1231" t="str">
            <v/>
          </cell>
          <cell r="P1231" t="str">
            <v/>
          </cell>
          <cell r="Q1231" t="e">
            <v>#VALUE!</v>
          </cell>
          <cell r="R1231" t="str">
            <v/>
          </cell>
          <cell r="S1231" t="str">
            <v/>
          </cell>
          <cell r="T1231" t="str">
            <v/>
          </cell>
          <cell r="U1231" t="str">
            <v/>
          </cell>
          <cell r="V1231" t="str">
            <v/>
          </cell>
          <cell r="W1231" t="str">
            <v/>
          </cell>
          <cell r="X1231" t="str">
            <v/>
          </cell>
          <cell r="Z1231">
            <v>0</v>
          </cell>
          <cell r="AA1231" t="e">
            <v>#VALUE!</v>
          </cell>
          <cell r="AM1231" t="str">
            <v/>
          </cell>
          <cell r="AO1231" t="e">
            <v>#VALUE!</v>
          </cell>
          <cell r="AP1231" t="e">
            <v>#VALUE!</v>
          </cell>
          <cell r="AQ1231">
            <v>0</v>
          </cell>
          <cell r="AR1231" t="e">
            <v>#VALUE!</v>
          </cell>
          <cell r="AS1231" t="e">
            <v>#VALUE!</v>
          </cell>
          <cell r="AT1231" t="e">
            <v>#VALUE!</v>
          </cell>
          <cell r="AU1231" t="e">
            <v>#VALUE!</v>
          </cell>
          <cell r="AV1231" t="e">
            <v>#VALUE!</v>
          </cell>
          <cell r="AW1231" t="e">
            <v>#VALUE!</v>
          </cell>
          <cell r="AY1231" t="e">
            <v>#VALUE!</v>
          </cell>
          <cell r="AZ1231" t="str">
            <v>F18</v>
          </cell>
          <cell r="BA1231">
            <v>0</v>
          </cell>
          <cell r="BB1231" t="str">
            <v/>
          </cell>
          <cell r="BC1231" t="str">
            <v>F18</v>
          </cell>
        </row>
        <row r="1232">
          <cell r="A1232" t="str">
            <v/>
          </cell>
          <cell r="B1232" t="str">
            <v>3</v>
          </cell>
          <cell r="C1232" t="str">
            <v/>
          </cell>
          <cell r="D1232" t="str">
            <v/>
          </cell>
          <cell r="E1232" t="str">
            <v/>
          </cell>
          <cell r="F1232" t="str">
            <v/>
          </cell>
          <cell r="G1232" t="str">
            <v/>
          </cell>
          <cell r="H1232" t="str">
            <v/>
          </cell>
          <cell r="I1232" t="str">
            <v/>
          </cell>
          <cell r="J1232" t="str">
            <v/>
          </cell>
          <cell r="K1232">
            <v>0</v>
          </cell>
          <cell r="L1232" t="str">
            <v/>
          </cell>
          <cell r="M1232" t="str">
            <v/>
          </cell>
          <cell r="N1232" t="str">
            <v/>
          </cell>
          <cell r="O1232" t="str">
            <v/>
          </cell>
          <cell r="P1232" t="str">
            <v/>
          </cell>
          <cell r="Q1232" t="e">
            <v>#VALUE!</v>
          </cell>
          <cell r="R1232" t="str">
            <v/>
          </cell>
          <cell r="S1232" t="str">
            <v/>
          </cell>
          <cell r="T1232" t="str">
            <v/>
          </cell>
          <cell r="U1232" t="str">
            <v/>
          </cell>
          <cell r="V1232" t="str">
            <v/>
          </cell>
          <cell r="W1232" t="str">
            <v/>
          </cell>
          <cell r="X1232" t="str">
            <v/>
          </cell>
          <cell r="Z1232">
            <v>0</v>
          </cell>
          <cell r="AA1232" t="e">
            <v>#VALUE!</v>
          </cell>
          <cell r="AM1232" t="str">
            <v/>
          </cell>
          <cell r="AO1232" t="e">
            <v>#VALUE!</v>
          </cell>
          <cell r="AP1232" t="e">
            <v>#VALUE!</v>
          </cell>
          <cell r="AQ1232">
            <v>0</v>
          </cell>
          <cell r="AR1232" t="e">
            <v>#VALUE!</v>
          </cell>
          <cell r="AS1232" t="e">
            <v>#VALUE!</v>
          </cell>
          <cell r="AT1232" t="e">
            <v>#VALUE!</v>
          </cell>
          <cell r="AU1232" t="e">
            <v>#VALUE!</v>
          </cell>
          <cell r="AV1232" t="e">
            <v>#VALUE!</v>
          </cell>
          <cell r="AW1232" t="e">
            <v>#VALUE!</v>
          </cell>
          <cell r="AY1232" t="e">
            <v>#VALUE!</v>
          </cell>
          <cell r="AZ1232" t="str">
            <v>F18</v>
          </cell>
          <cell r="BA1232">
            <v>0</v>
          </cell>
          <cell r="BB1232" t="str">
            <v/>
          </cell>
          <cell r="BC1232" t="str">
            <v>F18</v>
          </cell>
        </row>
        <row r="1233">
          <cell r="A1233" t="str">
            <v/>
          </cell>
          <cell r="B1233" t="str">
            <v>3</v>
          </cell>
          <cell r="C1233" t="str">
            <v/>
          </cell>
          <cell r="D1233" t="str">
            <v/>
          </cell>
          <cell r="E1233" t="str">
            <v/>
          </cell>
          <cell r="F1233" t="str">
            <v/>
          </cell>
          <cell r="G1233" t="str">
            <v/>
          </cell>
          <cell r="H1233" t="str">
            <v/>
          </cell>
          <cell r="I1233" t="str">
            <v/>
          </cell>
          <cell r="J1233" t="str">
            <v/>
          </cell>
          <cell r="K1233">
            <v>0</v>
          </cell>
          <cell r="L1233" t="str">
            <v/>
          </cell>
          <cell r="M1233" t="str">
            <v/>
          </cell>
          <cell r="N1233" t="str">
            <v/>
          </cell>
          <cell r="O1233" t="str">
            <v/>
          </cell>
          <cell r="P1233" t="str">
            <v/>
          </cell>
          <cell r="Q1233" t="e">
            <v>#VALUE!</v>
          </cell>
          <cell r="R1233" t="str">
            <v/>
          </cell>
          <cell r="S1233" t="str">
            <v/>
          </cell>
          <cell r="T1233" t="str">
            <v/>
          </cell>
          <cell r="U1233" t="str">
            <v/>
          </cell>
          <cell r="V1233" t="str">
            <v/>
          </cell>
          <cell r="W1233" t="str">
            <v/>
          </cell>
          <cell r="X1233" t="str">
            <v/>
          </cell>
          <cell r="Z1233">
            <v>0</v>
          </cell>
          <cell r="AA1233" t="e">
            <v>#VALUE!</v>
          </cell>
          <cell r="AM1233" t="str">
            <v/>
          </cell>
          <cell r="AO1233" t="e">
            <v>#VALUE!</v>
          </cell>
          <cell r="AP1233" t="e">
            <v>#VALUE!</v>
          </cell>
          <cell r="AQ1233">
            <v>0</v>
          </cell>
          <cell r="AR1233" t="e">
            <v>#VALUE!</v>
          </cell>
          <cell r="AS1233" t="e">
            <v>#VALUE!</v>
          </cell>
          <cell r="AT1233" t="e">
            <v>#VALUE!</v>
          </cell>
          <cell r="AU1233" t="e">
            <v>#VALUE!</v>
          </cell>
          <cell r="AV1233" t="e">
            <v>#VALUE!</v>
          </cell>
          <cell r="AW1233" t="e">
            <v>#VALUE!</v>
          </cell>
          <cell r="AY1233" t="e">
            <v>#VALUE!</v>
          </cell>
          <cell r="AZ1233" t="str">
            <v>F18</v>
          </cell>
          <cell r="BA1233">
            <v>0</v>
          </cell>
          <cell r="BB1233" t="str">
            <v/>
          </cell>
          <cell r="BC1233" t="str">
            <v>F18</v>
          </cell>
        </row>
        <row r="1234">
          <cell r="A1234" t="str">
            <v/>
          </cell>
          <cell r="B1234" t="str">
            <v>3</v>
          </cell>
          <cell r="C1234" t="str">
            <v/>
          </cell>
          <cell r="D1234" t="str">
            <v/>
          </cell>
          <cell r="E1234" t="str">
            <v/>
          </cell>
          <cell r="F1234" t="str">
            <v/>
          </cell>
          <cell r="G1234" t="str">
            <v/>
          </cell>
          <cell r="H1234" t="str">
            <v/>
          </cell>
          <cell r="I1234" t="str">
            <v/>
          </cell>
          <cell r="J1234" t="str">
            <v/>
          </cell>
          <cell r="K1234">
            <v>0</v>
          </cell>
          <cell r="L1234" t="str">
            <v/>
          </cell>
          <cell r="M1234" t="str">
            <v/>
          </cell>
          <cell r="N1234" t="str">
            <v/>
          </cell>
          <cell r="O1234" t="str">
            <v/>
          </cell>
          <cell r="P1234" t="str">
            <v/>
          </cell>
          <cell r="Q1234" t="e">
            <v>#VALUE!</v>
          </cell>
          <cell r="R1234" t="str">
            <v/>
          </cell>
          <cell r="S1234" t="str">
            <v/>
          </cell>
          <cell r="T1234" t="str">
            <v/>
          </cell>
          <cell r="U1234" t="str">
            <v/>
          </cell>
          <cell r="V1234" t="str">
            <v/>
          </cell>
          <cell r="W1234" t="str">
            <v/>
          </cell>
          <cell r="X1234" t="str">
            <v/>
          </cell>
          <cell r="Z1234">
            <v>0</v>
          </cell>
          <cell r="AA1234" t="e">
            <v>#VALUE!</v>
          </cell>
          <cell r="AM1234" t="str">
            <v/>
          </cell>
          <cell r="AO1234" t="e">
            <v>#VALUE!</v>
          </cell>
          <cell r="AP1234" t="e">
            <v>#VALUE!</v>
          </cell>
          <cell r="AQ1234">
            <v>0</v>
          </cell>
          <cell r="AR1234" t="e">
            <v>#VALUE!</v>
          </cell>
          <cell r="AS1234" t="e">
            <v>#VALUE!</v>
          </cell>
          <cell r="AT1234" t="e">
            <v>#VALUE!</v>
          </cell>
          <cell r="AU1234" t="e">
            <v>#VALUE!</v>
          </cell>
          <cell r="AV1234" t="e">
            <v>#VALUE!</v>
          </cell>
          <cell r="AW1234" t="e">
            <v>#VALUE!</v>
          </cell>
          <cell r="AY1234" t="e">
            <v>#VALUE!</v>
          </cell>
          <cell r="AZ1234" t="str">
            <v>F18</v>
          </cell>
          <cell r="BA1234">
            <v>0</v>
          </cell>
          <cell r="BB1234" t="str">
            <v/>
          </cell>
          <cell r="BC1234" t="str">
            <v>F18</v>
          </cell>
        </row>
        <row r="1235">
          <cell r="A1235" t="str">
            <v/>
          </cell>
          <cell r="B1235" t="str">
            <v>3</v>
          </cell>
          <cell r="C1235" t="str">
            <v/>
          </cell>
          <cell r="D1235" t="str">
            <v/>
          </cell>
          <cell r="E1235" t="str">
            <v/>
          </cell>
          <cell r="F1235" t="str">
            <v/>
          </cell>
          <cell r="G1235" t="str">
            <v/>
          </cell>
          <cell r="H1235" t="str">
            <v/>
          </cell>
          <cell r="I1235" t="str">
            <v/>
          </cell>
          <cell r="J1235" t="str">
            <v/>
          </cell>
          <cell r="K1235">
            <v>0</v>
          </cell>
          <cell r="L1235" t="str">
            <v/>
          </cell>
          <cell r="M1235" t="str">
            <v/>
          </cell>
          <cell r="N1235" t="str">
            <v/>
          </cell>
          <cell r="O1235" t="str">
            <v/>
          </cell>
          <cell r="P1235" t="str">
            <v/>
          </cell>
          <cell r="Q1235" t="e">
            <v>#VALUE!</v>
          </cell>
          <cell r="R1235" t="str">
            <v/>
          </cell>
          <cell r="S1235" t="str">
            <v/>
          </cell>
          <cell r="T1235" t="str">
            <v/>
          </cell>
          <cell r="U1235" t="str">
            <v/>
          </cell>
          <cell r="V1235" t="str">
            <v/>
          </cell>
          <cell r="W1235" t="str">
            <v/>
          </cell>
          <cell r="X1235" t="str">
            <v/>
          </cell>
          <cell r="Z1235">
            <v>0</v>
          </cell>
          <cell r="AA1235" t="e">
            <v>#VALUE!</v>
          </cell>
          <cell r="AM1235" t="str">
            <v/>
          </cell>
          <cell r="AO1235" t="e">
            <v>#VALUE!</v>
          </cell>
          <cell r="AP1235" t="e">
            <v>#VALUE!</v>
          </cell>
          <cell r="AQ1235">
            <v>0</v>
          </cell>
          <cell r="AR1235" t="e">
            <v>#VALUE!</v>
          </cell>
          <cell r="AS1235" t="e">
            <v>#VALUE!</v>
          </cell>
          <cell r="AT1235" t="e">
            <v>#VALUE!</v>
          </cell>
          <cell r="AU1235" t="e">
            <v>#VALUE!</v>
          </cell>
          <cell r="AV1235" t="e">
            <v>#VALUE!</v>
          </cell>
          <cell r="AW1235" t="e">
            <v>#VALUE!</v>
          </cell>
          <cell r="AY1235" t="e">
            <v>#VALUE!</v>
          </cell>
          <cell r="AZ1235" t="str">
            <v>F18</v>
          </cell>
          <cell r="BA1235">
            <v>0</v>
          </cell>
          <cell r="BB1235" t="str">
            <v/>
          </cell>
          <cell r="BC1235" t="str">
            <v>F18</v>
          </cell>
        </row>
        <row r="1236">
          <cell r="A1236" t="str">
            <v/>
          </cell>
          <cell r="B1236" t="str">
            <v>3</v>
          </cell>
          <cell r="C1236" t="str">
            <v/>
          </cell>
          <cell r="D1236" t="str">
            <v/>
          </cell>
          <cell r="E1236" t="str">
            <v/>
          </cell>
          <cell r="F1236" t="str">
            <v/>
          </cell>
          <cell r="G1236" t="str">
            <v/>
          </cell>
          <cell r="H1236" t="str">
            <v/>
          </cell>
          <cell r="I1236" t="str">
            <v/>
          </cell>
          <cell r="J1236" t="str">
            <v/>
          </cell>
          <cell r="K1236">
            <v>0</v>
          </cell>
          <cell r="L1236" t="str">
            <v/>
          </cell>
          <cell r="M1236" t="str">
            <v/>
          </cell>
          <cell r="N1236" t="str">
            <v/>
          </cell>
          <cell r="O1236" t="str">
            <v/>
          </cell>
          <cell r="P1236" t="str">
            <v/>
          </cell>
          <cell r="Q1236" t="e">
            <v>#VALUE!</v>
          </cell>
          <cell r="R1236" t="str">
            <v/>
          </cell>
          <cell r="S1236" t="str">
            <v/>
          </cell>
          <cell r="T1236" t="str">
            <v/>
          </cell>
          <cell r="U1236" t="str">
            <v/>
          </cell>
          <cell r="V1236" t="str">
            <v/>
          </cell>
          <cell r="W1236" t="str">
            <v/>
          </cell>
          <cell r="X1236" t="str">
            <v/>
          </cell>
          <cell r="Z1236">
            <v>0</v>
          </cell>
          <cell r="AA1236" t="e">
            <v>#VALUE!</v>
          </cell>
          <cell r="AM1236" t="str">
            <v/>
          </cell>
          <cell r="AO1236" t="e">
            <v>#VALUE!</v>
          </cell>
          <cell r="AP1236" t="e">
            <v>#VALUE!</v>
          </cell>
          <cell r="AQ1236">
            <v>0</v>
          </cell>
          <cell r="AR1236" t="e">
            <v>#VALUE!</v>
          </cell>
          <cell r="AS1236" t="e">
            <v>#VALUE!</v>
          </cell>
          <cell r="AT1236" t="e">
            <v>#VALUE!</v>
          </cell>
          <cell r="AU1236" t="e">
            <v>#VALUE!</v>
          </cell>
          <cell r="AV1236" t="e">
            <v>#VALUE!</v>
          </cell>
          <cell r="AW1236" t="e">
            <v>#VALUE!</v>
          </cell>
          <cell r="AY1236" t="e">
            <v>#VALUE!</v>
          </cell>
          <cell r="AZ1236" t="str">
            <v>F18</v>
          </cell>
          <cell r="BA1236">
            <v>0</v>
          </cell>
          <cell r="BB1236" t="str">
            <v/>
          </cell>
          <cell r="BC1236" t="str">
            <v>F18</v>
          </cell>
        </row>
        <row r="1237">
          <cell r="A1237" t="str">
            <v/>
          </cell>
          <cell r="B1237" t="str">
            <v>3</v>
          </cell>
          <cell r="C1237" t="str">
            <v/>
          </cell>
          <cell r="D1237" t="str">
            <v/>
          </cell>
          <cell r="E1237" t="str">
            <v/>
          </cell>
          <cell r="F1237" t="str">
            <v/>
          </cell>
          <cell r="G1237" t="str">
            <v/>
          </cell>
          <cell r="H1237" t="str">
            <v/>
          </cell>
          <cell r="I1237" t="str">
            <v/>
          </cell>
          <cell r="J1237" t="str">
            <v/>
          </cell>
          <cell r="K1237">
            <v>0</v>
          </cell>
          <cell r="L1237" t="str">
            <v/>
          </cell>
          <cell r="M1237" t="str">
            <v/>
          </cell>
          <cell r="N1237" t="str">
            <v/>
          </cell>
          <cell r="O1237" t="str">
            <v/>
          </cell>
          <cell r="P1237" t="str">
            <v/>
          </cell>
          <cell r="Q1237" t="e">
            <v>#VALUE!</v>
          </cell>
          <cell r="R1237" t="str">
            <v/>
          </cell>
          <cell r="S1237" t="str">
            <v/>
          </cell>
          <cell r="T1237" t="str">
            <v/>
          </cell>
          <cell r="U1237" t="str">
            <v/>
          </cell>
          <cell r="V1237" t="str">
            <v/>
          </cell>
          <cell r="W1237" t="str">
            <v/>
          </cell>
          <cell r="X1237" t="str">
            <v/>
          </cell>
          <cell r="Z1237">
            <v>0</v>
          </cell>
          <cell r="AA1237" t="e">
            <v>#VALUE!</v>
          </cell>
          <cell r="AM1237" t="str">
            <v/>
          </cell>
          <cell r="AO1237" t="e">
            <v>#VALUE!</v>
          </cell>
          <cell r="AP1237" t="e">
            <v>#VALUE!</v>
          </cell>
          <cell r="AQ1237">
            <v>0</v>
          </cell>
          <cell r="AR1237" t="e">
            <v>#VALUE!</v>
          </cell>
          <cell r="AS1237" t="e">
            <v>#VALUE!</v>
          </cell>
          <cell r="AT1237" t="e">
            <v>#VALUE!</v>
          </cell>
          <cell r="AU1237" t="e">
            <v>#VALUE!</v>
          </cell>
          <cell r="AV1237" t="e">
            <v>#VALUE!</v>
          </cell>
          <cell r="AW1237" t="e">
            <v>#VALUE!</v>
          </cell>
          <cell r="AY1237" t="e">
            <v>#VALUE!</v>
          </cell>
          <cell r="AZ1237" t="str">
            <v>F18</v>
          </cell>
          <cell r="BA1237">
            <v>0</v>
          </cell>
          <cell r="BB1237" t="str">
            <v/>
          </cell>
          <cell r="BC1237" t="str">
            <v>F18</v>
          </cell>
        </row>
        <row r="1238">
          <cell r="A1238" t="str">
            <v/>
          </cell>
          <cell r="B1238" t="str">
            <v>3</v>
          </cell>
          <cell r="C1238" t="str">
            <v/>
          </cell>
          <cell r="D1238" t="str">
            <v/>
          </cell>
          <cell r="E1238" t="str">
            <v/>
          </cell>
          <cell r="F1238" t="str">
            <v/>
          </cell>
          <cell r="G1238" t="str">
            <v/>
          </cell>
          <cell r="H1238" t="str">
            <v/>
          </cell>
          <cell r="I1238" t="str">
            <v/>
          </cell>
          <cell r="J1238" t="str">
            <v/>
          </cell>
          <cell r="K1238">
            <v>0</v>
          </cell>
          <cell r="L1238" t="str">
            <v/>
          </cell>
          <cell r="M1238" t="str">
            <v/>
          </cell>
          <cell r="N1238" t="str">
            <v/>
          </cell>
          <cell r="O1238" t="str">
            <v/>
          </cell>
          <cell r="P1238" t="str">
            <v/>
          </cell>
          <cell r="Q1238" t="e">
            <v>#VALUE!</v>
          </cell>
          <cell r="R1238" t="str">
            <v/>
          </cell>
          <cell r="S1238" t="str">
            <v/>
          </cell>
          <cell r="T1238" t="str">
            <v/>
          </cell>
          <cell r="U1238" t="str">
            <v/>
          </cell>
          <cell r="V1238" t="str">
            <v/>
          </cell>
          <cell r="W1238" t="str">
            <v/>
          </cell>
          <cell r="X1238" t="str">
            <v/>
          </cell>
          <cell r="Z1238">
            <v>0</v>
          </cell>
          <cell r="AA1238" t="e">
            <v>#VALUE!</v>
          </cell>
          <cell r="AM1238" t="str">
            <v/>
          </cell>
          <cell r="AO1238" t="e">
            <v>#VALUE!</v>
          </cell>
          <cell r="AP1238" t="e">
            <v>#VALUE!</v>
          </cell>
          <cell r="AQ1238">
            <v>0</v>
          </cell>
          <cell r="AR1238" t="e">
            <v>#VALUE!</v>
          </cell>
          <cell r="AS1238" t="e">
            <v>#VALUE!</v>
          </cell>
          <cell r="AT1238" t="e">
            <v>#VALUE!</v>
          </cell>
          <cell r="AU1238" t="e">
            <v>#VALUE!</v>
          </cell>
          <cell r="AV1238" t="e">
            <v>#VALUE!</v>
          </cell>
          <cell r="AW1238" t="e">
            <v>#VALUE!</v>
          </cell>
          <cell r="AY1238" t="e">
            <v>#VALUE!</v>
          </cell>
          <cell r="AZ1238" t="str">
            <v>F18</v>
          </cell>
          <cell r="BA1238">
            <v>0</v>
          </cell>
          <cell r="BB1238" t="str">
            <v/>
          </cell>
          <cell r="BC1238" t="str">
            <v>F18</v>
          </cell>
        </row>
        <row r="1239">
          <cell r="A1239" t="str">
            <v/>
          </cell>
          <cell r="B1239" t="str">
            <v>3</v>
          </cell>
          <cell r="C1239" t="str">
            <v/>
          </cell>
          <cell r="D1239" t="str">
            <v/>
          </cell>
          <cell r="E1239" t="str">
            <v/>
          </cell>
          <cell r="F1239" t="str">
            <v/>
          </cell>
          <cell r="G1239" t="str">
            <v/>
          </cell>
          <cell r="H1239" t="str">
            <v/>
          </cell>
          <cell r="I1239" t="str">
            <v/>
          </cell>
          <cell r="J1239" t="str">
            <v/>
          </cell>
          <cell r="K1239">
            <v>0</v>
          </cell>
          <cell r="L1239" t="str">
            <v/>
          </cell>
          <cell r="M1239" t="str">
            <v/>
          </cell>
          <cell r="N1239" t="str">
            <v/>
          </cell>
          <cell r="O1239" t="str">
            <v/>
          </cell>
          <cell r="P1239" t="str">
            <v/>
          </cell>
          <cell r="Q1239" t="e">
            <v>#VALUE!</v>
          </cell>
          <cell r="R1239" t="str">
            <v/>
          </cell>
          <cell r="S1239" t="str">
            <v/>
          </cell>
          <cell r="T1239" t="str">
            <v/>
          </cell>
          <cell r="U1239" t="str">
            <v/>
          </cell>
          <cell r="V1239" t="str">
            <v/>
          </cell>
          <cell r="W1239" t="str">
            <v/>
          </cell>
          <cell r="X1239" t="str">
            <v/>
          </cell>
          <cell r="Z1239">
            <v>0</v>
          </cell>
          <cell r="AA1239" t="e">
            <v>#VALUE!</v>
          </cell>
          <cell r="AM1239" t="str">
            <v/>
          </cell>
          <cell r="AO1239" t="e">
            <v>#VALUE!</v>
          </cell>
          <cell r="AP1239" t="e">
            <v>#VALUE!</v>
          </cell>
          <cell r="AQ1239">
            <v>0</v>
          </cell>
          <cell r="AR1239" t="e">
            <v>#VALUE!</v>
          </cell>
          <cell r="AS1239" t="e">
            <v>#VALUE!</v>
          </cell>
          <cell r="AT1239" t="e">
            <v>#VALUE!</v>
          </cell>
          <cell r="AU1239" t="e">
            <v>#VALUE!</v>
          </cell>
          <cell r="AV1239" t="e">
            <v>#VALUE!</v>
          </cell>
          <cell r="AW1239" t="e">
            <v>#VALUE!</v>
          </cell>
          <cell r="AY1239" t="e">
            <v>#VALUE!</v>
          </cell>
          <cell r="AZ1239" t="str">
            <v>F18</v>
          </cell>
          <cell r="BA1239">
            <v>0</v>
          </cell>
          <cell r="BB1239" t="str">
            <v/>
          </cell>
          <cell r="BC1239" t="str">
            <v>F18</v>
          </cell>
        </row>
        <row r="1240">
          <cell r="A1240" t="str">
            <v/>
          </cell>
          <cell r="B1240" t="str">
            <v>3</v>
          </cell>
          <cell r="C1240" t="str">
            <v/>
          </cell>
          <cell r="D1240" t="str">
            <v/>
          </cell>
          <cell r="E1240" t="str">
            <v/>
          </cell>
          <cell r="F1240" t="str">
            <v/>
          </cell>
          <cell r="G1240" t="str">
            <v/>
          </cell>
          <cell r="H1240" t="str">
            <v/>
          </cell>
          <cell r="I1240" t="str">
            <v/>
          </cell>
          <cell r="J1240" t="str">
            <v/>
          </cell>
          <cell r="K1240">
            <v>0</v>
          </cell>
          <cell r="L1240" t="str">
            <v/>
          </cell>
          <cell r="M1240" t="str">
            <v/>
          </cell>
          <cell r="N1240" t="str">
            <v/>
          </cell>
          <cell r="O1240" t="str">
            <v/>
          </cell>
          <cell r="P1240" t="str">
            <v/>
          </cell>
          <cell r="Q1240" t="e">
            <v>#VALUE!</v>
          </cell>
          <cell r="R1240" t="str">
            <v/>
          </cell>
          <cell r="S1240" t="str">
            <v/>
          </cell>
          <cell r="T1240" t="str">
            <v/>
          </cell>
          <cell r="U1240" t="str">
            <v/>
          </cell>
          <cell r="V1240" t="str">
            <v/>
          </cell>
          <cell r="W1240" t="str">
            <v/>
          </cell>
          <cell r="X1240" t="str">
            <v/>
          </cell>
          <cell r="Z1240">
            <v>0</v>
          </cell>
          <cell r="AA1240" t="e">
            <v>#VALUE!</v>
          </cell>
          <cell r="AM1240" t="str">
            <v/>
          </cell>
          <cell r="AO1240" t="e">
            <v>#VALUE!</v>
          </cell>
          <cell r="AP1240" t="e">
            <v>#VALUE!</v>
          </cell>
          <cell r="AQ1240">
            <v>0</v>
          </cell>
          <cell r="AR1240" t="e">
            <v>#VALUE!</v>
          </cell>
          <cell r="AS1240" t="e">
            <v>#VALUE!</v>
          </cell>
          <cell r="AT1240" t="e">
            <v>#VALUE!</v>
          </cell>
          <cell r="AU1240" t="e">
            <v>#VALUE!</v>
          </cell>
          <cell r="AV1240" t="e">
            <v>#VALUE!</v>
          </cell>
          <cell r="AW1240" t="e">
            <v>#VALUE!</v>
          </cell>
          <cell r="AY1240" t="e">
            <v>#VALUE!</v>
          </cell>
          <cell r="AZ1240" t="str">
            <v>F18</v>
          </cell>
          <cell r="BA1240">
            <v>0</v>
          </cell>
          <cell r="BB1240" t="str">
            <v/>
          </cell>
          <cell r="BC1240" t="str">
            <v>F18</v>
          </cell>
        </row>
        <row r="1241">
          <cell r="A1241" t="str">
            <v/>
          </cell>
          <cell r="B1241" t="str">
            <v>3</v>
          </cell>
          <cell r="C1241" t="str">
            <v/>
          </cell>
          <cell r="D1241" t="str">
            <v/>
          </cell>
          <cell r="E1241" t="str">
            <v/>
          </cell>
          <cell r="F1241" t="str">
            <v/>
          </cell>
          <cell r="G1241" t="str">
            <v/>
          </cell>
          <cell r="H1241" t="str">
            <v/>
          </cell>
          <cell r="I1241" t="str">
            <v/>
          </cell>
          <cell r="J1241" t="str">
            <v/>
          </cell>
          <cell r="K1241">
            <v>0</v>
          </cell>
          <cell r="L1241" t="str">
            <v/>
          </cell>
          <cell r="M1241" t="str">
            <v/>
          </cell>
          <cell r="N1241" t="str">
            <v/>
          </cell>
          <cell r="O1241" t="str">
            <v/>
          </cell>
          <cell r="P1241" t="str">
            <v/>
          </cell>
          <cell r="Q1241" t="e">
            <v>#VALUE!</v>
          </cell>
          <cell r="R1241" t="str">
            <v/>
          </cell>
          <cell r="S1241" t="str">
            <v/>
          </cell>
          <cell r="T1241" t="str">
            <v/>
          </cell>
          <cell r="U1241" t="str">
            <v/>
          </cell>
          <cell r="V1241" t="str">
            <v/>
          </cell>
          <cell r="W1241" t="str">
            <v/>
          </cell>
          <cell r="X1241" t="str">
            <v/>
          </cell>
          <cell r="Z1241">
            <v>0</v>
          </cell>
          <cell r="AA1241" t="e">
            <v>#VALUE!</v>
          </cell>
          <cell r="AM1241" t="str">
            <v/>
          </cell>
          <cell r="AO1241" t="e">
            <v>#VALUE!</v>
          </cell>
          <cell r="AP1241" t="e">
            <v>#VALUE!</v>
          </cell>
          <cell r="AQ1241">
            <v>0</v>
          </cell>
          <cell r="AR1241" t="e">
            <v>#VALUE!</v>
          </cell>
          <cell r="AS1241" t="e">
            <v>#VALUE!</v>
          </cell>
          <cell r="AT1241" t="e">
            <v>#VALUE!</v>
          </cell>
          <cell r="AU1241" t="e">
            <v>#VALUE!</v>
          </cell>
          <cell r="AV1241" t="e">
            <v>#VALUE!</v>
          </cell>
          <cell r="AW1241" t="e">
            <v>#VALUE!</v>
          </cell>
          <cell r="AY1241" t="e">
            <v>#VALUE!</v>
          </cell>
          <cell r="AZ1241" t="str">
            <v>F18</v>
          </cell>
          <cell r="BA1241">
            <v>0</v>
          </cell>
          <cell r="BB1241" t="str">
            <v/>
          </cell>
          <cell r="BC1241" t="str">
            <v>F18</v>
          </cell>
        </row>
        <row r="1242">
          <cell r="A1242" t="str">
            <v/>
          </cell>
          <cell r="B1242" t="str">
            <v>3</v>
          </cell>
          <cell r="C1242" t="str">
            <v/>
          </cell>
          <cell r="D1242" t="str">
            <v/>
          </cell>
          <cell r="E1242" t="str">
            <v/>
          </cell>
          <cell r="F1242" t="str">
            <v/>
          </cell>
          <cell r="G1242" t="str">
            <v/>
          </cell>
          <cell r="H1242" t="str">
            <v/>
          </cell>
          <cell r="I1242" t="str">
            <v/>
          </cell>
          <cell r="J1242" t="str">
            <v/>
          </cell>
          <cell r="K1242">
            <v>0</v>
          </cell>
          <cell r="L1242" t="str">
            <v/>
          </cell>
          <cell r="M1242" t="str">
            <v/>
          </cell>
          <cell r="N1242" t="str">
            <v/>
          </cell>
          <cell r="O1242" t="str">
            <v/>
          </cell>
          <cell r="P1242" t="str">
            <v/>
          </cell>
          <cell r="Q1242" t="e">
            <v>#VALUE!</v>
          </cell>
          <cell r="R1242" t="str">
            <v/>
          </cell>
          <cell r="S1242" t="str">
            <v/>
          </cell>
          <cell r="T1242" t="str">
            <v/>
          </cell>
          <cell r="U1242" t="str">
            <v/>
          </cell>
          <cell r="V1242" t="str">
            <v/>
          </cell>
          <cell r="W1242" t="str">
            <v/>
          </cell>
          <cell r="X1242" t="str">
            <v/>
          </cell>
          <cell r="Z1242">
            <v>0</v>
          </cell>
          <cell r="AA1242" t="e">
            <v>#VALUE!</v>
          </cell>
          <cell r="AM1242" t="str">
            <v/>
          </cell>
          <cell r="AO1242" t="e">
            <v>#VALUE!</v>
          </cell>
          <cell r="AP1242" t="e">
            <v>#VALUE!</v>
          </cell>
          <cell r="AQ1242">
            <v>0</v>
          </cell>
          <cell r="AR1242" t="e">
            <v>#VALUE!</v>
          </cell>
          <cell r="AS1242" t="e">
            <v>#VALUE!</v>
          </cell>
          <cell r="AT1242" t="e">
            <v>#VALUE!</v>
          </cell>
          <cell r="AU1242" t="e">
            <v>#VALUE!</v>
          </cell>
          <cell r="AV1242" t="e">
            <v>#VALUE!</v>
          </cell>
          <cell r="AW1242" t="e">
            <v>#VALUE!</v>
          </cell>
          <cell r="AY1242" t="e">
            <v>#VALUE!</v>
          </cell>
          <cell r="AZ1242" t="str">
            <v>F18</v>
          </cell>
          <cell r="BA1242">
            <v>0</v>
          </cell>
          <cell r="BB1242" t="str">
            <v/>
          </cell>
          <cell r="BC1242" t="str">
            <v>F18</v>
          </cell>
        </row>
        <row r="1243">
          <cell r="A1243" t="str">
            <v/>
          </cell>
          <cell r="B1243" t="str">
            <v>3</v>
          </cell>
          <cell r="C1243" t="str">
            <v/>
          </cell>
          <cell r="D1243" t="str">
            <v/>
          </cell>
          <cell r="E1243" t="str">
            <v/>
          </cell>
          <cell r="F1243" t="str">
            <v/>
          </cell>
          <cell r="G1243" t="str">
            <v/>
          </cell>
          <cell r="H1243" t="str">
            <v/>
          </cell>
          <cell r="I1243" t="str">
            <v/>
          </cell>
          <cell r="J1243" t="str">
            <v/>
          </cell>
          <cell r="K1243">
            <v>0</v>
          </cell>
          <cell r="L1243" t="str">
            <v/>
          </cell>
          <cell r="M1243" t="str">
            <v/>
          </cell>
          <cell r="N1243" t="str">
            <v/>
          </cell>
          <cell r="O1243" t="str">
            <v/>
          </cell>
          <cell r="P1243" t="str">
            <v/>
          </cell>
          <cell r="Q1243" t="e">
            <v>#VALUE!</v>
          </cell>
          <cell r="R1243" t="str">
            <v/>
          </cell>
          <cell r="S1243" t="str">
            <v/>
          </cell>
          <cell r="T1243" t="str">
            <v/>
          </cell>
          <cell r="U1243" t="str">
            <v/>
          </cell>
          <cell r="V1243" t="str">
            <v/>
          </cell>
          <cell r="W1243" t="str">
            <v/>
          </cell>
          <cell r="X1243" t="str">
            <v/>
          </cell>
          <cell r="Z1243">
            <v>0</v>
          </cell>
          <cell r="AA1243" t="e">
            <v>#VALUE!</v>
          </cell>
          <cell r="AM1243" t="str">
            <v/>
          </cell>
          <cell r="AO1243" t="e">
            <v>#VALUE!</v>
          </cell>
          <cell r="AP1243" t="e">
            <v>#VALUE!</v>
          </cell>
          <cell r="AQ1243">
            <v>0</v>
          </cell>
          <cell r="AR1243" t="e">
            <v>#VALUE!</v>
          </cell>
          <cell r="AS1243" t="e">
            <v>#VALUE!</v>
          </cell>
          <cell r="AT1243" t="e">
            <v>#VALUE!</v>
          </cell>
          <cell r="AU1243" t="e">
            <v>#VALUE!</v>
          </cell>
          <cell r="AV1243" t="e">
            <v>#VALUE!</v>
          </cell>
          <cell r="AW1243" t="e">
            <v>#VALUE!</v>
          </cell>
          <cell r="AY1243" t="e">
            <v>#VALUE!</v>
          </cell>
          <cell r="AZ1243" t="str">
            <v>F18</v>
          </cell>
          <cell r="BA1243">
            <v>0</v>
          </cell>
          <cell r="BB1243" t="str">
            <v/>
          </cell>
          <cell r="BC1243" t="str">
            <v>F18</v>
          </cell>
        </row>
        <row r="1244">
          <cell r="A1244" t="str">
            <v/>
          </cell>
          <cell r="B1244" t="str">
            <v>3</v>
          </cell>
          <cell r="C1244" t="str">
            <v/>
          </cell>
          <cell r="D1244" t="str">
            <v/>
          </cell>
          <cell r="E1244" t="str">
            <v/>
          </cell>
          <cell r="F1244" t="str">
            <v/>
          </cell>
          <cell r="G1244" t="str">
            <v/>
          </cell>
          <cell r="H1244" t="str">
            <v/>
          </cell>
          <cell r="I1244" t="str">
            <v/>
          </cell>
          <cell r="J1244" t="str">
            <v/>
          </cell>
          <cell r="K1244">
            <v>0</v>
          </cell>
          <cell r="L1244" t="str">
            <v/>
          </cell>
          <cell r="M1244" t="str">
            <v/>
          </cell>
          <cell r="N1244" t="str">
            <v/>
          </cell>
          <cell r="O1244" t="str">
            <v/>
          </cell>
          <cell r="P1244" t="str">
            <v/>
          </cell>
          <cell r="Q1244" t="e">
            <v>#VALUE!</v>
          </cell>
          <cell r="R1244" t="str">
            <v/>
          </cell>
          <cell r="S1244" t="str">
            <v/>
          </cell>
          <cell r="T1244" t="str">
            <v/>
          </cell>
          <cell r="U1244" t="str">
            <v/>
          </cell>
          <cell r="V1244" t="str">
            <v/>
          </cell>
          <cell r="W1244" t="str">
            <v/>
          </cell>
          <cell r="X1244" t="str">
            <v/>
          </cell>
          <cell r="Z1244">
            <v>0</v>
          </cell>
          <cell r="AA1244" t="e">
            <v>#VALUE!</v>
          </cell>
          <cell r="AM1244" t="str">
            <v/>
          </cell>
          <cell r="AO1244" t="e">
            <v>#VALUE!</v>
          </cell>
          <cell r="AP1244" t="e">
            <v>#VALUE!</v>
          </cell>
          <cell r="AQ1244">
            <v>0</v>
          </cell>
          <cell r="AR1244" t="e">
            <v>#VALUE!</v>
          </cell>
          <cell r="AS1244" t="e">
            <v>#VALUE!</v>
          </cell>
          <cell r="AT1244" t="e">
            <v>#VALUE!</v>
          </cell>
          <cell r="AU1244" t="e">
            <v>#VALUE!</v>
          </cell>
          <cell r="AV1244" t="e">
            <v>#VALUE!</v>
          </cell>
          <cell r="AW1244" t="e">
            <v>#VALUE!</v>
          </cell>
          <cell r="AY1244" t="e">
            <v>#VALUE!</v>
          </cell>
          <cell r="AZ1244" t="str">
            <v>F18</v>
          </cell>
          <cell r="BA1244">
            <v>0</v>
          </cell>
          <cell r="BB1244" t="str">
            <v/>
          </cell>
          <cell r="BC1244" t="str">
            <v>F18</v>
          </cell>
        </row>
        <row r="1245">
          <cell r="A1245" t="str">
            <v/>
          </cell>
          <cell r="B1245" t="str">
            <v>3</v>
          </cell>
          <cell r="C1245" t="str">
            <v/>
          </cell>
          <cell r="D1245" t="str">
            <v/>
          </cell>
          <cell r="E1245" t="str">
            <v/>
          </cell>
          <cell r="F1245" t="str">
            <v/>
          </cell>
          <cell r="G1245" t="str">
            <v/>
          </cell>
          <cell r="H1245" t="str">
            <v/>
          </cell>
          <cell r="I1245" t="str">
            <v/>
          </cell>
          <cell r="J1245" t="str">
            <v/>
          </cell>
          <cell r="K1245">
            <v>0</v>
          </cell>
          <cell r="L1245" t="str">
            <v/>
          </cell>
          <cell r="M1245" t="str">
            <v/>
          </cell>
          <cell r="N1245" t="str">
            <v/>
          </cell>
          <cell r="O1245" t="str">
            <v/>
          </cell>
          <cell r="P1245" t="str">
            <v/>
          </cell>
          <cell r="Q1245" t="e">
            <v>#VALUE!</v>
          </cell>
          <cell r="R1245" t="str">
            <v/>
          </cell>
          <cell r="S1245" t="str">
            <v/>
          </cell>
          <cell r="T1245" t="str">
            <v/>
          </cell>
          <cell r="U1245" t="str">
            <v/>
          </cell>
          <cell r="V1245" t="str">
            <v/>
          </cell>
          <cell r="W1245" t="str">
            <v/>
          </cell>
          <cell r="X1245" t="str">
            <v/>
          </cell>
          <cell r="Z1245">
            <v>0</v>
          </cell>
          <cell r="AA1245" t="e">
            <v>#VALUE!</v>
          </cell>
          <cell r="AM1245" t="str">
            <v/>
          </cell>
          <cell r="AO1245" t="e">
            <v>#VALUE!</v>
          </cell>
          <cell r="AP1245" t="e">
            <v>#VALUE!</v>
          </cell>
          <cell r="AQ1245">
            <v>0</v>
          </cell>
          <cell r="AR1245" t="e">
            <v>#VALUE!</v>
          </cell>
          <cell r="AS1245" t="e">
            <v>#VALUE!</v>
          </cell>
          <cell r="AT1245" t="e">
            <v>#VALUE!</v>
          </cell>
          <cell r="AU1245" t="e">
            <v>#VALUE!</v>
          </cell>
          <cell r="AV1245" t="e">
            <v>#VALUE!</v>
          </cell>
          <cell r="AW1245" t="e">
            <v>#VALUE!</v>
          </cell>
          <cell r="AY1245" t="e">
            <v>#VALUE!</v>
          </cell>
          <cell r="AZ1245" t="str">
            <v>F18</v>
          </cell>
          <cell r="BA1245">
            <v>0</v>
          </cell>
          <cell r="BB1245" t="str">
            <v/>
          </cell>
          <cell r="BC1245" t="str">
            <v>F18</v>
          </cell>
        </row>
        <row r="1246">
          <cell r="A1246" t="str">
            <v/>
          </cell>
          <cell r="B1246" t="str">
            <v>3</v>
          </cell>
          <cell r="C1246" t="str">
            <v/>
          </cell>
          <cell r="D1246" t="str">
            <v/>
          </cell>
          <cell r="E1246" t="str">
            <v/>
          </cell>
          <cell r="F1246" t="str">
            <v/>
          </cell>
          <cell r="G1246" t="str">
            <v/>
          </cell>
          <cell r="H1246" t="str">
            <v/>
          </cell>
          <cell r="I1246" t="str">
            <v/>
          </cell>
          <cell r="J1246" t="str">
            <v/>
          </cell>
          <cell r="K1246">
            <v>0</v>
          </cell>
          <cell r="L1246" t="str">
            <v/>
          </cell>
          <cell r="M1246" t="str">
            <v/>
          </cell>
          <cell r="N1246" t="str">
            <v/>
          </cell>
          <cell r="O1246" t="str">
            <v/>
          </cell>
          <cell r="P1246" t="str">
            <v/>
          </cell>
          <cell r="Q1246" t="e">
            <v>#VALUE!</v>
          </cell>
          <cell r="R1246" t="str">
            <v/>
          </cell>
          <cell r="S1246" t="str">
            <v/>
          </cell>
          <cell r="T1246" t="str">
            <v/>
          </cell>
          <cell r="U1246" t="str">
            <v/>
          </cell>
          <cell r="V1246" t="str">
            <v/>
          </cell>
          <cell r="W1246" t="str">
            <v/>
          </cell>
          <cell r="X1246" t="str">
            <v/>
          </cell>
          <cell r="Z1246">
            <v>0</v>
          </cell>
          <cell r="AA1246" t="e">
            <v>#VALUE!</v>
          </cell>
          <cell r="AM1246" t="str">
            <v/>
          </cell>
          <cell r="AO1246" t="e">
            <v>#VALUE!</v>
          </cell>
          <cell r="AP1246" t="e">
            <v>#VALUE!</v>
          </cell>
          <cell r="AQ1246">
            <v>0</v>
          </cell>
          <cell r="AR1246" t="e">
            <v>#VALUE!</v>
          </cell>
          <cell r="AS1246" t="e">
            <v>#VALUE!</v>
          </cell>
          <cell r="AT1246" t="e">
            <v>#VALUE!</v>
          </cell>
          <cell r="AU1246" t="e">
            <v>#VALUE!</v>
          </cell>
          <cell r="AV1246" t="e">
            <v>#VALUE!</v>
          </cell>
          <cell r="AW1246" t="e">
            <v>#VALUE!</v>
          </cell>
          <cell r="AY1246" t="e">
            <v>#VALUE!</v>
          </cell>
          <cell r="AZ1246" t="str">
            <v>F18</v>
          </cell>
          <cell r="BA1246">
            <v>0</v>
          </cell>
          <cell r="BB1246" t="str">
            <v/>
          </cell>
          <cell r="BC1246" t="str">
            <v>F18</v>
          </cell>
        </row>
        <row r="1247">
          <cell r="A1247" t="str">
            <v/>
          </cell>
          <cell r="B1247" t="str">
            <v>3</v>
          </cell>
          <cell r="C1247" t="str">
            <v/>
          </cell>
          <cell r="D1247" t="str">
            <v/>
          </cell>
          <cell r="E1247" t="str">
            <v/>
          </cell>
          <cell r="F1247" t="str">
            <v/>
          </cell>
          <cell r="G1247" t="str">
            <v/>
          </cell>
          <cell r="H1247" t="str">
            <v/>
          </cell>
          <cell r="I1247" t="str">
            <v/>
          </cell>
          <cell r="J1247" t="str">
            <v/>
          </cell>
          <cell r="K1247">
            <v>0</v>
          </cell>
          <cell r="L1247" t="str">
            <v/>
          </cell>
          <cell r="M1247" t="str">
            <v/>
          </cell>
          <cell r="N1247" t="str">
            <v/>
          </cell>
          <cell r="O1247" t="str">
            <v/>
          </cell>
          <cell r="P1247" t="str">
            <v/>
          </cell>
          <cell r="Q1247" t="e">
            <v>#VALUE!</v>
          </cell>
          <cell r="R1247" t="str">
            <v/>
          </cell>
          <cell r="S1247" t="str">
            <v/>
          </cell>
          <cell r="T1247" t="str">
            <v/>
          </cell>
          <cell r="U1247" t="str">
            <v/>
          </cell>
          <cell r="V1247" t="str">
            <v/>
          </cell>
          <cell r="W1247" t="str">
            <v/>
          </cell>
          <cell r="X1247" t="str">
            <v/>
          </cell>
          <cell r="Z1247">
            <v>0</v>
          </cell>
          <cell r="AA1247" t="e">
            <v>#VALUE!</v>
          </cell>
          <cell r="AM1247" t="str">
            <v/>
          </cell>
          <cell r="AO1247" t="e">
            <v>#VALUE!</v>
          </cell>
          <cell r="AP1247" t="e">
            <v>#VALUE!</v>
          </cell>
          <cell r="AQ1247">
            <v>0</v>
          </cell>
          <cell r="AR1247" t="e">
            <v>#VALUE!</v>
          </cell>
          <cell r="AS1247" t="e">
            <v>#VALUE!</v>
          </cell>
          <cell r="AT1247" t="e">
            <v>#VALUE!</v>
          </cell>
          <cell r="AU1247" t="e">
            <v>#VALUE!</v>
          </cell>
          <cell r="AV1247" t="e">
            <v>#VALUE!</v>
          </cell>
          <cell r="AW1247" t="e">
            <v>#VALUE!</v>
          </cell>
          <cell r="AY1247" t="e">
            <v>#VALUE!</v>
          </cell>
          <cell r="AZ1247" t="str">
            <v>F18</v>
          </cell>
          <cell r="BA1247">
            <v>0</v>
          </cell>
          <cell r="BB1247" t="str">
            <v/>
          </cell>
          <cell r="BC1247" t="str">
            <v>F18</v>
          </cell>
        </row>
        <row r="1248">
          <cell r="A1248" t="str">
            <v/>
          </cell>
          <cell r="B1248" t="str">
            <v>3</v>
          </cell>
          <cell r="C1248" t="str">
            <v/>
          </cell>
          <cell r="D1248" t="str">
            <v/>
          </cell>
          <cell r="E1248" t="str">
            <v/>
          </cell>
          <cell r="F1248" t="str">
            <v/>
          </cell>
          <cell r="G1248" t="str">
            <v/>
          </cell>
          <cell r="H1248" t="str">
            <v/>
          </cell>
          <cell r="I1248" t="str">
            <v/>
          </cell>
          <cell r="J1248" t="str">
            <v/>
          </cell>
          <cell r="K1248">
            <v>0</v>
          </cell>
          <cell r="L1248" t="str">
            <v/>
          </cell>
          <cell r="M1248" t="str">
            <v/>
          </cell>
          <cell r="N1248" t="str">
            <v/>
          </cell>
          <cell r="O1248" t="str">
            <v/>
          </cell>
          <cell r="P1248" t="str">
            <v/>
          </cell>
          <cell r="Q1248" t="e">
            <v>#VALUE!</v>
          </cell>
          <cell r="R1248" t="str">
            <v/>
          </cell>
          <cell r="S1248" t="str">
            <v/>
          </cell>
          <cell r="T1248" t="str">
            <v/>
          </cell>
          <cell r="U1248" t="str">
            <v/>
          </cell>
          <cell r="V1248" t="str">
            <v/>
          </cell>
          <cell r="W1248" t="str">
            <v/>
          </cell>
          <cell r="X1248" t="str">
            <v/>
          </cell>
          <cell r="Z1248">
            <v>0</v>
          </cell>
          <cell r="AA1248" t="e">
            <v>#VALUE!</v>
          </cell>
          <cell r="AM1248" t="str">
            <v/>
          </cell>
          <cell r="AO1248" t="e">
            <v>#VALUE!</v>
          </cell>
          <cell r="AP1248" t="e">
            <v>#VALUE!</v>
          </cell>
          <cell r="AQ1248">
            <v>0</v>
          </cell>
          <cell r="AR1248" t="e">
            <v>#VALUE!</v>
          </cell>
          <cell r="AS1248" t="e">
            <v>#VALUE!</v>
          </cell>
          <cell r="AT1248" t="e">
            <v>#VALUE!</v>
          </cell>
          <cell r="AU1248" t="e">
            <v>#VALUE!</v>
          </cell>
          <cell r="AV1248" t="e">
            <v>#VALUE!</v>
          </cell>
          <cell r="AW1248" t="e">
            <v>#VALUE!</v>
          </cell>
          <cell r="AY1248" t="e">
            <v>#VALUE!</v>
          </cell>
          <cell r="AZ1248" t="str">
            <v>F18</v>
          </cell>
          <cell r="BA1248">
            <v>0</v>
          </cell>
          <cell r="BB1248" t="str">
            <v/>
          </cell>
          <cell r="BC1248" t="str">
            <v>F18</v>
          </cell>
        </row>
        <row r="1249">
          <cell r="A1249" t="str">
            <v/>
          </cell>
          <cell r="B1249" t="str">
            <v>3</v>
          </cell>
          <cell r="C1249" t="str">
            <v/>
          </cell>
          <cell r="D1249" t="str">
            <v/>
          </cell>
          <cell r="E1249" t="str">
            <v/>
          </cell>
          <cell r="F1249" t="str">
            <v/>
          </cell>
          <cell r="G1249" t="str">
            <v/>
          </cell>
          <cell r="H1249" t="str">
            <v/>
          </cell>
          <cell r="I1249" t="str">
            <v/>
          </cell>
          <cell r="J1249" t="str">
            <v/>
          </cell>
          <cell r="K1249">
            <v>0</v>
          </cell>
          <cell r="L1249" t="str">
            <v/>
          </cell>
          <cell r="M1249" t="str">
            <v/>
          </cell>
          <cell r="N1249" t="str">
            <v/>
          </cell>
          <cell r="O1249" t="str">
            <v/>
          </cell>
          <cell r="P1249" t="str">
            <v/>
          </cell>
          <cell r="Q1249" t="e">
            <v>#VALUE!</v>
          </cell>
          <cell r="R1249" t="str">
            <v/>
          </cell>
          <cell r="S1249" t="str">
            <v/>
          </cell>
          <cell r="T1249" t="str">
            <v/>
          </cell>
          <cell r="U1249" t="str">
            <v/>
          </cell>
          <cell r="V1249" t="str">
            <v/>
          </cell>
          <cell r="W1249" t="str">
            <v/>
          </cell>
          <cell r="X1249" t="str">
            <v/>
          </cell>
          <cell r="Z1249">
            <v>0</v>
          </cell>
          <cell r="AA1249" t="e">
            <v>#VALUE!</v>
          </cell>
          <cell r="AM1249" t="str">
            <v/>
          </cell>
          <cell r="AO1249" t="e">
            <v>#VALUE!</v>
          </cell>
          <cell r="AP1249" t="e">
            <v>#VALUE!</v>
          </cell>
          <cell r="AQ1249">
            <v>0</v>
          </cell>
          <cell r="AR1249" t="e">
            <v>#VALUE!</v>
          </cell>
          <cell r="AS1249" t="e">
            <v>#VALUE!</v>
          </cell>
          <cell r="AT1249" t="e">
            <v>#VALUE!</v>
          </cell>
          <cell r="AU1249" t="e">
            <v>#VALUE!</v>
          </cell>
          <cell r="AV1249" t="e">
            <v>#VALUE!</v>
          </cell>
          <cell r="AW1249" t="e">
            <v>#VALUE!</v>
          </cell>
          <cell r="AY1249" t="e">
            <v>#VALUE!</v>
          </cell>
          <cell r="AZ1249" t="str">
            <v>F18</v>
          </cell>
          <cell r="BA1249">
            <v>0</v>
          </cell>
          <cell r="BB1249" t="str">
            <v/>
          </cell>
          <cell r="BC1249" t="str">
            <v>F18</v>
          </cell>
        </row>
        <row r="1250">
          <cell r="A1250" t="str">
            <v/>
          </cell>
          <cell r="B1250" t="str">
            <v>3</v>
          </cell>
          <cell r="C1250" t="str">
            <v/>
          </cell>
          <cell r="D1250" t="str">
            <v/>
          </cell>
          <cell r="E1250" t="str">
            <v/>
          </cell>
          <cell r="F1250" t="str">
            <v/>
          </cell>
          <cell r="G1250" t="str">
            <v/>
          </cell>
          <cell r="H1250" t="str">
            <v/>
          </cell>
          <cell r="I1250" t="str">
            <v/>
          </cell>
          <cell r="J1250" t="str">
            <v/>
          </cell>
          <cell r="K1250">
            <v>0</v>
          </cell>
          <cell r="L1250" t="str">
            <v/>
          </cell>
          <cell r="M1250" t="str">
            <v/>
          </cell>
          <cell r="N1250" t="str">
            <v/>
          </cell>
          <cell r="O1250" t="str">
            <v/>
          </cell>
          <cell r="P1250" t="str">
            <v/>
          </cell>
          <cell r="Q1250" t="e">
            <v>#VALUE!</v>
          </cell>
          <cell r="R1250" t="str">
            <v/>
          </cell>
          <cell r="S1250" t="str">
            <v/>
          </cell>
          <cell r="T1250" t="str">
            <v/>
          </cell>
          <cell r="U1250" t="str">
            <v/>
          </cell>
          <cell r="V1250" t="str">
            <v/>
          </cell>
          <cell r="W1250" t="str">
            <v/>
          </cell>
          <cell r="X1250" t="str">
            <v/>
          </cell>
          <cell r="Z1250">
            <v>0</v>
          </cell>
          <cell r="AA1250" t="e">
            <v>#VALUE!</v>
          </cell>
          <cell r="AM1250" t="str">
            <v/>
          </cell>
          <cell r="AO1250" t="e">
            <v>#VALUE!</v>
          </cell>
          <cell r="AP1250" t="e">
            <v>#VALUE!</v>
          </cell>
          <cell r="AQ1250">
            <v>0</v>
          </cell>
          <cell r="AR1250" t="e">
            <v>#VALUE!</v>
          </cell>
          <cell r="AS1250" t="e">
            <v>#VALUE!</v>
          </cell>
          <cell r="AT1250" t="e">
            <v>#VALUE!</v>
          </cell>
          <cell r="AU1250" t="e">
            <v>#VALUE!</v>
          </cell>
          <cell r="AV1250" t="e">
            <v>#VALUE!</v>
          </cell>
          <cell r="AW1250" t="e">
            <v>#VALUE!</v>
          </cell>
          <cell r="AY1250" t="e">
            <v>#VALUE!</v>
          </cell>
          <cell r="AZ1250" t="str">
            <v>F18</v>
          </cell>
          <cell r="BA1250">
            <v>0</v>
          </cell>
          <cell r="BB1250" t="str">
            <v/>
          </cell>
          <cell r="BC1250" t="str">
            <v>F18</v>
          </cell>
        </row>
        <row r="1251">
          <cell r="A1251" t="str">
            <v/>
          </cell>
          <cell r="B1251" t="str">
            <v>3</v>
          </cell>
          <cell r="C1251" t="str">
            <v/>
          </cell>
          <cell r="D1251" t="str">
            <v/>
          </cell>
          <cell r="E1251" t="str">
            <v/>
          </cell>
          <cell r="F1251" t="str">
            <v/>
          </cell>
          <cell r="G1251" t="str">
            <v/>
          </cell>
          <cell r="H1251" t="str">
            <v/>
          </cell>
          <cell r="I1251" t="str">
            <v/>
          </cell>
          <cell r="J1251" t="str">
            <v/>
          </cell>
          <cell r="K1251">
            <v>0</v>
          </cell>
          <cell r="L1251" t="str">
            <v/>
          </cell>
          <cell r="M1251" t="str">
            <v/>
          </cell>
          <cell r="N1251" t="str">
            <v/>
          </cell>
          <cell r="O1251" t="str">
            <v/>
          </cell>
          <cell r="P1251" t="str">
            <v/>
          </cell>
          <cell r="Q1251" t="e">
            <v>#VALUE!</v>
          </cell>
          <cell r="R1251" t="str">
            <v/>
          </cell>
          <cell r="S1251" t="str">
            <v/>
          </cell>
          <cell r="T1251" t="str">
            <v/>
          </cell>
          <cell r="U1251" t="str">
            <v/>
          </cell>
          <cell r="V1251" t="str">
            <v/>
          </cell>
          <cell r="W1251" t="str">
            <v/>
          </cell>
          <cell r="X1251" t="str">
            <v/>
          </cell>
          <cell r="Z1251">
            <v>0</v>
          </cell>
          <cell r="AA1251" t="e">
            <v>#VALUE!</v>
          </cell>
          <cell r="AM1251" t="str">
            <v/>
          </cell>
          <cell r="AO1251" t="e">
            <v>#VALUE!</v>
          </cell>
          <cell r="AP1251" t="e">
            <v>#VALUE!</v>
          </cell>
          <cell r="AQ1251">
            <v>0</v>
          </cell>
          <cell r="AR1251" t="e">
            <v>#VALUE!</v>
          </cell>
          <cell r="AS1251" t="e">
            <v>#VALUE!</v>
          </cell>
          <cell r="AT1251" t="e">
            <v>#VALUE!</v>
          </cell>
          <cell r="AU1251" t="e">
            <v>#VALUE!</v>
          </cell>
          <cell r="AV1251" t="e">
            <v>#VALUE!</v>
          </cell>
          <cell r="AW1251" t="e">
            <v>#VALUE!</v>
          </cell>
          <cell r="AY1251" t="e">
            <v>#VALUE!</v>
          </cell>
          <cell r="AZ1251" t="str">
            <v>F18</v>
          </cell>
          <cell r="BA1251">
            <v>0</v>
          </cell>
          <cell r="BB1251" t="str">
            <v/>
          </cell>
          <cell r="BC1251" t="str">
            <v>F18</v>
          </cell>
        </row>
        <row r="1252">
          <cell r="A1252" t="str">
            <v/>
          </cell>
          <cell r="B1252" t="str">
            <v>3</v>
          </cell>
          <cell r="C1252" t="str">
            <v/>
          </cell>
          <cell r="D1252" t="str">
            <v/>
          </cell>
          <cell r="E1252" t="str">
            <v/>
          </cell>
          <cell r="F1252" t="str">
            <v/>
          </cell>
          <cell r="G1252" t="str">
            <v/>
          </cell>
          <cell r="H1252" t="str">
            <v/>
          </cell>
          <cell r="I1252" t="str">
            <v/>
          </cell>
          <cell r="J1252" t="str">
            <v/>
          </cell>
          <cell r="K1252">
            <v>0</v>
          </cell>
          <cell r="L1252" t="str">
            <v/>
          </cell>
          <cell r="M1252" t="str">
            <v/>
          </cell>
          <cell r="N1252" t="str">
            <v/>
          </cell>
          <cell r="O1252" t="str">
            <v/>
          </cell>
          <cell r="P1252" t="str">
            <v/>
          </cell>
          <cell r="Q1252" t="e">
            <v>#VALUE!</v>
          </cell>
          <cell r="R1252" t="str">
            <v/>
          </cell>
          <cell r="S1252" t="str">
            <v/>
          </cell>
          <cell r="T1252" t="str">
            <v/>
          </cell>
          <cell r="U1252" t="str">
            <v/>
          </cell>
          <cell r="V1252" t="str">
            <v/>
          </cell>
          <cell r="W1252" t="str">
            <v/>
          </cell>
          <cell r="X1252" t="str">
            <v/>
          </cell>
          <cell r="Z1252">
            <v>0</v>
          </cell>
          <cell r="AA1252" t="e">
            <v>#VALUE!</v>
          </cell>
          <cell r="AM1252" t="str">
            <v/>
          </cell>
          <cell r="AO1252" t="e">
            <v>#VALUE!</v>
          </cell>
          <cell r="AP1252" t="e">
            <v>#VALUE!</v>
          </cell>
          <cell r="AQ1252">
            <v>0</v>
          </cell>
          <cell r="AR1252" t="e">
            <v>#VALUE!</v>
          </cell>
          <cell r="AS1252" t="e">
            <v>#VALUE!</v>
          </cell>
          <cell r="AT1252" t="e">
            <v>#VALUE!</v>
          </cell>
          <cell r="AU1252" t="e">
            <v>#VALUE!</v>
          </cell>
          <cell r="AV1252" t="e">
            <v>#VALUE!</v>
          </cell>
          <cell r="AW1252" t="e">
            <v>#VALUE!</v>
          </cell>
          <cell r="AY1252" t="e">
            <v>#VALUE!</v>
          </cell>
          <cell r="AZ1252" t="str">
            <v>F18</v>
          </cell>
          <cell r="BA1252">
            <v>0</v>
          </cell>
          <cell r="BB1252" t="str">
            <v/>
          </cell>
          <cell r="BC1252" t="str">
            <v>F18</v>
          </cell>
        </row>
        <row r="1253">
          <cell r="A1253" t="str">
            <v/>
          </cell>
          <cell r="B1253" t="str">
            <v>3</v>
          </cell>
          <cell r="C1253" t="str">
            <v/>
          </cell>
          <cell r="D1253" t="str">
            <v/>
          </cell>
          <cell r="E1253" t="str">
            <v/>
          </cell>
          <cell r="F1253" t="str">
            <v/>
          </cell>
          <cell r="G1253" t="str">
            <v/>
          </cell>
          <cell r="H1253" t="str">
            <v/>
          </cell>
          <cell r="I1253" t="str">
            <v/>
          </cell>
          <cell r="J1253" t="str">
            <v/>
          </cell>
          <cell r="K1253">
            <v>0</v>
          </cell>
          <cell r="L1253" t="str">
            <v/>
          </cell>
          <cell r="M1253" t="str">
            <v/>
          </cell>
          <cell r="N1253" t="str">
            <v/>
          </cell>
          <cell r="O1253" t="str">
            <v/>
          </cell>
          <cell r="P1253" t="str">
            <v/>
          </cell>
          <cell r="Q1253" t="e">
            <v>#VALUE!</v>
          </cell>
          <cell r="R1253" t="str">
            <v/>
          </cell>
          <cell r="S1253" t="str">
            <v/>
          </cell>
          <cell r="T1253" t="str">
            <v/>
          </cell>
          <cell r="U1253" t="str">
            <v/>
          </cell>
          <cell r="V1253" t="str">
            <v/>
          </cell>
          <cell r="W1253" t="str">
            <v/>
          </cell>
          <cell r="X1253" t="str">
            <v/>
          </cell>
          <cell r="Z1253">
            <v>0</v>
          </cell>
          <cell r="AA1253" t="e">
            <v>#VALUE!</v>
          </cell>
          <cell r="AM1253" t="str">
            <v/>
          </cell>
          <cell r="AO1253" t="e">
            <v>#VALUE!</v>
          </cell>
          <cell r="AP1253" t="e">
            <v>#VALUE!</v>
          </cell>
          <cell r="AQ1253">
            <v>0</v>
          </cell>
          <cell r="AR1253" t="e">
            <v>#VALUE!</v>
          </cell>
          <cell r="AS1253" t="e">
            <v>#VALUE!</v>
          </cell>
          <cell r="AT1253" t="e">
            <v>#VALUE!</v>
          </cell>
          <cell r="AU1253" t="e">
            <v>#VALUE!</v>
          </cell>
          <cell r="AV1253" t="e">
            <v>#VALUE!</v>
          </cell>
          <cell r="AW1253" t="e">
            <v>#VALUE!</v>
          </cell>
          <cell r="AY1253" t="e">
            <v>#VALUE!</v>
          </cell>
          <cell r="AZ1253" t="str">
            <v>F18</v>
          </cell>
          <cell r="BA1253">
            <v>0</v>
          </cell>
          <cell r="BB1253" t="str">
            <v/>
          </cell>
          <cell r="BC1253" t="str">
            <v>F18</v>
          </cell>
        </row>
        <row r="1254">
          <cell r="A1254" t="str">
            <v/>
          </cell>
          <cell r="B1254" t="str">
            <v>3</v>
          </cell>
          <cell r="C1254" t="str">
            <v/>
          </cell>
          <cell r="D1254" t="str">
            <v/>
          </cell>
          <cell r="E1254" t="str">
            <v/>
          </cell>
          <cell r="F1254" t="str">
            <v/>
          </cell>
          <cell r="G1254" t="str">
            <v/>
          </cell>
          <cell r="H1254" t="str">
            <v/>
          </cell>
          <cell r="I1254" t="str">
            <v/>
          </cell>
          <cell r="J1254" t="str">
            <v/>
          </cell>
          <cell r="K1254">
            <v>0</v>
          </cell>
          <cell r="L1254" t="str">
            <v/>
          </cell>
          <cell r="M1254" t="str">
            <v/>
          </cell>
          <cell r="N1254" t="str">
            <v/>
          </cell>
          <cell r="O1254" t="str">
            <v/>
          </cell>
          <cell r="P1254" t="str">
            <v/>
          </cell>
          <cell r="Q1254" t="e">
            <v>#VALUE!</v>
          </cell>
          <cell r="R1254" t="str">
            <v/>
          </cell>
          <cell r="S1254" t="str">
            <v/>
          </cell>
          <cell r="T1254" t="str">
            <v/>
          </cell>
          <cell r="U1254" t="str">
            <v/>
          </cell>
          <cell r="V1254" t="str">
            <v/>
          </cell>
          <cell r="W1254" t="str">
            <v/>
          </cell>
          <cell r="X1254" t="str">
            <v/>
          </cell>
          <cell r="Z1254">
            <v>0</v>
          </cell>
          <cell r="AA1254" t="e">
            <v>#VALUE!</v>
          </cell>
          <cell r="AM1254" t="str">
            <v/>
          </cell>
          <cell r="AO1254" t="e">
            <v>#VALUE!</v>
          </cell>
          <cell r="AP1254" t="e">
            <v>#VALUE!</v>
          </cell>
          <cell r="AQ1254">
            <v>0</v>
          </cell>
          <cell r="AR1254" t="e">
            <v>#VALUE!</v>
          </cell>
          <cell r="AS1254" t="e">
            <v>#VALUE!</v>
          </cell>
          <cell r="AT1254" t="e">
            <v>#VALUE!</v>
          </cell>
          <cell r="AU1254" t="e">
            <v>#VALUE!</v>
          </cell>
          <cell r="AV1254" t="e">
            <v>#VALUE!</v>
          </cell>
          <cell r="AW1254" t="e">
            <v>#VALUE!</v>
          </cell>
          <cell r="AY1254" t="e">
            <v>#VALUE!</v>
          </cell>
          <cell r="AZ1254" t="str">
            <v>F18</v>
          </cell>
          <cell r="BA1254">
            <v>0</v>
          </cell>
          <cell r="BB1254" t="str">
            <v/>
          </cell>
          <cell r="BC1254" t="str">
            <v>F18</v>
          </cell>
        </row>
        <row r="1255">
          <cell r="A1255" t="str">
            <v/>
          </cell>
          <cell r="B1255" t="str">
            <v>3</v>
          </cell>
          <cell r="C1255" t="str">
            <v/>
          </cell>
          <cell r="D1255" t="str">
            <v/>
          </cell>
          <cell r="E1255" t="str">
            <v/>
          </cell>
          <cell r="F1255" t="str">
            <v/>
          </cell>
          <cell r="G1255" t="str">
            <v/>
          </cell>
          <cell r="H1255" t="str">
            <v/>
          </cell>
          <cell r="I1255" t="str">
            <v/>
          </cell>
          <cell r="J1255" t="str">
            <v/>
          </cell>
          <cell r="K1255">
            <v>0</v>
          </cell>
          <cell r="L1255" t="str">
            <v/>
          </cell>
          <cell r="M1255" t="str">
            <v/>
          </cell>
          <cell r="N1255" t="str">
            <v/>
          </cell>
          <cell r="O1255" t="str">
            <v/>
          </cell>
          <cell r="P1255" t="str">
            <v/>
          </cell>
          <cell r="Q1255" t="e">
            <v>#VALUE!</v>
          </cell>
          <cell r="R1255" t="str">
            <v/>
          </cell>
          <cell r="S1255" t="str">
            <v/>
          </cell>
          <cell r="T1255" t="str">
            <v/>
          </cell>
          <cell r="U1255" t="str">
            <v/>
          </cell>
          <cell r="V1255" t="str">
            <v/>
          </cell>
          <cell r="W1255" t="str">
            <v/>
          </cell>
          <cell r="X1255" t="str">
            <v/>
          </cell>
          <cell r="Z1255">
            <v>0</v>
          </cell>
          <cell r="AA1255" t="e">
            <v>#VALUE!</v>
          </cell>
          <cell r="AM1255" t="str">
            <v/>
          </cell>
          <cell r="AO1255" t="e">
            <v>#VALUE!</v>
          </cell>
          <cell r="AP1255" t="e">
            <v>#VALUE!</v>
          </cell>
          <cell r="AQ1255">
            <v>0</v>
          </cell>
          <cell r="AR1255" t="e">
            <v>#VALUE!</v>
          </cell>
          <cell r="AS1255" t="e">
            <v>#VALUE!</v>
          </cell>
          <cell r="AT1255" t="e">
            <v>#VALUE!</v>
          </cell>
          <cell r="AU1255" t="e">
            <v>#VALUE!</v>
          </cell>
          <cell r="AV1255" t="e">
            <v>#VALUE!</v>
          </cell>
          <cell r="AW1255" t="e">
            <v>#VALUE!</v>
          </cell>
          <cell r="AY1255" t="e">
            <v>#VALUE!</v>
          </cell>
          <cell r="AZ1255" t="str">
            <v>F18</v>
          </cell>
          <cell r="BA1255">
            <v>0</v>
          </cell>
          <cell r="BB1255" t="str">
            <v/>
          </cell>
          <cell r="BC1255" t="str">
            <v>F18</v>
          </cell>
        </row>
        <row r="1256">
          <cell r="A1256" t="str">
            <v/>
          </cell>
          <cell r="B1256" t="str">
            <v>3</v>
          </cell>
          <cell r="C1256" t="str">
            <v/>
          </cell>
          <cell r="D1256" t="str">
            <v/>
          </cell>
          <cell r="E1256" t="str">
            <v/>
          </cell>
          <cell r="F1256" t="str">
            <v/>
          </cell>
          <cell r="G1256" t="str">
            <v/>
          </cell>
          <cell r="H1256" t="str">
            <v/>
          </cell>
          <cell r="I1256" t="str">
            <v/>
          </cell>
          <cell r="J1256" t="str">
            <v/>
          </cell>
          <cell r="K1256">
            <v>0</v>
          </cell>
          <cell r="L1256" t="str">
            <v/>
          </cell>
          <cell r="M1256" t="str">
            <v/>
          </cell>
          <cell r="N1256" t="str">
            <v/>
          </cell>
          <cell r="O1256" t="str">
            <v/>
          </cell>
          <cell r="P1256" t="str">
            <v/>
          </cell>
          <cell r="Q1256" t="e">
            <v>#VALUE!</v>
          </cell>
          <cell r="R1256" t="str">
            <v/>
          </cell>
          <cell r="S1256" t="str">
            <v/>
          </cell>
          <cell r="T1256" t="str">
            <v/>
          </cell>
          <cell r="U1256" t="str">
            <v/>
          </cell>
          <cell r="V1256" t="str">
            <v/>
          </cell>
          <cell r="W1256" t="str">
            <v/>
          </cell>
          <cell r="X1256" t="str">
            <v/>
          </cell>
          <cell r="Z1256">
            <v>0</v>
          </cell>
          <cell r="AA1256" t="e">
            <v>#VALUE!</v>
          </cell>
          <cell r="AM1256" t="str">
            <v/>
          </cell>
          <cell r="AO1256" t="e">
            <v>#VALUE!</v>
          </cell>
          <cell r="AP1256" t="e">
            <v>#VALUE!</v>
          </cell>
          <cell r="AQ1256">
            <v>0</v>
          </cell>
          <cell r="AR1256" t="e">
            <v>#VALUE!</v>
          </cell>
          <cell r="AS1256" t="e">
            <v>#VALUE!</v>
          </cell>
          <cell r="AT1256" t="e">
            <v>#VALUE!</v>
          </cell>
          <cell r="AU1256" t="e">
            <v>#VALUE!</v>
          </cell>
          <cell r="AV1256" t="e">
            <v>#VALUE!</v>
          </cell>
          <cell r="AW1256" t="e">
            <v>#VALUE!</v>
          </cell>
          <cell r="AY1256" t="e">
            <v>#VALUE!</v>
          </cell>
          <cell r="AZ1256" t="str">
            <v>F18</v>
          </cell>
          <cell r="BA1256">
            <v>0</v>
          </cell>
          <cell r="BB1256" t="str">
            <v/>
          </cell>
          <cell r="BC1256" t="str">
            <v>F18</v>
          </cell>
        </row>
        <row r="1257">
          <cell r="A1257" t="str">
            <v/>
          </cell>
          <cell r="B1257" t="str">
            <v>3</v>
          </cell>
          <cell r="C1257" t="str">
            <v/>
          </cell>
          <cell r="D1257" t="str">
            <v/>
          </cell>
          <cell r="E1257" t="str">
            <v/>
          </cell>
          <cell r="F1257" t="str">
            <v/>
          </cell>
          <cell r="G1257" t="str">
            <v/>
          </cell>
          <cell r="H1257" t="str">
            <v/>
          </cell>
          <cell r="I1257" t="str">
            <v/>
          </cell>
          <cell r="J1257" t="str">
            <v/>
          </cell>
          <cell r="K1257">
            <v>0</v>
          </cell>
          <cell r="L1257" t="str">
            <v/>
          </cell>
          <cell r="M1257" t="str">
            <v/>
          </cell>
          <cell r="N1257" t="str">
            <v/>
          </cell>
          <cell r="O1257" t="str">
            <v/>
          </cell>
          <cell r="P1257" t="str">
            <v/>
          </cell>
          <cell r="Q1257" t="e">
            <v>#VALUE!</v>
          </cell>
          <cell r="R1257" t="str">
            <v/>
          </cell>
          <cell r="S1257" t="str">
            <v/>
          </cell>
          <cell r="T1257" t="str">
            <v/>
          </cell>
          <cell r="U1257" t="str">
            <v/>
          </cell>
          <cell r="V1257" t="str">
            <v/>
          </cell>
          <cell r="W1257" t="str">
            <v/>
          </cell>
          <cell r="X1257" t="str">
            <v/>
          </cell>
          <cell r="Z1257">
            <v>0</v>
          </cell>
          <cell r="AA1257" t="e">
            <v>#VALUE!</v>
          </cell>
          <cell r="AM1257" t="str">
            <v/>
          </cell>
          <cell r="AO1257" t="e">
            <v>#VALUE!</v>
          </cell>
          <cell r="AP1257" t="e">
            <v>#VALUE!</v>
          </cell>
          <cell r="AQ1257">
            <v>0</v>
          </cell>
          <cell r="AR1257" t="e">
            <v>#VALUE!</v>
          </cell>
          <cell r="AS1257" t="e">
            <v>#VALUE!</v>
          </cell>
          <cell r="AT1257" t="e">
            <v>#VALUE!</v>
          </cell>
          <cell r="AU1257" t="e">
            <v>#VALUE!</v>
          </cell>
          <cell r="AV1257" t="e">
            <v>#VALUE!</v>
          </cell>
          <cell r="AW1257" t="e">
            <v>#VALUE!</v>
          </cell>
          <cell r="AY1257" t="e">
            <v>#VALUE!</v>
          </cell>
          <cell r="AZ1257" t="str">
            <v>F18</v>
          </cell>
          <cell r="BA1257">
            <v>0</v>
          </cell>
          <cell r="BB1257" t="str">
            <v/>
          </cell>
          <cell r="BC1257" t="str">
            <v>F18</v>
          </cell>
        </row>
        <row r="1258">
          <cell r="A1258" t="str">
            <v/>
          </cell>
          <cell r="B1258" t="str">
            <v>3</v>
          </cell>
          <cell r="C1258" t="str">
            <v/>
          </cell>
          <cell r="D1258" t="str">
            <v/>
          </cell>
          <cell r="E1258" t="str">
            <v/>
          </cell>
          <cell r="F1258" t="str">
            <v/>
          </cell>
          <cell r="G1258" t="str">
            <v/>
          </cell>
          <cell r="H1258" t="str">
            <v/>
          </cell>
          <cell r="I1258" t="str">
            <v/>
          </cell>
          <cell r="J1258" t="str">
            <v/>
          </cell>
          <cell r="K1258">
            <v>0</v>
          </cell>
          <cell r="L1258" t="str">
            <v/>
          </cell>
          <cell r="M1258" t="str">
            <v/>
          </cell>
          <cell r="N1258" t="str">
            <v/>
          </cell>
          <cell r="O1258" t="str">
            <v/>
          </cell>
          <cell r="P1258" t="str">
            <v/>
          </cell>
          <cell r="Q1258" t="e">
            <v>#VALUE!</v>
          </cell>
          <cell r="R1258" t="str">
            <v/>
          </cell>
          <cell r="S1258" t="str">
            <v/>
          </cell>
          <cell r="T1258" t="str">
            <v/>
          </cell>
          <cell r="U1258" t="str">
            <v/>
          </cell>
          <cell r="V1258" t="str">
            <v/>
          </cell>
          <cell r="W1258" t="str">
            <v/>
          </cell>
          <cell r="X1258" t="str">
            <v/>
          </cell>
          <cell r="Z1258">
            <v>0</v>
          </cell>
          <cell r="AA1258" t="e">
            <v>#VALUE!</v>
          </cell>
          <cell r="AM1258" t="str">
            <v/>
          </cell>
          <cell r="AO1258" t="e">
            <v>#VALUE!</v>
          </cell>
          <cell r="AP1258" t="e">
            <v>#VALUE!</v>
          </cell>
          <cell r="AQ1258">
            <v>0</v>
          </cell>
          <cell r="AR1258" t="e">
            <v>#VALUE!</v>
          </cell>
          <cell r="AS1258" t="e">
            <v>#VALUE!</v>
          </cell>
          <cell r="AT1258" t="e">
            <v>#VALUE!</v>
          </cell>
          <cell r="AU1258" t="e">
            <v>#VALUE!</v>
          </cell>
          <cell r="AV1258" t="e">
            <v>#VALUE!</v>
          </cell>
          <cell r="AW1258" t="e">
            <v>#VALUE!</v>
          </cell>
          <cell r="AY1258" t="e">
            <v>#VALUE!</v>
          </cell>
          <cell r="AZ1258" t="str">
            <v>F18</v>
          </cell>
          <cell r="BA1258">
            <v>0</v>
          </cell>
          <cell r="BB1258" t="str">
            <v/>
          </cell>
          <cell r="BC1258" t="str">
            <v>F18</v>
          </cell>
        </row>
        <row r="1259">
          <cell r="A1259" t="str">
            <v/>
          </cell>
          <cell r="B1259" t="str">
            <v>3</v>
          </cell>
          <cell r="C1259" t="str">
            <v/>
          </cell>
          <cell r="D1259" t="str">
            <v/>
          </cell>
          <cell r="E1259" t="str">
            <v/>
          </cell>
          <cell r="F1259" t="str">
            <v/>
          </cell>
          <cell r="G1259" t="str">
            <v/>
          </cell>
          <cell r="H1259" t="str">
            <v/>
          </cell>
          <cell r="I1259" t="str">
            <v/>
          </cell>
          <cell r="J1259" t="str">
            <v/>
          </cell>
          <cell r="K1259">
            <v>0</v>
          </cell>
          <cell r="L1259" t="str">
            <v/>
          </cell>
          <cell r="M1259" t="str">
            <v/>
          </cell>
          <cell r="N1259" t="str">
            <v/>
          </cell>
          <cell r="O1259" t="str">
            <v/>
          </cell>
          <cell r="P1259" t="str">
            <v/>
          </cell>
          <cell r="Q1259" t="e">
            <v>#VALUE!</v>
          </cell>
          <cell r="R1259" t="str">
            <v/>
          </cell>
          <cell r="S1259" t="str">
            <v/>
          </cell>
          <cell r="T1259" t="str">
            <v/>
          </cell>
          <cell r="U1259" t="str">
            <v/>
          </cell>
          <cell r="V1259" t="str">
            <v/>
          </cell>
          <cell r="W1259" t="str">
            <v/>
          </cell>
          <cell r="X1259" t="str">
            <v/>
          </cell>
          <cell r="Z1259">
            <v>0</v>
          </cell>
          <cell r="AA1259" t="e">
            <v>#VALUE!</v>
          </cell>
          <cell r="AM1259" t="str">
            <v/>
          </cell>
          <cell r="AO1259" t="e">
            <v>#VALUE!</v>
          </cell>
          <cell r="AP1259" t="e">
            <v>#VALUE!</v>
          </cell>
          <cell r="AQ1259">
            <v>0</v>
          </cell>
          <cell r="AR1259" t="e">
            <v>#VALUE!</v>
          </cell>
          <cell r="AS1259" t="e">
            <v>#VALUE!</v>
          </cell>
          <cell r="AT1259" t="e">
            <v>#VALUE!</v>
          </cell>
          <cell r="AU1259" t="e">
            <v>#VALUE!</v>
          </cell>
          <cell r="AV1259" t="e">
            <v>#VALUE!</v>
          </cell>
          <cell r="AW1259" t="e">
            <v>#VALUE!</v>
          </cell>
          <cell r="AY1259" t="e">
            <v>#VALUE!</v>
          </cell>
          <cell r="AZ1259" t="str">
            <v>F18</v>
          </cell>
          <cell r="BA1259">
            <v>0</v>
          </cell>
          <cell r="BB1259" t="str">
            <v/>
          </cell>
          <cell r="BC1259" t="str">
            <v>F18</v>
          </cell>
        </row>
        <row r="1260">
          <cell r="A1260" t="str">
            <v/>
          </cell>
          <cell r="B1260" t="str">
            <v>3</v>
          </cell>
          <cell r="C1260" t="str">
            <v/>
          </cell>
          <cell r="D1260" t="str">
            <v/>
          </cell>
          <cell r="E1260" t="str">
            <v/>
          </cell>
          <cell r="F1260" t="str">
            <v/>
          </cell>
          <cell r="G1260" t="str">
            <v/>
          </cell>
          <cell r="H1260" t="str">
            <v/>
          </cell>
          <cell r="I1260" t="str">
            <v/>
          </cell>
          <cell r="J1260" t="str">
            <v/>
          </cell>
          <cell r="K1260">
            <v>0</v>
          </cell>
          <cell r="L1260" t="str">
            <v/>
          </cell>
          <cell r="M1260" t="str">
            <v/>
          </cell>
          <cell r="N1260" t="str">
            <v/>
          </cell>
          <cell r="O1260" t="str">
            <v/>
          </cell>
          <cell r="P1260" t="str">
            <v/>
          </cell>
          <cell r="Q1260" t="e">
            <v>#VALUE!</v>
          </cell>
          <cell r="R1260" t="str">
            <v/>
          </cell>
          <cell r="S1260" t="str">
            <v/>
          </cell>
          <cell r="T1260" t="str">
            <v/>
          </cell>
          <cell r="U1260" t="str">
            <v/>
          </cell>
          <cell r="V1260" t="str">
            <v/>
          </cell>
          <cell r="W1260" t="str">
            <v/>
          </cell>
          <cell r="X1260" t="str">
            <v/>
          </cell>
          <cell r="Z1260">
            <v>0</v>
          </cell>
          <cell r="AA1260" t="e">
            <v>#VALUE!</v>
          </cell>
          <cell r="AM1260" t="str">
            <v/>
          </cell>
          <cell r="AO1260" t="e">
            <v>#VALUE!</v>
          </cell>
          <cell r="AP1260" t="e">
            <v>#VALUE!</v>
          </cell>
          <cell r="AQ1260">
            <v>0</v>
          </cell>
          <cell r="AR1260" t="e">
            <v>#VALUE!</v>
          </cell>
          <cell r="AS1260" t="e">
            <v>#VALUE!</v>
          </cell>
          <cell r="AT1260" t="e">
            <v>#VALUE!</v>
          </cell>
          <cell r="AU1260" t="e">
            <v>#VALUE!</v>
          </cell>
          <cell r="AV1260" t="e">
            <v>#VALUE!</v>
          </cell>
          <cell r="AW1260" t="e">
            <v>#VALUE!</v>
          </cell>
          <cell r="AY1260" t="e">
            <v>#VALUE!</v>
          </cell>
          <cell r="AZ1260" t="str">
            <v>F18</v>
          </cell>
          <cell r="BA1260">
            <v>0</v>
          </cell>
          <cell r="BB1260" t="str">
            <v/>
          </cell>
          <cell r="BC1260" t="str">
            <v>F18</v>
          </cell>
        </row>
        <row r="1261">
          <cell r="A1261" t="str">
            <v/>
          </cell>
          <cell r="B1261" t="str">
            <v>3</v>
          </cell>
          <cell r="C1261" t="str">
            <v/>
          </cell>
          <cell r="D1261" t="str">
            <v/>
          </cell>
          <cell r="E1261" t="str">
            <v/>
          </cell>
          <cell r="F1261" t="str">
            <v/>
          </cell>
          <cell r="G1261" t="str">
            <v/>
          </cell>
          <cell r="H1261" t="str">
            <v/>
          </cell>
          <cell r="I1261" t="str">
            <v/>
          </cell>
          <cell r="J1261" t="str">
            <v/>
          </cell>
          <cell r="K1261">
            <v>0</v>
          </cell>
          <cell r="L1261" t="str">
            <v/>
          </cell>
          <cell r="M1261" t="str">
            <v/>
          </cell>
          <cell r="N1261" t="str">
            <v/>
          </cell>
          <cell r="O1261" t="str">
            <v/>
          </cell>
          <cell r="P1261" t="str">
            <v/>
          </cell>
          <cell r="Q1261" t="e">
            <v>#VALUE!</v>
          </cell>
          <cell r="R1261" t="str">
            <v/>
          </cell>
          <cell r="S1261" t="str">
            <v/>
          </cell>
          <cell r="T1261" t="str">
            <v/>
          </cell>
          <cell r="U1261" t="str">
            <v/>
          </cell>
          <cell r="V1261" t="str">
            <v/>
          </cell>
          <cell r="W1261" t="str">
            <v/>
          </cell>
          <cell r="X1261" t="str">
            <v/>
          </cell>
          <cell r="Z1261">
            <v>0</v>
          </cell>
          <cell r="AA1261" t="e">
            <v>#VALUE!</v>
          </cell>
          <cell r="AM1261" t="str">
            <v/>
          </cell>
          <cell r="AO1261" t="e">
            <v>#VALUE!</v>
          </cell>
          <cell r="AP1261" t="e">
            <v>#VALUE!</v>
          </cell>
          <cell r="AQ1261">
            <v>0</v>
          </cell>
          <cell r="AR1261" t="e">
            <v>#VALUE!</v>
          </cell>
          <cell r="AS1261" t="e">
            <v>#VALUE!</v>
          </cell>
          <cell r="AT1261" t="e">
            <v>#VALUE!</v>
          </cell>
          <cell r="AU1261" t="e">
            <v>#VALUE!</v>
          </cell>
          <cell r="AV1261" t="e">
            <v>#VALUE!</v>
          </cell>
          <cell r="AW1261" t="e">
            <v>#VALUE!</v>
          </cell>
          <cell r="AY1261" t="e">
            <v>#VALUE!</v>
          </cell>
          <cell r="AZ1261" t="str">
            <v>F18</v>
          </cell>
          <cell r="BA1261">
            <v>0</v>
          </cell>
          <cell r="BB1261" t="str">
            <v/>
          </cell>
          <cell r="BC1261" t="str">
            <v>F18</v>
          </cell>
        </row>
        <row r="1262">
          <cell r="A1262" t="str">
            <v/>
          </cell>
          <cell r="B1262" t="str">
            <v>3</v>
          </cell>
          <cell r="C1262" t="str">
            <v/>
          </cell>
          <cell r="D1262" t="str">
            <v/>
          </cell>
          <cell r="E1262" t="str">
            <v/>
          </cell>
          <cell r="F1262" t="str">
            <v/>
          </cell>
          <cell r="G1262" t="str">
            <v/>
          </cell>
          <cell r="H1262" t="str">
            <v/>
          </cell>
          <cell r="I1262" t="str">
            <v/>
          </cell>
          <cell r="J1262" t="str">
            <v/>
          </cell>
          <cell r="K1262">
            <v>0</v>
          </cell>
          <cell r="L1262" t="str">
            <v/>
          </cell>
          <cell r="M1262" t="str">
            <v/>
          </cell>
          <cell r="N1262" t="str">
            <v/>
          </cell>
          <cell r="O1262" t="str">
            <v/>
          </cell>
          <cell r="P1262" t="str">
            <v/>
          </cell>
          <cell r="Q1262" t="e">
            <v>#VALUE!</v>
          </cell>
          <cell r="R1262" t="str">
            <v/>
          </cell>
          <cell r="S1262" t="str">
            <v/>
          </cell>
          <cell r="T1262" t="str">
            <v/>
          </cell>
          <cell r="U1262" t="str">
            <v/>
          </cell>
          <cell r="V1262" t="str">
            <v/>
          </cell>
          <cell r="W1262" t="str">
            <v/>
          </cell>
          <cell r="X1262" t="str">
            <v/>
          </cell>
          <cell r="Z1262">
            <v>0</v>
          </cell>
          <cell r="AA1262" t="e">
            <v>#VALUE!</v>
          </cell>
          <cell r="AM1262" t="str">
            <v/>
          </cell>
          <cell r="AO1262" t="e">
            <v>#VALUE!</v>
          </cell>
          <cell r="AP1262" t="e">
            <v>#VALUE!</v>
          </cell>
          <cell r="AQ1262">
            <v>0</v>
          </cell>
          <cell r="AR1262" t="e">
            <v>#VALUE!</v>
          </cell>
          <cell r="AS1262" t="e">
            <v>#VALUE!</v>
          </cell>
          <cell r="AT1262" t="e">
            <v>#VALUE!</v>
          </cell>
          <cell r="AU1262" t="e">
            <v>#VALUE!</v>
          </cell>
          <cell r="AV1262" t="e">
            <v>#VALUE!</v>
          </cell>
          <cell r="AW1262" t="e">
            <v>#VALUE!</v>
          </cell>
          <cell r="AY1262" t="e">
            <v>#VALUE!</v>
          </cell>
          <cell r="AZ1262" t="str">
            <v>F18</v>
          </cell>
          <cell r="BA1262">
            <v>0</v>
          </cell>
          <cell r="BB1262" t="str">
            <v/>
          </cell>
          <cell r="BC1262" t="str">
            <v>F18</v>
          </cell>
        </row>
        <row r="1263">
          <cell r="A1263" t="str">
            <v/>
          </cell>
          <cell r="B1263" t="str">
            <v>3</v>
          </cell>
          <cell r="C1263" t="str">
            <v/>
          </cell>
          <cell r="D1263" t="str">
            <v/>
          </cell>
          <cell r="E1263" t="str">
            <v/>
          </cell>
          <cell r="F1263" t="str">
            <v/>
          </cell>
          <cell r="G1263" t="str">
            <v/>
          </cell>
          <cell r="H1263" t="str">
            <v/>
          </cell>
          <cell r="I1263" t="str">
            <v/>
          </cell>
          <cell r="J1263" t="str">
            <v/>
          </cell>
          <cell r="K1263">
            <v>0</v>
          </cell>
          <cell r="L1263" t="str">
            <v/>
          </cell>
          <cell r="M1263" t="str">
            <v/>
          </cell>
          <cell r="N1263" t="str">
            <v/>
          </cell>
          <cell r="O1263" t="str">
            <v/>
          </cell>
          <cell r="P1263" t="str">
            <v/>
          </cell>
          <cell r="Q1263" t="e">
            <v>#VALUE!</v>
          </cell>
          <cell r="R1263" t="str">
            <v/>
          </cell>
          <cell r="S1263" t="str">
            <v/>
          </cell>
          <cell r="T1263" t="str">
            <v/>
          </cell>
          <cell r="U1263" t="str">
            <v/>
          </cell>
          <cell r="V1263" t="str">
            <v/>
          </cell>
          <cell r="W1263" t="str">
            <v/>
          </cell>
          <cell r="X1263" t="str">
            <v/>
          </cell>
          <cell r="Z1263">
            <v>0</v>
          </cell>
          <cell r="AA1263" t="e">
            <v>#VALUE!</v>
          </cell>
          <cell r="AM1263" t="str">
            <v/>
          </cell>
          <cell r="AO1263" t="e">
            <v>#VALUE!</v>
          </cell>
          <cell r="AP1263" t="e">
            <v>#VALUE!</v>
          </cell>
          <cell r="AQ1263">
            <v>0</v>
          </cell>
          <cell r="AR1263" t="e">
            <v>#VALUE!</v>
          </cell>
          <cell r="AS1263" t="e">
            <v>#VALUE!</v>
          </cell>
          <cell r="AT1263" t="e">
            <v>#VALUE!</v>
          </cell>
          <cell r="AU1263" t="e">
            <v>#VALUE!</v>
          </cell>
          <cell r="AV1263" t="e">
            <v>#VALUE!</v>
          </cell>
          <cell r="AW1263" t="e">
            <v>#VALUE!</v>
          </cell>
          <cell r="AY1263" t="e">
            <v>#VALUE!</v>
          </cell>
          <cell r="AZ1263" t="str">
            <v>F18</v>
          </cell>
          <cell r="BA1263">
            <v>0</v>
          </cell>
          <cell r="BB1263" t="str">
            <v/>
          </cell>
          <cell r="BC1263" t="str">
            <v>F18</v>
          </cell>
        </row>
        <row r="1264">
          <cell r="A1264" t="str">
            <v/>
          </cell>
          <cell r="B1264" t="str">
            <v>3</v>
          </cell>
          <cell r="C1264" t="str">
            <v/>
          </cell>
          <cell r="D1264" t="str">
            <v/>
          </cell>
          <cell r="E1264" t="str">
            <v/>
          </cell>
          <cell r="F1264" t="str">
            <v/>
          </cell>
          <cell r="G1264" t="str">
            <v/>
          </cell>
          <cell r="H1264" t="str">
            <v/>
          </cell>
          <cell r="I1264" t="str">
            <v/>
          </cell>
          <cell r="J1264" t="str">
            <v/>
          </cell>
          <cell r="K1264">
            <v>0</v>
          </cell>
          <cell r="L1264" t="str">
            <v/>
          </cell>
          <cell r="M1264" t="str">
            <v/>
          </cell>
          <cell r="N1264" t="str">
            <v/>
          </cell>
          <cell r="O1264" t="str">
            <v/>
          </cell>
          <cell r="P1264" t="str">
            <v/>
          </cell>
          <cell r="Q1264" t="e">
            <v>#VALUE!</v>
          </cell>
          <cell r="R1264" t="str">
            <v/>
          </cell>
          <cell r="S1264" t="str">
            <v/>
          </cell>
          <cell r="T1264" t="str">
            <v/>
          </cell>
          <cell r="U1264" t="str">
            <v/>
          </cell>
          <cell r="V1264" t="str">
            <v/>
          </cell>
          <cell r="W1264" t="str">
            <v/>
          </cell>
          <cell r="X1264" t="str">
            <v/>
          </cell>
          <cell r="Z1264">
            <v>0</v>
          </cell>
          <cell r="AA1264" t="e">
            <v>#VALUE!</v>
          </cell>
          <cell r="AM1264" t="str">
            <v/>
          </cell>
          <cell r="AO1264" t="e">
            <v>#VALUE!</v>
          </cell>
          <cell r="AP1264" t="e">
            <v>#VALUE!</v>
          </cell>
          <cell r="AQ1264">
            <v>0</v>
          </cell>
          <cell r="AR1264" t="e">
            <v>#VALUE!</v>
          </cell>
          <cell r="AS1264" t="e">
            <v>#VALUE!</v>
          </cell>
          <cell r="AT1264" t="e">
            <v>#VALUE!</v>
          </cell>
          <cell r="AU1264" t="e">
            <v>#VALUE!</v>
          </cell>
          <cell r="AV1264" t="e">
            <v>#VALUE!</v>
          </cell>
          <cell r="AW1264" t="e">
            <v>#VALUE!</v>
          </cell>
          <cell r="AY1264" t="e">
            <v>#VALUE!</v>
          </cell>
          <cell r="AZ1264" t="str">
            <v>F18</v>
          </cell>
          <cell r="BA1264">
            <v>0</v>
          </cell>
          <cell r="BB1264" t="str">
            <v/>
          </cell>
          <cell r="BC1264" t="str">
            <v>F18</v>
          </cell>
        </row>
        <row r="1265">
          <cell r="A1265" t="str">
            <v/>
          </cell>
          <cell r="B1265" t="str">
            <v>3</v>
          </cell>
          <cell r="C1265" t="str">
            <v/>
          </cell>
          <cell r="D1265" t="str">
            <v/>
          </cell>
          <cell r="E1265" t="str">
            <v/>
          </cell>
          <cell r="F1265" t="str">
            <v/>
          </cell>
          <cell r="G1265" t="str">
            <v/>
          </cell>
          <cell r="H1265" t="str">
            <v/>
          </cell>
          <cell r="I1265" t="str">
            <v/>
          </cell>
          <cell r="J1265" t="str">
            <v/>
          </cell>
          <cell r="K1265">
            <v>0</v>
          </cell>
          <cell r="L1265" t="str">
            <v/>
          </cell>
          <cell r="M1265" t="str">
            <v/>
          </cell>
          <cell r="N1265" t="str">
            <v/>
          </cell>
          <cell r="O1265" t="str">
            <v/>
          </cell>
          <cell r="P1265" t="str">
            <v/>
          </cell>
          <cell r="Q1265" t="e">
            <v>#VALUE!</v>
          </cell>
          <cell r="R1265" t="str">
            <v/>
          </cell>
          <cell r="S1265" t="str">
            <v/>
          </cell>
          <cell r="T1265" t="str">
            <v/>
          </cell>
          <cell r="U1265" t="str">
            <v/>
          </cell>
          <cell r="V1265" t="str">
            <v/>
          </cell>
          <cell r="W1265" t="str">
            <v/>
          </cell>
          <cell r="X1265" t="str">
            <v/>
          </cell>
          <cell r="Z1265">
            <v>0</v>
          </cell>
          <cell r="AA1265" t="e">
            <v>#VALUE!</v>
          </cell>
          <cell r="AM1265" t="str">
            <v/>
          </cell>
          <cell r="AO1265" t="e">
            <v>#VALUE!</v>
          </cell>
          <cell r="AP1265" t="e">
            <v>#VALUE!</v>
          </cell>
          <cell r="AQ1265">
            <v>0</v>
          </cell>
          <cell r="AR1265" t="e">
            <v>#VALUE!</v>
          </cell>
          <cell r="AS1265" t="e">
            <v>#VALUE!</v>
          </cell>
          <cell r="AT1265" t="e">
            <v>#VALUE!</v>
          </cell>
          <cell r="AU1265" t="e">
            <v>#VALUE!</v>
          </cell>
          <cell r="AV1265" t="e">
            <v>#VALUE!</v>
          </cell>
          <cell r="AW1265" t="e">
            <v>#VALUE!</v>
          </cell>
          <cell r="AY1265" t="e">
            <v>#VALUE!</v>
          </cell>
          <cell r="AZ1265" t="str">
            <v>F18</v>
          </cell>
          <cell r="BA1265">
            <v>0</v>
          </cell>
          <cell r="BB1265" t="str">
            <v/>
          </cell>
          <cell r="BC1265" t="str">
            <v>F18</v>
          </cell>
        </row>
        <row r="1266">
          <cell r="A1266" t="str">
            <v/>
          </cell>
          <cell r="B1266" t="str">
            <v>3</v>
          </cell>
          <cell r="C1266" t="str">
            <v/>
          </cell>
          <cell r="D1266" t="str">
            <v/>
          </cell>
          <cell r="E1266" t="str">
            <v/>
          </cell>
          <cell r="F1266" t="str">
            <v/>
          </cell>
          <cell r="G1266" t="str">
            <v/>
          </cell>
          <cell r="H1266" t="str">
            <v/>
          </cell>
          <cell r="I1266" t="str">
            <v/>
          </cell>
          <cell r="J1266" t="str">
            <v/>
          </cell>
          <cell r="K1266">
            <v>0</v>
          </cell>
          <cell r="L1266" t="str">
            <v/>
          </cell>
          <cell r="M1266" t="str">
            <v/>
          </cell>
          <cell r="N1266" t="str">
            <v/>
          </cell>
          <cell r="O1266" t="str">
            <v/>
          </cell>
          <cell r="P1266" t="str">
            <v/>
          </cell>
          <cell r="Q1266" t="e">
            <v>#VALUE!</v>
          </cell>
          <cell r="R1266" t="str">
            <v/>
          </cell>
          <cell r="S1266" t="str">
            <v/>
          </cell>
          <cell r="T1266" t="str">
            <v/>
          </cell>
          <cell r="U1266" t="str">
            <v/>
          </cell>
          <cell r="V1266" t="str">
            <v/>
          </cell>
          <cell r="W1266" t="str">
            <v/>
          </cell>
          <cell r="X1266" t="str">
            <v/>
          </cell>
          <cell r="Z1266">
            <v>0</v>
          </cell>
          <cell r="AA1266" t="e">
            <v>#VALUE!</v>
          </cell>
          <cell r="AM1266" t="str">
            <v/>
          </cell>
          <cell r="AO1266" t="e">
            <v>#VALUE!</v>
          </cell>
          <cell r="AP1266" t="e">
            <v>#VALUE!</v>
          </cell>
          <cell r="AQ1266">
            <v>0</v>
          </cell>
          <cell r="AR1266" t="e">
            <v>#VALUE!</v>
          </cell>
          <cell r="AS1266" t="e">
            <v>#VALUE!</v>
          </cell>
          <cell r="AT1266" t="e">
            <v>#VALUE!</v>
          </cell>
          <cell r="AU1266" t="e">
            <v>#VALUE!</v>
          </cell>
          <cell r="AV1266" t="e">
            <v>#VALUE!</v>
          </cell>
          <cell r="AW1266" t="e">
            <v>#VALUE!</v>
          </cell>
          <cell r="AY1266" t="e">
            <v>#VALUE!</v>
          </cell>
          <cell r="AZ1266" t="str">
            <v>F18</v>
          </cell>
          <cell r="BA1266">
            <v>0</v>
          </cell>
          <cell r="BB1266" t="str">
            <v/>
          </cell>
          <cell r="BC1266" t="str">
            <v>F18</v>
          </cell>
        </row>
        <row r="1267">
          <cell r="A1267" t="str">
            <v/>
          </cell>
          <cell r="B1267" t="str">
            <v>3</v>
          </cell>
          <cell r="C1267" t="str">
            <v/>
          </cell>
          <cell r="D1267" t="str">
            <v/>
          </cell>
          <cell r="E1267" t="str">
            <v/>
          </cell>
          <cell r="F1267" t="str">
            <v/>
          </cell>
          <cell r="G1267" t="str">
            <v/>
          </cell>
          <cell r="H1267" t="str">
            <v/>
          </cell>
          <cell r="I1267" t="str">
            <v/>
          </cell>
          <cell r="J1267" t="str">
            <v/>
          </cell>
          <cell r="K1267">
            <v>0</v>
          </cell>
          <cell r="L1267" t="str">
            <v/>
          </cell>
          <cell r="M1267" t="str">
            <v/>
          </cell>
          <cell r="N1267" t="str">
            <v/>
          </cell>
          <cell r="O1267" t="str">
            <v/>
          </cell>
          <cell r="P1267" t="str">
            <v/>
          </cell>
          <cell r="Q1267" t="e">
            <v>#VALUE!</v>
          </cell>
          <cell r="R1267" t="str">
            <v/>
          </cell>
          <cell r="S1267" t="str">
            <v/>
          </cell>
          <cell r="T1267" t="str">
            <v/>
          </cell>
          <cell r="U1267" t="str">
            <v/>
          </cell>
          <cell r="V1267" t="str">
            <v/>
          </cell>
          <cell r="W1267" t="str">
            <v/>
          </cell>
          <cell r="X1267" t="str">
            <v/>
          </cell>
          <cell r="Z1267">
            <v>0</v>
          </cell>
          <cell r="AA1267" t="e">
            <v>#VALUE!</v>
          </cell>
          <cell r="AM1267" t="str">
            <v/>
          </cell>
          <cell r="AO1267" t="e">
            <v>#VALUE!</v>
          </cell>
          <cell r="AP1267" t="e">
            <v>#VALUE!</v>
          </cell>
          <cell r="AQ1267">
            <v>0</v>
          </cell>
          <cell r="AR1267" t="e">
            <v>#VALUE!</v>
          </cell>
          <cell r="AS1267" t="e">
            <v>#VALUE!</v>
          </cell>
          <cell r="AT1267" t="e">
            <v>#VALUE!</v>
          </cell>
          <cell r="AU1267" t="e">
            <v>#VALUE!</v>
          </cell>
          <cell r="AV1267" t="e">
            <v>#VALUE!</v>
          </cell>
          <cell r="AW1267" t="e">
            <v>#VALUE!</v>
          </cell>
          <cell r="AY1267" t="e">
            <v>#VALUE!</v>
          </cell>
          <cell r="AZ1267" t="str">
            <v>F18</v>
          </cell>
          <cell r="BA1267">
            <v>0</v>
          </cell>
          <cell r="BB1267" t="str">
            <v/>
          </cell>
          <cell r="BC1267" t="str">
            <v>F18</v>
          </cell>
        </row>
        <row r="1268">
          <cell r="A1268" t="str">
            <v/>
          </cell>
          <cell r="B1268" t="str">
            <v>3</v>
          </cell>
          <cell r="C1268" t="str">
            <v/>
          </cell>
          <cell r="D1268" t="str">
            <v/>
          </cell>
          <cell r="E1268" t="str">
            <v/>
          </cell>
          <cell r="F1268" t="str">
            <v/>
          </cell>
          <cell r="G1268" t="str">
            <v/>
          </cell>
          <cell r="H1268" t="str">
            <v/>
          </cell>
          <cell r="I1268" t="str">
            <v/>
          </cell>
          <cell r="J1268" t="str">
            <v/>
          </cell>
          <cell r="K1268">
            <v>0</v>
          </cell>
          <cell r="L1268" t="str">
            <v/>
          </cell>
          <cell r="M1268" t="str">
            <v/>
          </cell>
          <cell r="N1268" t="str">
            <v/>
          </cell>
          <cell r="O1268" t="str">
            <v/>
          </cell>
          <cell r="P1268" t="str">
            <v/>
          </cell>
          <cell r="Q1268" t="e">
            <v>#VALUE!</v>
          </cell>
          <cell r="R1268" t="str">
            <v/>
          </cell>
          <cell r="S1268" t="str">
            <v/>
          </cell>
          <cell r="T1268" t="str">
            <v/>
          </cell>
          <cell r="U1268" t="str">
            <v/>
          </cell>
          <cell r="V1268" t="str">
            <v/>
          </cell>
          <cell r="W1268" t="str">
            <v/>
          </cell>
          <cell r="X1268" t="str">
            <v/>
          </cell>
          <cell r="Z1268">
            <v>0</v>
          </cell>
          <cell r="AA1268" t="e">
            <v>#VALUE!</v>
          </cell>
          <cell r="AM1268" t="str">
            <v/>
          </cell>
          <cell r="AO1268" t="e">
            <v>#VALUE!</v>
          </cell>
          <cell r="AP1268" t="e">
            <v>#VALUE!</v>
          </cell>
          <cell r="AQ1268">
            <v>0</v>
          </cell>
          <cell r="AR1268" t="e">
            <v>#VALUE!</v>
          </cell>
          <cell r="AS1268" t="e">
            <v>#VALUE!</v>
          </cell>
          <cell r="AT1268" t="e">
            <v>#VALUE!</v>
          </cell>
          <cell r="AU1268" t="e">
            <v>#VALUE!</v>
          </cell>
          <cell r="AV1268" t="e">
            <v>#VALUE!</v>
          </cell>
          <cell r="AW1268" t="e">
            <v>#VALUE!</v>
          </cell>
          <cell r="AY1268" t="e">
            <v>#VALUE!</v>
          </cell>
          <cell r="AZ1268" t="str">
            <v>F18</v>
          </cell>
          <cell r="BA1268">
            <v>0</v>
          </cell>
          <cell r="BB1268" t="str">
            <v/>
          </cell>
          <cell r="BC1268" t="str">
            <v>F18</v>
          </cell>
        </row>
        <row r="1269">
          <cell r="A1269" t="str">
            <v/>
          </cell>
          <cell r="B1269" t="str">
            <v>3</v>
          </cell>
          <cell r="C1269" t="str">
            <v/>
          </cell>
          <cell r="D1269" t="str">
            <v/>
          </cell>
          <cell r="E1269" t="str">
            <v/>
          </cell>
          <cell r="F1269" t="str">
            <v/>
          </cell>
          <cell r="G1269" t="str">
            <v/>
          </cell>
          <cell r="H1269" t="str">
            <v/>
          </cell>
          <cell r="I1269" t="str">
            <v/>
          </cell>
          <cell r="J1269" t="str">
            <v/>
          </cell>
          <cell r="K1269">
            <v>0</v>
          </cell>
          <cell r="L1269" t="str">
            <v/>
          </cell>
          <cell r="M1269" t="str">
            <v/>
          </cell>
          <cell r="N1269" t="str">
            <v/>
          </cell>
          <cell r="O1269" t="str">
            <v/>
          </cell>
          <cell r="P1269" t="str">
            <v/>
          </cell>
          <cell r="Q1269" t="e">
            <v>#VALUE!</v>
          </cell>
          <cell r="R1269" t="str">
            <v/>
          </cell>
          <cell r="S1269" t="str">
            <v/>
          </cell>
          <cell r="T1269" t="str">
            <v/>
          </cell>
          <cell r="U1269" t="str">
            <v/>
          </cell>
          <cell r="V1269" t="str">
            <v/>
          </cell>
          <cell r="W1269" t="str">
            <v/>
          </cell>
          <cell r="X1269" t="str">
            <v/>
          </cell>
          <cell r="Z1269">
            <v>0</v>
          </cell>
          <cell r="AA1269" t="e">
            <v>#VALUE!</v>
          </cell>
          <cell r="AM1269" t="str">
            <v/>
          </cell>
          <cell r="AO1269" t="e">
            <v>#VALUE!</v>
          </cell>
          <cell r="AP1269" t="e">
            <v>#VALUE!</v>
          </cell>
          <cell r="AQ1269">
            <v>0</v>
          </cell>
          <cell r="AR1269" t="e">
            <v>#VALUE!</v>
          </cell>
          <cell r="AS1269" t="e">
            <v>#VALUE!</v>
          </cell>
          <cell r="AT1269" t="e">
            <v>#VALUE!</v>
          </cell>
          <cell r="AU1269" t="e">
            <v>#VALUE!</v>
          </cell>
          <cell r="AV1269" t="e">
            <v>#VALUE!</v>
          </cell>
          <cell r="AW1269" t="e">
            <v>#VALUE!</v>
          </cell>
          <cell r="AY1269" t="e">
            <v>#VALUE!</v>
          </cell>
          <cell r="AZ1269" t="str">
            <v>F18</v>
          </cell>
          <cell r="BA1269">
            <v>0</v>
          </cell>
          <cell r="BB1269" t="str">
            <v/>
          </cell>
          <cell r="BC1269" t="str">
            <v>F18</v>
          </cell>
        </row>
        <row r="1270">
          <cell r="A1270" t="str">
            <v/>
          </cell>
          <cell r="B1270" t="str">
            <v>3</v>
          </cell>
          <cell r="C1270" t="str">
            <v/>
          </cell>
          <cell r="D1270" t="str">
            <v/>
          </cell>
          <cell r="E1270" t="str">
            <v/>
          </cell>
          <cell r="F1270" t="str">
            <v/>
          </cell>
          <cell r="G1270" t="str">
            <v/>
          </cell>
          <cell r="H1270" t="str">
            <v/>
          </cell>
          <cell r="I1270" t="str">
            <v/>
          </cell>
          <cell r="J1270" t="str">
            <v/>
          </cell>
          <cell r="K1270">
            <v>0</v>
          </cell>
          <cell r="L1270" t="str">
            <v/>
          </cell>
          <cell r="M1270" t="str">
            <v/>
          </cell>
          <cell r="N1270" t="str">
            <v/>
          </cell>
          <cell r="O1270" t="str">
            <v/>
          </cell>
          <cell r="P1270" t="str">
            <v/>
          </cell>
          <cell r="Q1270" t="e">
            <v>#VALUE!</v>
          </cell>
          <cell r="R1270" t="str">
            <v/>
          </cell>
          <cell r="S1270" t="str">
            <v/>
          </cell>
          <cell r="T1270" t="str">
            <v/>
          </cell>
          <cell r="U1270" t="str">
            <v/>
          </cell>
          <cell r="V1270" t="str">
            <v/>
          </cell>
          <cell r="W1270" t="str">
            <v/>
          </cell>
          <cell r="X1270" t="str">
            <v/>
          </cell>
          <cell r="Z1270">
            <v>0</v>
          </cell>
          <cell r="AA1270" t="e">
            <v>#VALUE!</v>
          </cell>
          <cell r="AM1270" t="str">
            <v/>
          </cell>
          <cell r="AO1270" t="e">
            <v>#VALUE!</v>
          </cell>
          <cell r="AP1270" t="e">
            <v>#VALUE!</v>
          </cell>
          <cell r="AQ1270">
            <v>0</v>
          </cell>
          <cell r="AR1270" t="e">
            <v>#VALUE!</v>
          </cell>
          <cell r="AS1270" t="e">
            <v>#VALUE!</v>
          </cell>
          <cell r="AT1270" t="e">
            <v>#VALUE!</v>
          </cell>
          <cell r="AU1270" t="e">
            <v>#VALUE!</v>
          </cell>
          <cell r="AV1270" t="e">
            <v>#VALUE!</v>
          </cell>
          <cell r="AW1270" t="e">
            <v>#VALUE!</v>
          </cell>
          <cell r="AY1270" t="e">
            <v>#VALUE!</v>
          </cell>
          <cell r="AZ1270" t="str">
            <v>F18</v>
          </cell>
          <cell r="BA1270">
            <v>0</v>
          </cell>
          <cell r="BB1270" t="str">
            <v/>
          </cell>
          <cell r="BC1270" t="str">
            <v>F18</v>
          </cell>
        </row>
        <row r="1271">
          <cell r="A1271" t="str">
            <v/>
          </cell>
          <cell r="B1271" t="str">
            <v>3</v>
          </cell>
          <cell r="C1271" t="str">
            <v/>
          </cell>
          <cell r="D1271" t="str">
            <v/>
          </cell>
          <cell r="E1271" t="str">
            <v/>
          </cell>
          <cell r="F1271" t="str">
            <v/>
          </cell>
          <cell r="G1271" t="str">
            <v/>
          </cell>
          <cell r="H1271" t="str">
            <v/>
          </cell>
          <cell r="I1271" t="str">
            <v/>
          </cell>
          <cell r="J1271" t="str">
            <v/>
          </cell>
          <cell r="K1271">
            <v>0</v>
          </cell>
          <cell r="L1271" t="str">
            <v/>
          </cell>
          <cell r="M1271" t="str">
            <v/>
          </cell>
          <cell r="N1271" t="str">
            <v/>
          </cell>
          <cell r="O1271" t="str">
            <v/>
          </cell>
          <cell r="P1271" t="str">
            <v/>
          </cell>
          <cell r="Q1271" t="e">
            <v>#VALUE!</v>
          </cell>
          <cell r="R1271" t="str">
            <v/>
          </cell>
          <cell r="S1271" t="str">
            <v/>
          </cell>
          <cell r="T1271" t="str">
            <v/>
          </cell>
          <cell r="U1271" t="str">
            <v/>
          </cell>
          <cell r="V1271" t="str">
            <v/>
          </cell>
          <cell r="W1271" t="str">
            <v/>
          </cell>
          <cell r="X1271" t="str">
            <v/>
          </cell>
          <cell r="Z1271">
            <v>0</v>
          </cell>
          <cell r="AA1271" t="e">
            <v>#VALUE!</v>
          </cell>
          <cell r="AM1271" t="str">
            <v/>
          </cell>
          <cell r="AO1271" t="e">
            <v>#VALUE!</v>
          </cell>
          <cell r="AP1271" t="e">
            <v>#VALUE!</v>
          </cell>
          <cell r="AQ1271">
            <v>0</v>
          </cell>
          <cell r="AR1271" t="e">
            <v>#VALUE!</v>
          </cell>
          <cell r="AS1271" t="e">
            <v>#VALUE!</v>
          </cell>
          <cell r="AT1271" t="e">
            <v>#VALUE!</v>
          </cell>
          <cell r="AU1271" t="e">
            <v>#VALUE!</v>
          </cell>
          <cell r="AV1271" t="e">
            <v>#VALUE!</v>
          </cell>
          <cell r="AW1271" t="e">
            <v>#VALUE!</v>
          </cell>
          <cell r="AY1271" t="e">
            <v>#VALUE!</v>
          </cell>
          <cell r="AZ1271" t="str">
            <v>F18</v>
          </cell>
          <cell r="BA1271">
            <v>0</v>
          </cell>
          <cell r="BB1271" t="str">
            <v/>
          </cell>
          <cell r="BC1271" t="str">
            <v>F18</v>
          </cell>
        </row>
        <row r="1272">
          <cell r="A1272" t="str">
            <v/>
          </cell>
          <cell r="B1272" t="str">
            <v>3</v>
          </cell>
          <cell r="C1272" t="str">
            <v/>
          </cell>
          <cell r="D1272" t="str">
            <v/>
          </cell>
          <cell r="E1272" t="str">
            <v/>
          </cell>
          <cell r="F1272" t="str">
            <v/>
          </cell>
          <cell r="G1272" t="str">
            <v/>
          </cell>
          <cell r="H1272" t="str">
            <v/>
          </cell>
          <cell r="I1272" t="str">
            <v/>
          </cell>
          <cell r="J1272" t="str">
            <v/>
          </cell>
          <cell r="K1272">
            <v>0</v>
          </cell>
          <cell r="L1272" t="str">
            <v/>
          </cell>
          <cell r="M1272" t="str">
            <v/>
          </cell>
          <cell r="N1272" t="str">
            <v/>
          </cell>
          <cell r="O1272" t="str">
            <v/>
          </cell>
          <cell r="P1272" t="str">
            <v/>
          </cell>
          <cell r="Q1272" t="e">
            <v>#VALUE!</v>
          </cell>
          <cell r="R1272" t="str">
            <v/>
          </cell>
          <cell r="S1272" t="str">
            <v/>
          </cell>
          <cell r="T1272" t="str">
            <v/>
          </cell>
          <cell r="U1272" t="str">
            <v/>
          </cell>
          <cell r="V1272" t="str">
            <v/>
          </cell>
          <cell r="W1272" t="str">
            <v/>
          </cell>
          <cell r="X1272" t="str">
            <v/>
          </cell>
          <cell r="Z1272">
            <v>0</v>
          </cell>
          <cell r="AA1272" t="e">
            <v>#VALUE!</v>
          </cell>
          <cell r="AM1272" t="str">
            <v/>
          </cell>
          <cell r="AO1272" t="e">
            <v>#VALUE!</v>
          </cell>
          <cell r="AP1272" t="e">
            <v>#VALUE!</v>
          </cell>
          <cell r="AQ1272">
            <v>0</v>
          </cell>
          <cell r="AR1272" t="e">
            <v>#VALUE!</v>
          </cell>
          <cell r="AS1272" t="e">
            <v>#VALUE!</v>
          </cell>
          <cell r="AT1272" t="e">
            <v>#VALUE!</v>
          </cell>
          <cell r="AU1272" t="e">
            <v>#VALUE!</v>
          </cell>
          <cell r="AV1272" t="e">
            <v>#VALUE!</v>
          </cell>
          <cell r="AW1272" t="e">
            <v>#VALUE!</v>
          </cell>
          <cell r="AY1272" t="e">
            <v>#VALUE!</v>
          </cell>
          <cell r="AZ1272" t="str">
            <v>F18</v>
          </cell>
          <cell r="BA1272">
            <v>0</v>
          </cell>
          <cell r="BB1272" t="str">
            <v/>
          </cell>
          <cell r="BC1272" t="str">
            <v>F18</v>
          </cell>
        </row>
        <row r="1273">
          <cell r="A1273" t="str">
            <v/>
          </cell>
          <cell r="B1273" t="str">
            <v>3</v>
          </cell>
          <cell r="C1273" t="str">
            <v/>
          </cell>
          <cell r="D1273" t="str">
            <v/>
          </cell>
          <cell r="E1273" t="str">
            <v/>
          </cell>
          <cell r="F1273" t="str">
            <v/>
          </cell>
          <cell r="G1273" t="str">
            <v/>
          </cell>
          <cell r="H1273" t="str">
            <v/>
          </cell>
          <cell r="I1273" t="str">
            <v/>
          </cell>
          <cell r="J1273" t="str">
            <v/>
          </cell>
          <cell r="K1273">
            <v>0</v>
          </cell>
          <cell r="L1273" t="str">
            <v/>
          </cell>
          <cell r="M1273" t="str">
            <v/>
          </cell>
          <cell r="N1273" t="str">
            <v/>
          </cell>
          <cell r="O1273" t="str">
            <v/>
          </cell>
          <cell r="P1273" t="str">
            <v/>
          </cell>
          <cell r="Q1273" t="e">
            <v>#VALUE!</v>
          </cell>
          <cell r="R1273" t="str">
            <v/>
          </cell>
          <cell r="S1273" t="str">
            <v/>
          </cell>
          <cell r="T1273" t="str">
            <v/>
          </cell>
          <cell r="U1273" t="str">
            <v/>
          </cell>
          <cell r="V1273" t="str">
            <v/>
          </cell>
          <cell r="W1273" t="str">
            <v/>
          </cell>
          <cell r="X1273" t="str">
            <v/>
          </cell>
          <cell r="Z1273">
            <v>0</v>
          </cell>
          <cell r="AA1273" t="e">
            <v>#VALUE!</v>
          </cell>
          <cell r="AM1273" t="str">
            <v/>
          </cell>
          <cell r="AO1273" t="e">
            <v>#VALUE!</v>
          </cell>
          <cell r="AP1273" t="e">
            <v>#VALUE!</v>
          </cell>
          <cell r="AQ1273">
            <v>0</v>
          </cell>
          <cell r="AR1273" t="e">
            <v>#VALUE!</v>
          </cell>
          <cell r="AS1273" t="e">
            <v>#VALUE!</v>
          </cell>
          <cell r="AT1273" t="e">
            <v>#VALUE!</v>
          </cell>
          <cell r="AU1273" t="e">
            <v>#VALUE!</v>
          </cell>
          <cell r="AV1273" t="e">
            <v>#VALUE!</v>
          </cell>
          <cell r="AW1273" t="e">
            <v>#VALUE!</v>
          </cell>
          <cell r="AY1273" t="e">
            <v>#VALUE!</v>
          </cell>
          <cell r="AZ1273" t="str">
            <v>F18</v>
          </cell>
          <cell r="BA1273">
            <v>0</v>
          </cell>
          <cell r="BB1273" t="str">
            <v/>
          </cell>
          <cell r="BC1273" t="str">
            <v>F18</v>
          </cell>
        </row>
        <row r="1274">
          <cell r="A1274" t="str">
            <v/>
          </cell>
          <cell r="B1274" t="str">
            <v>3</v>
          </cell>
          <cell r="C1274" t="str">
            <v/>
          </cell>
          <cell r="D1274" t="str">
            <v/>
          </cell>
          <cell r="E1274" t="str">
            <v/>
          </cell>
          <cell r="F1274" t="str">
            <v/>
          </cell>
          <cell r="G1274" t="str">
            <v/>
          </cell>
          <cell r="H1274" t="str">
            <v/>
          </cell>
          <cell r="I1274" t="str">
            <v/>
          </cell>
          <cell r="J1274" t="str">
            <v/>
          </cell>
          <cell r="K1274">
            <v>0</v>
          </cell>
          <cell r="L1274" t="str">
            <v/>
          </cell>
          <cell r="M1274" t="str">
            <v/>
          </cell>
          <cell r="N1274" t="str">
            <v/>
          </cell>
          <cell r="O1274" t="str">
            <v/>
          </cell>
          <cell r="P1274" t="str">
            <v/>
          </cell>
          <cell r="Q1274" t="e">
            <v>#VALUE!</v>
          </cell>
          <cell r="R1274" t="str">
            <v/>
          </cell>
          <cell r="S1274" t="str">
            <v/>
          </cell>
          <cell r="T1274" t="str">
            <v/>
          </cell>
          <cell r="U1274" t="str">
            <v/>
          </cell>
          <cell r="V1274" t="str">
            <v/>
          </cell>
          <cell r="W1274" t="str">
            <v/>
          </cell>
          <cell r="X1274" t="str">
            <v/>
          </cell>
          <cell r="Z1274">
            <v>0</v>
          </cell>
          <cell r="AA1274" t="e">
            <v>#VALUE!</v>
          </cell>
          <cell r="AM1274" t="str">
            <v/>
          </cell>
          <cell r="AO1274" t="e">
            <v>#VALUE!</v>
          </cell>
          <cell r="AP1274" t="e">
            <v>#VALUE!</v>
          </cell>
          <cell r="AQ1274">
            <v>0</v>
          </cell>
          <cell r="AR1274" t="e">
            <v>#VALUE!</v>
          </cell>
          <cell r="AS1274" t="e">
            <v>#VALUE!</v>
          </cell>
          <cell r="AT1274" t="e">
            <v>#VALUE!</v>
          </cell>
          <cell r="AU1274" t="e">
            <v>#VALUE!</v>
          </cell>
          <cell r="AV1274" t="e">
            <v>#VALUE!</v>
          </cell>
          <cell r="AW1274" t="e">
            <v>#VALUE!</v>
          </cell>
          <cell r="AY1274" t="e">
            <v>#VALUE!</v>
          </cell>
          <cell r="AZ1274" t="str">
            <v>F18</v>
          </cell>
          <cell r="BA1274">
            <v>0</v>
          </cell>
          <cell r="BB1274" t="str">
            <v/>
          </cell>
          <cell r="BC1274" t="str">
            <v>F18</v>
          </cell>
        </row>
        <row r="1275">
          <cell r="A1275" t="str">
            <v/>
          </cell>
          <cell r="B1275" t="str">
            <v>3</v>
          </cell>
          <cell r="C1275" t="str">
            <v/>
          </cell>
          <cell r="D1275" t="str">
            <v/>
          </cell>
          <cell r="E1275" t="str">
            <v/>
          </cell>
          <cell r="F1275" t="str">
            <v/>
          </cell>
          <cell r="G1275" t="str">
            <v/>
          </cell>
          <cell r="H1275" t="str">
            <v/>
          </cell>
          <cell r="I1275" t="str">
            <v/>
          </cell>
          <cell r="J1275" t="str">
            <v/>
          </cell>
          <cell r="K1275">
            <v>0</v>
          </cell>
          <cell r="L1275" t="str">
            <v/>
          </cell>
          <cell r="M1275" t="str">
            <v/>
          </cell>
          <cell r="N1275" t="str">
            <v/>
          </cell>
          <cell r="O1275" t="str">
            <v/>
          </cell>
          <cell r="P1275" t="str">
            <v/>
          </cell>
          <cell r="Q1275" t="e">
            <v>#VALUE!</v>
          </cell>
          <cell r="R1275" t="str">
            <v/>
          </cell>
          <cell r="S1275" t="str">
            <v/>
          </cell>
          <cell r="T1275" t="str">
            <v/>
          </cell>
          <cell r="U1275" t="str">
            <v/>
          </cell>
          <cell r="V1275" t="str">
            <v/>
          </cell>
          <cell r="W1275" t="str">
            <v/>
          </cell>
          <cell r="X1275" t="str">
            <v/>
          </cell>
          <cell r="Z1275">
            <v>0</v>
          </cell>
          <cell r="AA1275" t="e">
            <v>#VALUE!</v>
          </cell>
          <cell r="AM1275" t="str">
            <v/>
          </cell>
          <cell r="AO1275" t="e">
            <v>#VALUE!</v>
          </cell>
          <cell r="AP1275" t="e">
            <v>#VALUE!</v>
          </cell>
          <cell r="AQ1275">
            <v>0</v>
          </cell>
          <cell r="AR1275" t="e">
            <v>#VALUE!</v>
          </cell>
          <cell r="AS1275" t="e">
            <v>#VALUE!</v>
          </cell>
          <cell r="AT1275" t="e">
            <v>#VALUE!</v>
          </cell>
          <cell r="AU1275" t="e">
            <v>#VALUE!</v>
          </cell>
          <cell r="AV1275" t="e">
            <v>#VALUE!</v>
          </cell>
          <cell r="AW1275" t="e">
            <v>#VALUE!</v>
          </cell>
          <cell r="AY1275" t="e">
            <v>#VALUE!</v>
          </cell>
          <cell r="AZ1275" t="str">
            <v>F18</v>
          </cell>
          <cell r="BA1275">
            <v>0</v>
          </cell>
          <cell r="BB1275" t="str">
            <v/>
          </cell>
          <cell r="BC1275" t="str">
            <v>F18</v>
          </cell>
        </row>
        <row r="1276">
          <cell r="A1276" t="str">
            <v/>
          </cell>
          <cell r="B1276" t="str">
            <v>3</v>
          </cell>
          <cell r="C1276" t="str">
            <v/>
          </cell>
          <cell r="D1276" t="str">
            <v/>
          </cell>
          <cell r="E1276" t="str">
            <v/>
          </cell>
          <cell r="F1276" t="str">
            <v/>
          </cell>
          <cell r="G1276" t="str">
            <v/>
          </cell>
          <cell r="H1276" t="str">
            <v/>
          </cell>
          <cell r="I1276" t="str">
            <v/>
          </cell>
          <cell r="J1276" t="str">
            <v/>
          </cell>
          <cell r="K1276">
            <v>0</v>
          </cell>
          <cell r="L1276" t="str">
            <v/>
          </cell>
          <cell r="M1276" t="str">
            <v/>
          </cell>
          <cell r="N1276" t="str">
            <v/>
          </cell>
          <cell r="O1276" t="str">
            <v/>
          </cell>
          <cell r="P1276" t="str">
            <v/>
          </cell>
          <cell r="Q1276" t="e">
            <v>#VALUE!</v>
          </cell>
          <cell r="R1276" t="str">
            <v/>
          </cell>
          <cell r="S1276" t="str">
            <v/>
          </cell>
          <cell r="T1276" t="str">
            <v/>
          </cell>
          <cell r="U1276" t="str">
            <v/>
          </cell>
          <cell r="V1276" t="str">
            <v/>
          </cell>
          <cell r="W1276" t="str">
            <v/>
          </cell>
          <cell r="X1276" t="str">
            <v/>
          </cell>
          <cell r="Z1276">
            <v>0</v>
          </cell>
          <cell r="AA1276" t="e">
            <v>#VALUE!</v>
          </cell>
          <cell r="AM1276" t="str">
            <v/>
          </cell>
          <cell r="AO1276" t="e">
            <v>#VALUE!</v>
          </cell>
          <cell r="AP1276" t="e">
            <v>#VALUE!</v>
          </cell>
          <cell r="AQ1276">
            <v>0</v>
          </cell>
          <cell r="AR1276" t="e">
            <v>#VALUE!</v>
          </cell>
          <cell r="AS1276" t="e">
            <v>#VALUE!</v>
          </cell>
          <cell r="AT1276" t="e">
            <v>#VALUE!</v>
          </cell>
          <cell r="AU1276" t="e">
            <v>#VALUE!</v>
          </cell>
          <cell r="AV1276" t="e">
            <v>#VALUE!</v>
          </cell>
          <cell r="AW1276" t="e">
            <v>#VALUE!</v>
          </cell>
          <cell r="AY1276" t="e">
            <v>#VALUE!</v>
          </cell>
          <cell r="AZ1276" t="str">
            <v>F18</v>
          </cell>
          <cell r="BA1276">
            <v>0</v>
          </cell>
          <cell r="BB1276" t="str">
            <v/>
          </cell>
          <cell r="BC1276" t="str">
            <v>F18</v>
          </cell>
        </row>
        <row r="1277">
          <cell r="A1277" t="str">
            <v/>
          </cell>
          <cell r="B1277" t="str">
            <v>3</v>
          </cell>
          <cell r="C1277" t="str">
            <v/>
          </cell>
          <cell r="D1277" t="str">
            <v/>
          </cell>
          <cell r="E1277" t="str">
            <v/>
          </cell>
          <cell r="F1277" t="str">
            <v/>
          </cell>
          <cell r="G1277" t="str">
            <v/>
          </cell>
          <cell r="H1277" t="str">
            <v/>
          </cell>
          <cell r="I1277" t="str">
            <v/>
          </cell>
          <cell r="J1277" t="str">
            <v/>
          </cell>
          <cell r="K1277">
            <v>0</v>
          </cell>
          <cell r="L1277" t="str">
            <v/>
          </cell>
          <cell r="M1277" t="str">
            <v/>
          </cell>
          <cell r="N1277" t="str">
            <v/>
          </cell>
          <cell r="O1277" t="str">
            <v/>
          </cell>
          <cell r="P1277" t="str">
            <v/>
          </cell>
          <cell r="Q1277" t="e">
            <v>#VALUE!</v>
          </cell>
          <cell r="R1277" t="str">
            <v/>
          </cell>
          <cell r="S1277" t="str">
            <v/>
          </cell>
          <cell r="T1277" t="str">
            <v/>
          </cell>
          <cell r="U1277" t="str">
            <v/>
          </cell>
          <cell r="V1277" t="str">
            <v/>
          </cell>
          <cell r="W1277" t="str">
            <v/>
          </cell>
          <cell r="X1277" t="str">
            <v/>
          </cell>
          <cell r="Z1277">
            <v>0</v>
          </cell>
          <cell r="AA1277" t="e">
            <v>#VALUE!</v>
          </cell>
          <cell r="AM1277" t="str">
            <v/>
          </cell>
          <cell r="AO1277" t="e">
            <v>#VALUE!</v>
          </cell>
          <cell r="AP1277" t="e">
            <v>#VALUE!</v>
          </cell>
          <cell r="AQ1277">
            <v>0</v>
          </cell>
          <cell r="AR1277" t="e">
            <v>#VALUE!</v>
          </cell>
          <cell r="AS1277" t="e">
            <v>#VALUE!</v>
          </cell>
          <cell r="AT1277" t="e">
            <v>#VALUE!</v>
          </cell>
          <cell r="AU1277" t="e">
            <v>#VALUE!</v>
          </cell>
          <cell r="AV1277" t="e">
            <v>#VALUE!</v>
          </cell>
          <cell r="AW1277" t="e">
            <v>#VALUE!</v>
          </cell>
          <cell r="AY1277" t="e">
            <v>#VALUE!</v>
          </cell>
          <cell r="AZ1277" t="str">
            <v>F18</v>
          </cell>
          <cell r="BA1277">
            <v>0</v>
          </cell>
          <cell r="BB1277" t="str">
            <v/>
          </cell>
          <cell r="BC1277" t="str">
            <v>F18</v>
          </cell>
        </row>
        <row r="1278">
          <cell r="A1278" t="str">
            <v/>
          </cell>
          <cell r="B1278" t="str">
            <v>3</v>
          </cell>
          <cell r="C1278" t="str">
            <v/>
          </cell>
          <cell r="D1278" t="str">
            <v/>
          </cell>
          <cell r="E1278" t="str">
            <v/>
          </cell>
          <cell r="F1278" t="str">
            <v/>
          </cell>
          <cell r="G1278" t="str">
            <v/>
          </cell>
          <cell r="H1278" t="str">
            <v/>
          </cell>
          <cell r="I1278" t="str">
            <v/>
          </cell>
          <cell r="J1278" t="str">
            <v/>
          </cell>
          <cell r="K1278">
            <v>0</v>
          </cell>
          <cell r="L1278" t="str">
            <v/>
          </cell>
          <cell r="M1278" t="str">
            <v/>
          </cell>
          <cell r="N1278" t="str">
            <v/>
          </cell>
          <cell r="O1278" t="str">
            <v/>
          </cell>
          <cell r="P1278" t="str">
            <v/>
          </cell>
          <cell r="Q1278" t="e">
            <v>#VALUE!</v>
          </cell>
          <cell r="R1278" t="str">
            <v/>
          </cell>
          <cell r="S1278" t="str">
            <v/>
          </cell>
          <cell r="T1278" t="str">
            <v/>
          </cell>
          <cell r="U1278" t="str">
            <v/>
          </cell>
          <cell r="V1278" t="str">
            <v/>
          </cell>
          <cell r="W1278" t="str">
            <v/>
          </cell>
          <cell r="X1278" t="str">
            <v/>
          </cell>
          <cell r="Z1278">
            <v>0</v>
          </cell>
          <cell r="AA1278" t="e">
            <v>#VALUE!</v>
          </cell>
          <cell r="AM1278" t="str">
            <v/>
          </cell>
          <cell r="AO1278" t="e">
            <v>#VALUE!</v>
          </cell>
          <cell r="AP1278" t="e">
            <v>#VALUE!</v>
          </cell>
          <cell r="AQ1278">
            <v>0</v>
          </cell>
          <cell r="AR1278" t="e">
            <v>#VALUE!</v>
          </cell>
          <cell r="AS1278" t="e">
            <v>#VALUE!</v>
          </cell>
          <cell r="AT1278" t="e">
            <v>#VALUE!</v>
          </cell>
          <cell r="AU1278" t="e">
            <v>#VALUE!</v>
          </cell>
          <cell r="AV1278" t="e">
            <v>#VALUE!</v>
          </cell>
          <cell r="AW1278" t="e">
            <v>#VALUE!</v>
          </cell>
          <cell r="AY1278" t="e">
            <v>#VALUE!</v>
          </cell>
          <cell r="AZ1278" t="str">
            <v>F18</v>
          </cell>
          <cell r="BA1278">
            <v>0</v>
          </cell>
          <cell r="BB1278" t="str">
            <v/>
          </cell>
          <cell r="BC1278" t="str">
            <v>F18</v>
          </cell>
        </row>
        <row r="1279">
          <cell r="A1279" t="str">
            <v/>
          </cell>
          <cell r="B1279" t="str">
            <v>3</v>
          </cell>
          <cell r="C1279" t="str">
            <v/>
          </cell>
          <cell r="D1279" t="str">
            <v/>
          </cell>
          <cell r="E1279" t="str">
            <v/>
          </cell>
          <cell r="F1279" t="str">
            <v/>
          </cell>
          <cell r="G1279" t="str">
            <v/>
          </cell>
          <cell r="H1279" t="str">
            <v/>
          </cell>
          <cell r="I1279" t="str">
            <v/>
          </cell>
          <cell r="J1279" t="str">
            <v/>
          </cell>
          <cell r="K1279">
            <v>0</v>
          </cell>
          <cell r="L1279" t="str">
            <v/>
          </cell>
          <cell r="M1279" t="str">
            <v/>
          </cell>
          <cell r="N1279" t="str">
            <v/>
          </cell>
          <cell r="O1279" t="str">
            <v/>
          </cell>
          <cell r="P1279" t="str">
            <v/>
          </cell>
          <cell r="Q1279" t="e">
            <v>#VALUE!</v>
          </cell>
          <cell r="R1279" t="str">
            <v/>
          </cell>
          <cell r="S1279" t="str">
            <v/>
          </cell>
          <cell r="T1279" t="str">
            <v/>
          </cell>
          <cell r="U1279" t="str">
            <v/>
          </cell>
          <cell r="V1279" t="str">
            <v/>
          </cell>
          <cell r="W1279" t="str">
            <v/>
          </cell>
          <cell r="X1279" t="str">
            <v/>
          </cell>
          <cell r="Z1279">
            <v>0</v>
          </cell>
          <cell r="AA1279" t="e">
            <v>#VALUE!</v>
          </cell>
          <cell r="AM1279" t="str">
            <v/>
          </cell>
          <cell r="AO1279" t="e">
            <v>#VALUE!</v>
          </cell>
          <cell r="AP1279" t="e">
            <v>#VALUE!</v>
          </cell>
          <cell r="AQ1279">
            <v>0</v>
          </cell>
          <cell r="AR1279" t="e">
            <v>#VALUE!</v>
          </cell>
          <cell r="AS1279" t="e">
            <v>#VALUE!</v>
          </cell>
          <cell r="AT1279" t="e">
            <v>#VALUE!</v>
          </cell>
          <cell r="AU1279" t="e">
            <v>#VALUE!</v>
          </cell>
          <cell r="AV1279" t="e">
            <v>#VALUE!</v>
          </cell>
          <cell r="AW1279" t="e">
            <v>#VALUE!</v>
          </cell>
          <cell r="AY1279" t="e">
            <v>#VALUE!</v>
          </cell>
          <cell r="AZ1279" t="str">
            <v>F18</v>
          </cell>
          <cell r="BA1279">
            <v>0</v>
          </cell>
          <cell r="BB1279" t="str">
            <v/>
          </cell>
          <cell r="BC1279" t="str">
            <v>F18</v>
          </cell>
        </row>
        <row r="1280">
          <cell r="A1280" t="str">
            <v/>
          </cell>
          <cell r="B1280" t="str">
            <v>3</v>
          </cell>
          <cell r="C1280" t="str">
            <v/>
          </cell>
          <cell r="D1280" t="str">
            <v/>
          </cell>
          <cell r="E1280" t="str">
            <v/>
          </cell>
          <cell r="F1280" t="str">
            <v/>
          </cell>
          <cell r="G1280" t="str">
            <v/>
          </cell>
          <cell r="H1280" t="str">
            <v/>
          </cell>
          <cell r="I1280" t="str">
            <v/>
          </cell>
          <cell r="J1280" t="str">
            <v/>
          </cell>
          <cell r="K1280">
            <v>0</v>
          </cell>
          <cell r="L1280" t="str">
            <v/>
          </cell>
          <cell r="M1280" t="str">
            <v/>
          </cell>
          <cell r="N1280" t="str">
            <v/>
          </cell>
          <cell r="O1280" t="str">
            <v/>
          </cell>
          <cell r="P1280" t="str">
            <v/>
          </cell>
          <cell r="Q1280" t="e">
            <v>#VALUE!</v>
          </cell>
          <cell r="R1280" t="str">
            <v/>
          </cell>
          <cell r="S1280" t="str">
            <v/>
          </cell>
          <cell r="T1280" t="str">
            <v/>
          </cell>
          <cell r="U1280" t="str">
            <v/>
          </cell>
          <cell r="V1280" t="str">
            <v/>
          </cell>
          <cell r="W1280" t="str">
            <v/>
          </cell>
          <cell r="X1280" t="str">
            <v/>
          </cell>
          <cell r="Z1280">
            <v>0</v>
          </cell>
          <cell r="AA1280" t="e">
            <v>#VALUE!</v>
          </cell>
          <cell r="AM1280" t="str">
            <v/>
          </cell>
          <cell r="AO1280" t="e">
            <v>#VALUE!</v>
          </cell>
          <cell r="AP1280" t="e">
            <v>#VALUE!</v>
          </cell>
          <cell r="AQ1280">
            <v>0</v>
          </cell>
          <cell r="AR1280" t="e">
            <v>#VALUE!</v>
          </cell>
          <cell r="AS1280" t="e">
            <v>#VALUE!</v>
          </cell>
          <cell r="AT1280" t="e">
            <v>#VALUE!</v>
          </cell>
          <cell r="AU1280" t="e">
            <v>#VALUE!</v>
          </cell>
          <cell r="AV1280" t="e">
            <v>#VALUE!</v>
          </cell>
          <cell r="AW1280" t="e">
            <v>#VALUE!</v>
          </cell>
          <cell r="AY1280" t="e">
            <v>#VALUE!</v>
          </cell>
          <cell r="AZ1280" t="str">
            <v>F18</v>
          </cell>
          <cell r="BA1280">
            <v>0</v>
          </cell>
          <cell r="BB1280" t="str">
            <v/>
          </cell>
          <cell r="BC1280" t="str">
            <v>F18</v>
          </cell>
        </row>
        <row r="1281">
          <cell r="A1281" t="str">
            <v/>
          </cell>
          <cell r="B1281" t="str">
            <v>3</v>
          </cell>
          <cell r="C1281" t="str">
            <v/>
          </cell>
          <cell r="D1281" t="str">
            <v/>
          </cell>
          <cell r="E1281" t="str">
            <v/>
          </cell>
          <cell r="F1281" t="str">
            <v/>
          </cell>
          <cell r="G1281" t="str">
            <v/>
          </cell>
          <cell r="H1281" t="str">
            <v/>
          </cell>
          <cell r="I1281" t="str">
            <v/>
          </cell>
          <cell r="J1281" t="str">
            <v/>
          </cell>
          <cell r="K1281">
            <v>0</v>
          </cell>
          <cell r="L1281" t="str">
            <v/>
          </cell>
          <cell r="M1281" t="str">
            <v/>
          </cell>
          <cell r="N1281" t="str">
            <v/>
          </cell>
          <cell r="O1281" t="str">
            <v/>
          </cell>
          <cell r="P1281" t="str">
            <v/>
          </cell>
          <cell r="Q1281" t="e">
            <v>#VALUE!</v>
          </cell>
          <cell r="R1281" t="str">
            <v/>
          </cell>
          <cell r="S1281" t="str">
            <v/>
          </cell>
          <cell r="T1281" t="str">
            <v/>
          </cell>
          <cell r="U1281" t="str">
            <v/>
          </cell>
          <cell r="V1281" t="str">
            <v/>
          </cell>
          <cell r="W1281" t="str">
            <v/>
          </cell>
          <cell r="X1281" t="str">
            <v/>
          </cell>
          <cell r="Z1281">
            <v>0</v>
          </cell>
          <cell r="AA1281" t="e">
            <v>#VALUE!</v>
          </cell>
          <cell r="AM1281" t="str">
            <v/>
          </cell>
          <cell r="AO1281" t="e">
            <v>#VALUE!</v>
          </cell>
          <cell r="AP1281" t="e">
            <v>#VALUE!</v>
          </cell>
          <cell r="AQ1281">
            <v>0</v>
          </cell>
          <cell r="AR1281" t="e">
            <v>#VALUE!</v>
          </cell>
          <cell r="AS1281" t="e">
            <v>#VALUE!</v>
          </cell>
          <cell r="AT1281" t="e">
            <v>#VALUE!</v>
          </cell>
          <cell r="AU1281" t="e">
            <v>#VALUE!</v>
          </cell>
          <cell r="AV1281" t="e">
            <v>#VALUE!</v>
          </cell>
          <cell r="AW1281" t="e">
            <v>#VALUE!</v>
          </cell>
          <cell r="AY1281" t="e">
            <v>#VALUE!</v>
          </cell>
          <cell r="AZ1281" t="str">
            <v>F18</v>
          </cell>
          <cell r="BA1281">
            <v>0</v>
          </cell>
          <cell r="BB1281" t="str">
            <v/>
          </cell>
          <cell r="BC1281" t="str">
            <v>F18</v>
          </cell>
        </row>
        <row r="1282">
          <cell r="A1282" t="str">
            <v/>
          </cell>
          <cell r="B1282" t="str">
            <v>3</v>
          </cell>
          <cell r="C1282" t="str">
            <v/>
          </cell>
          <cell r="D1282" t="str">
            <v/>
          </cell>
          <cell r="E1282" t="str">
            <v/>
          </cell>
          <cell r="F1282" t="str">
            <v/>
          </cell>
          <cell r="G1282" t="str">
            <v/>
          </cell>
          <cell r="H1282" t="str">
            <v/>
          </cell>
          <cell r="I1282" t="str">
            <v/>
          </cell>
          <cell r="J1282" t="str">
            <v/>
          </cell>
          <cell r="K1282">
            <v>0</v>
          </cell>
          <cell r="L1282" t="str">
            <v/>
          </cell>
          <cell r="M1282" t="str">
            <v/>
          </cell>
          <cell r="N1282" t="str">
            <v/>
          </cell>
          <cell r="O1282" t="str">
            <v/>
          </cell>
          <cell r="P1282" t="str">
            <v/>
          </cell>
          <cell r="Q1282" t="e">
            <v>#VALUE!</v>
          </cell>
          <cell r="R1282" t="str">
            <v/>
          </cell>
          <cell r="S1282" t="str">
            <v/>
          </cell>
          <cell r="T1282" t="str">
            <v/>
          </cell>
          <cell r="U1282" t="str">
            <v/>
          </cell>
          <cell r="V1282" t="str">
            <v/>
          </cell>
          <cell r="W1282" t="str">
            <v/>
          </cell>
          <cell r="X1282" t="str">
            <v/>
          </cell>
          <cell r="Z1282">
            <v>0</v>
          </cell>
          <cell r="AA1282" t="e">
            <v>#VALUE!</v>
          </cell>
          <cell r="AM1282" t="str">
            <v/>
          </cell>
          <cell r="AO1282" t="e">
            <v>#VALUE!</v>
          </cell>
          <cell r="AP1282" t="e">
            <v>#VALUE!</v>
          </cell>
          <cell r="AQ1282">
            <v>0</v>
          </cell>
          <cell r="AR1282" t="e">
            <v>#VALUE!</v>
          </cell>
          <cell r="AS1282" t="e">
            <v>#VALUE!</v>
          </cell>
          <cell r="AT1282" t="e">
            <v>#VALUE!</v>
          </cell>
          <cell r="AU1282" t="e">
            <v>#VALUE!</v>
          </cell>
          <cell r="AV1282" t="e">
            <v>#VALUE!</v>
          </cell>
          <cell r="AW1282" t="e">
            <v>#VALUE!</v>
          </cell>
          <cell r="AY1282" t="e">
            <v>#VALUE!</v>
          </cell>
          <cell r="AZ1282" t="str">
            <v>F18</v>
          </cell>
          <cell r="BA1282">
            <v>0</v>
          </cell>
          <cell r="BB1282" t="str">
            <v/>
          </cell>
          <cell r="BC1282" t="str">
            <v>F18</v>
          </cell>
        </row>
        <row r="1283">
          <cell r="A1283" t="str">
            <v/>
          </cell>
          <cell r="B1283" t="str">
            <v>3</v>
          </cell>
          <cell r="C1283" t="str">
            <v/>
          </cell>
          <cell r="D1283" t="str">
            <v/>
          </cell>
          <cell r="E1283" t="str">
            <v/>
          </cell>
          <cell r="F1283" t="str">
            <v/>
          </cell>
          <cell r="G1283" t="str">
            <v/>
          </cell>
          <cell r="H1283" t="str">
            <v/>
          </cell>
          <cell r="I1283" t="str">
            <v/>
          </cell>
          <cell r="J1283" t="str">
            <v/>
          </cell>
          <cell r="K1283">
            <v>0</v>
          </cell>
          <cell r="L1283" t="str">
            <v/>
          </cell>
          <cell r="M1283" t="str">
            <v/>
          </cell>
          <cell r="N1283" t="str">
            <v/>
          </cell>
          <cell r="O1283" t="str">
            <v/>
          </cell>
          <cell r="P1283" t="str">
            <v/>
          </cell>
          <cell r="Q1283" t="e">
            <v>#VALUE!</v>
          </cell>
          <cell r="R1283" t="str">
            <v/>
          </cell>
          <cell r="S1283" t="str">
            <v/>
          </cell>
          <cell r="T1283" t="str">
            <v/>
          </cell>
          <cell r="U1283" t="str">
            <v/>
          </cell>
          <cell r="V1283" t="str">
            <v/>
          </cell>
          <cell r="W1283" t="str">
            <v/>
          </cell>
          <cell r="X1283" t="str">
            <v/>
          </cell>
          <cell r="Z1283">
            <v>0</v>
          </cell>
          <cell r="AA1283" t="e">
            <v>#VALUE!</v>
          </cell>
          <cell r="AM1283" t="str">
            <v/>
          </cell>
          <cell r="AO1283" t="e">
            <v>#VALUE!</v>
          </cell>
          <cell r="AP1283" t="e">
            <v>#VALUE!</v>
          </cell>
          <cell r="AQ1283">
            <v>0</v>
          </cell>
          <cell r="AR1283" t="e">
            <v>#VALUE!</v>
          </cell>
          <cell r="AS1283" t="e">
            <v>#VALUE!</v>
          </cell>
          <cell r="AT1283" t="e">
            <v>#VALUE!</v>
          </cell>
          <cell r="AU1283" t="e">
            <v>#VALUE!</v>
          </cell>
          <cell r="AV1283" t="e">
            <v>#VALUE!</v>
          </cell>
          <cell r="AW1283" t="e">
            <v>#VALUE!</v>
          </cell>
          <cell r="AY1283" t="e">
            <v>#VALUE!</v>
          </cell>
          <cell r="AZ1283" t="str">
            <v>F18</v>
          </cell>
          <cell r="BA1283">
            <v>0</v>
          </cell>
          <cell r="BB1283" t="str">
            <v/>
          </cell>
          <cell r="BC1283" t="str">
            <v>F18</v>
          </cell>
        </row>
        <row r="1284">
          <cell r="A1284" t="str">
            <v/>
          </cell>
          <cell r="B1284" t="str">
            <v>3</v>
          </cell>
          <cell r="C1284" t="str">
            <v/>
          </cell>
          <cell r="D1284" t="str">
            <v/>
          </cell>
          <cell r="E1284" t="str">
            <v/>
          </cell>
          <cell r="F1284" t="str">
            <v/>
          </cell>
          <cell r="G1284" t="str">
            <v/>
          </cell>
          <cell r="H1284" t="str">
            <v/>
          </cell>
          <cell r="I1284" t="str">
            <v/>
          </cell>
          <cell r="J1284" t="str">
            <v/>
          </cell>
          <cell r="K1284">
            <v>0</v>
          </cell>
          <cell r="L1284" t="str">
            <v/>
          </cell>
          <cell r="M1284" t="str">
            <v/>
          </cell>
          <cell r="N1284" t="str">
            <v/>
          </cell>
          <cell r="O1284" t="str">
            <v/>
          </cell>
          <cell r="P1284" t="str">
            <v/>
          </cell>
          <cell r="Q1284" t="e">
            <v>#VALUE!</v>
          </cell>
          <cell r="R1284" t="str">
            <v/>
          </cell>
          <cell r="S1284" t="str">
            <v/>
          </cell>
          <cell r="T1284" t="str">
            <v/>
          </cell>
          <cell r="U1284" t="str">
            <v/>
          </cell>
          <cell r="V1284" t="str">
            <v/>
          </cell>
          <cell r="W1284" t="str">
            <v/>
          </cell>
          <cell r="X1284" t="str">
            <v/>
          </cell>
          <cell r="Z1284">
            <v>0</v>
          </cell>
          <cell r="AA1284" t="e">
            <v>#VALUE!</v>
          </cell>
          <cell r="AM1284" t="str">
            <v/>
          </cell>
          <cell r="AO1284" t="e">
            <v>#VALUE!</v>
          </cell>
          <cell r="AP1284" t="e">
            <v>#VALUE!</v>
          </cell>
          <cell r="AQ1284">
            <v>0</v>
          </cell>
          <cell r="AR1284" t="e">
            <v>#VALUE!</v>
          </cell>
          <cell r="AS1284" t="e">
            <v>#VALUE!</v>
          </cell>
          <cell r="AT1284" t="e">
            <v>#VALUE!</v>
          </cell>
          <cell r="AU1284" t="e">
            <v>#VALUE!</v>
          </cell>
          <cell r="AV1284" t="e">
            <v>#VALUE!</v>
          </cell>
          <cell r="AW1284" t="e">
            <v>#VALUE!</v>
          </cell>
          <cell r="AY1284" t="e">
            <v>#VALUE!</v>
          </cell>
          <cell r="AZ1284" t="str">
            <v>F18</v>
          </cell>
          <cell r="BA1284">
            <v>0</v>
          </cell>
          <cell r="BB1284" t="str">
            <v/>
          </cell>
          <cell r="BC1284" t="str">
            <v>F18</v>
          </cell>
        </row>
        <row r="1285">
          <cell r="A1285" t="str">
            <v/>
          </cell>
          <cell r="B1285" t="str">
            <v>3</v>
          </cell>
          <cell r="C1285" t="str">
            <v/>
          </cell>
          <cell r="D1285" t="str">
            <v/>
          </cell>
          <cell r="E1285" t="str">
            <v/>
          </cell>
          <cell r="F1285" t="str">
            <v/>
          </cell>
          <cell r="G1285" t="str">
            <v/>
          </cell>
          <cell r="H1285" t="str">
            <v/>
          </cell>
          <cell r="I1285" t="str">
            <v/>
          </cell>
          <cell r="J1285" t="str">
            <v/>
          </cell>
          <cell r="K1285">
            <v>0</v>
          </cell>
          <cell r="L1285" t="str">
            <v/>
          </cell>
          <cell r="M1285" t="str">
            <v/>
          </cell>
          <cell r="N1285" t="str">
            <v/>
          </cell>
          <cell r="O1285" t="str">
            <v/>
          </cell>
          <cell r="P1285" t="str">
            <v/>
          </cell>
          <cell r="Q1285" t="e">
            <v>#VALUE!</v>
          </cell>
          <cell r="R1285" t="str">
            <v/>
          </cell>
          <cell r="S1285" t="str">
            <v/>
          </cell>
          <cell r="T1285" t="str">
            <v/>
          </cell>
          <cell r="U1285" t="str">
            <v/>
          </cell>
          <cell r="V1285" t="str">
            <v/>
          </cell>
          <cell r="W1285" t="str">
            <v/>
          </cell>
          <cell r="X1285" t="str">
            <v/>
          </cell>
          <cell r="Z1285">
            <v>0</v>
          </cell>
          <cell r="AA1285" t="e">
            <v>#VALUE!</v>
          </cell>
          <cell r="AM1285" t="str">
            <v/>
          </cell>
          <cell r="AO1285" t="e">
            <v>#VALUE!</v>
          </cell>
          <cell r="AP1285" t="e">
            <v>#VALUE!</v>
          </cell>
          <cell r="AQ1285">
            <v>0</v>
          </cell>
          <cell r="AR1285" t="e">
            <v>#VALUE!</v>
          </cell>
          <cell r="AS1285" t="e">
            <v>#VALUE!</v>
          </cell>
          <cell r="AT1285" t="e">
            <v>#VALUE!</v>
          </cell>
          <cell r="AU1285" t="e">
            <v>#VALUE!</v>
          </cell>
          <cell r="AV1285" t="e">
            <v>#VALUE!</v>
          </cell>
          <cell r="AW1285" t="e">
            <v>#VALUE!</v>
          </cell>
          <cell r="AY1285" t="e">
            <v>#VALUE!</v>
          </cell>
          <cell r="AZ1285" t="str">
            <v>F18</v>
          </cell>
          <cell r="BA1285">
            <v>0</v>
          </cell>
          <cell r="BB1285" t="str">
            <v/>
          </cell>
          <cell r="BC1285" t="str">
            <v>F18</v>
          </cell>
        </row>
        <row r="1286">
          <cell r="A1286" t="str">
            <v/>
          </cell>
          <cell r="B1286" t="str">
            <v>3</v>
          </cell>
          <cell r="C1286" t="str">
            <v/>
          </cell>
          <cell r="D1286" t="str">
            <v/>
          </cell>
          <cell r="E1286" t="str">
            <v/>
          </cell>
          <cell r="F1286" t="str">
            <v/>
          </cell>
          <cell r="G1286" t="str">
            <v/>
          </cell>
          <cell r="H1286" t="str">
            <v/>
          </cell>
          <cell r="I1286" t="str">
            <v/>
          </cell>
          <cell r="J1286" t="str">
            <v/>
          </cell>
          <cell r="K1286">
            <v>0</v>
          </cell>
          <cell r="L1286" t="str">
            <v/>
          </cell>
          <cell r="M1286" t="str">
            <v/>
          </cell>
          <cell r="N1286" t="str">
            <v/>
          </cell>
          <cell r="O1286" t="str">
            <v/>
          </cell>
          <cell r="P1286" t="str">
            <v/>
          </cell>
          <cell r="Q1286" t="e">
            <v>#VALUE!</v>
          </cell>
          <cell r="R1286" t="str">
            <v/>
          </cell>
          <cell r="S1286" t="str">
            <v/>
          </cell>
          <cell r="T1286" t="str">
            <v/>
          </cell>
          <cell r="U1286" t="str">
            <v/>
          </cell>
          <cell r="V1286" t="str">
            <v/>
          </cell>
          <cell r="W1286" t="str">
            <v/>
          </cell>
          <cell r="X1286" t="str">
            <v/>
          </cell>
          <cell r="Z1286">
            <v>0</v>
          </cell>
          <cell r="AA1286" t="e">
            <v>#VALUE!</v>
          </cell>
          <cell r="AM1286" t="str">
            <v/>
          </cell>
          <cell r="AO1286" t="e">
            <v>#VALUE!</v>
          </cell>
          <cell r="AP1286" t="e">
            <v>#VALUE!</v>
          </cell>
          <cell r="AQ1286">
            <v>0</v>
          </cell>
          <cell r="AR1286" t="e">
            <v>#VALUE!</v>
          </cell>
          <cell r="AS1286" t="e">
            <v>#VALUE!</v>
          </cell>
          <cell r="AT1286" t="e">
            <v>#VALUE!</v>
          </cell>
          <cell r="AU1286" t="e">
            <v>#VALUE!</v>
          </cell>
          <cell r="AV1286" t="e">
            <v>#VALUE!</v>
          </cell>
          <cell r="AW1286" t="e">
            <v>#VALUE!</v>
          </cell>
          <cell r="AY1286" t="e">
            <v>#VALUE!</v>
          </cell>
          <cell r="AZ1286" t="str">
            <v>F18</v>
          </cell>
          <cell r="BA1286">
            <v>0</v>
          </cell>
          <cell r="BB1286" t="str">
            <v/>
          </cell>
          <cell r="BC1286" t="str">
            <v>F18</v>
          </cell>
        </row>
        <row r="1287">
          <cell r="A1287" t="str">
            <v/>
          </cell>
          <cell r="B1287" t="str">
            <v>3</v>
          </cell>
          <cell r="C1287" t="str">
            <v/>
          </cell>
          <cell r="D1287" t="str">
            <v/>
          </cell>
          <cell r="E1287" t="str">
            <v/>
          </cell>
          <cell r="F1287" t="str">
            <v/>
          </cell>
          <cell r="G1287" t="str">
            <v/>
          </cell>
          <cell r="H1287" t="str">
            <v/>
          </cell>
          <cell r="I1287" t="str">
            <v/>
          </cell>
          <cell r="J1287" t="str">
            <v/>
          </cell>
          <cell r="K1287">
            <v>0</v>
          </cell>
          <cell r="L1287" t="str">
            <v/>
          </cell>
          <cell r="M1287" t="str">
            <v/>
          </cell>
          <cell r="N1287" t="str">
            <v/>
          </cell>
          <cell r="O1287" t="str">
            <v/>
          </cell>
          <cell r="P1287" t="str">
            <v/>
          </cell>
          <cell r="Q1287" t="e">
            <v>#VALUE!</v>
          </cell>
          <cell r="R1287" t="str">
            <v/>
          </cell>
          <cell r="S1287" t="str">
            <v/>
          </cell>
          <cell r="T1287" t="str">
            <v/>
          </cell>
          <cell r="U1287" t="str">
            <v/>
          </cell>
          <cell r="V1287" t="str">
            <v/>
          </cell>
          <cell r="W1287" t="str">
            <v/>
          </cell>
          <cell r="X1287" t="str">
            <v/>
          </cell>
          <cell r="Z1287">
            <v>0</v>
          </cell>
          <cell r="AA1287" t="e">
            <v>#VALUE!</v>
          </cell>
          <cell r="AM1287" t="str">
            <v/>
          </cell>
          <cell r="AO1287" t="e">
            <v>#VALUE!</v>
          </cell>
          <cell r="AP1287" t="e">
            <v>#VALUE!</v>
          </cell>
          <cell r="AQ1287">
            <v>0</v>
          </cell>
          <cell r="AR1287" t="e">
            <v>#VALUE!</v>
          </cell>
          <cell r="AS1287" t="e">
            <v>#VALUE!</v>
          </cell>
          <cell r="AT1287" t="e">
            <v>#VALUE!</v>
          </cell>
          <cell r="AU1287" t="e">
            <v>#VALUE!</v>
          </cell>
          <cell r="AV1287" t="e">
            <v>#VALUE!</v>
          </cell>
          <cell r="AW1287" t="e">
            <v>#VALUE!</v>
          </cell>
          <cell r="AY1287" t="e">
            <v>#VALUE!</v>
          </cell>
          <cell r="AZ1287" t="str">
            <v>F18</v>
          </cell>
          <cell r="BA1287">
            <v>0</v>
          </cell>
          <cell r="BB1287" t="str">
            <v/>
          </cell>
          <cell r="BC1287" t="str">
            <v>F18</v>
          </cell>
        </row>
        <row r="1288">
          <cell r="A1288" t="str">
            <v/>
          </cell>
          <cell r="B1288" t="str">
            <v>3</v>
          </cell>
          <cell r="C1288" t="str">
            <v/>
          </cell>
          <cell r="D1288" t="str">
            <v/>
          </cell>
          <cell r="E1288" t="str">
            <v/>
          </cell>
          <cell r="F1288" t="str">
            <v/>
          </cell>
          <cell r="G1288" t="str">
            <v/>
          </cell>
          <cell r="H1288" t="str">
            <v/>
          </cell>
          <cell r="I1288" t="str">
            <v/>
          </cell>
          <cell r="J1288" t="str">
            <v/>
          </cell>
          <cell r="K1288">
            <v>0</v>
          </cell>
          <cell r="L1288" t="str">
            <v/>
          </cell>
          <cell r="M1288" t="str">
            <v/>
          </cell>
          <cell r="N1288" t="str">
            <v/>
          </cell>
          <cell r="O1288" t="str">
            <v/>
          </cell>
          <cell r="P1288" t="str">
            <v/>
          </cell>
          <cell r="Q1288" t="e">
            <v>#VALUE!</v>
          </cell>
          <cell r="R1288" t="str">
            <v/>
          </cell>
          <cell r="S1288" t="str">
            <v/>
          </cell>
          <cell r="T1288" t="str">
            <v/>
          </cell>
          <cell r="U1288" t="str">
            <v/>
          </cell>
          <cell r="V1288" t="str">
            <v/>
          </cell>
          <cell r="W1288" t="str">
            <v/>
          </cell>
          <cell r="X1288" t="str">
            <v/>
          </cell>
          <cell r="Z1288">
            <v>0</v>
          </cell>
          <cell r="AA1288" t="e">
            <v>#VALUE!</v>
          </cell>
          <cell r="AM1288" t="str">
            <v/>
          </cell>
          <cell r="AO1288" t="e">
            <v>#VALUE!</v>
          </cell>
          <cell r="AP1288" t="e">
            <v>#VALUE!</v>
          </cell>
          <cell r="AQ1288">
            <v>0</v>
          </cell>
          <cell r="AR1288" t="e">
            <v>#VALUE!</v>
          </cell>
          <cell r="AS1288" t="e">
            <v>#VALUE!</v>
          </cell>
          <cell r="AT1288" t="e">
            <v>#VALUE!</v>
          </cell>
          <cell r="AU1288" t="e">
            <v>#VALUE!</v>
          </cell>
          <cell r="AV1288" t="e">
            <v>#VALUE!</v>
          </cell>
          <cell r="AW1288" t="e">
            <v>#VALUE!</v>
          </cell>
          <cell r="AY1288" t="e">
            <v>#VALUE!</v>
          </cell>
          <cell r="AZ1288" t="str">
            <v>F18</v>
          </cell>
          <cell r="BA1288">
            <v>0</v>
          </cell>
          <cell r="BB1288" t="str">
            <v/>
          </cell>
          <cell r="BC1288" t="str">
            <v>F18</v>
          </cell>
        </row>
        <row r="1289">
          <cell r="A1289" t="str">
            <v/>
          </cell>
          <cell r="B1289" t="str">
            <v>3</v>
          </cell>
          <cell r="C1289" t="str">
            <v/>
          </cell>
          <cell r="D1289" t="str">
            <v/>
          </cell>
          <cell r="E1289" t="str">
            <v/>
          </cell>
          <cell r="F1289" t="str">
            <v/>
          </cell>
          <cell r="G1289" t="str">
            <v/>
          </cell>
          <cell r="H1289" t="str">
            <v/>
          </cell>
          <cell r="I1289" t="str">
            <v/>
          </cell>
          <cell r="J1289" t="str">
            <v/>
          </cell>
          <cell r="K1289">
            <v>0</v>
          </cell>
          <cell r="L1289" t="str">
            <v/>
          </cell>
          <cell r="M1289" t="str">
            <v/>
          </cell>
          <cell r="N1289" t="str">
            <v/>
          </cell>
          <cell r="O1289" t="str">
            <v/>
          </cell>
          <cell r="P1289" t="str">
            <v/>
          </cell>
          <cell r="Q1289" t="e">
            <v>#VALUE!</v>
          </cell>
          <cell r="R1289" t="str">
            <v/>
          </cell>
          <cell r="S1289" t="str">
            <v/>
          </cell>
          <cell r="T1289" t="str">
            <v/>
          </cell>
          <cell r="U1289" t="str">
            <v/>
          </cell>
          <cell r="V1289" t="str">
            <v/>
          </cell>
          <cell r="W1289" t="str">
            <v/>
          </cell>
          <cell r="X1289" t="str">
            <v/>
          </cell>
          <cell r="Z1289">
            <v>0</v>
          </cell>
          <cell r="AA1289" t="e">
            <v>#VALUE!</v>
          </cell>
          <cell r="AM1289" t="str">
            <v/>
          </cell>
          <cell r="AO1289" t="e">
            <v>#VALUE!</v>
          </cell>
          <cell r="AP1289" t="e">
            <v>#VALUE!</v>
          </cell>
          <cell r="AQ1289">
            <v>0</v>
          </cell>
          <cell r="AR1289" t="e">
            <v>#VALUE!</v>
          </cell>
          <cell r="AS1289" t="e">
            <v>#VALUE!</v>
          </cell>
          <cell r="AT1289" t="e">
            <v>#VALUE!</v>
          </cell>
          <cell r="AU1289" t="e">
            <v>#VALUE!</v>
          </cell>
          <cell r="AV1289" t="e">
            <v>#VALUE!</v>
          </cell>
          <cell r="AW1289" t="e">
            <v>#VALUE!</v>
          </cell>
          <cell r="AY1289" t="e">
            <v>#VALUE!</v>
          </cell>
          <cell r="AZ1289" t="str">
            <v>F18</v>
          </cell>
          <cell r="BA1289">
            <v>0</v>
          </cell>
          <cell r="BB1289" t="str">
            <v/>
          </cell>
          <cell r="BC1289" t="str">
            <v>F18</v>
          </cell>
        </row>
        <row r="1290">
          <cell r="A1290" t="str">
            <v/>
          </cell>
          <cell r="B1290" t="str">
            <v>3</v>
          </cell>
          <cell r="C1290" t="str">
            <v/>
          </cell>
          <cell r="D1290" t="str">
            <v/>
          </cell>
          <cell r="E1290" t="str">
            <v/>
          </cell>
          <cell r="F1290" t="str">
            <v/>
          </cell>
          <cell r="G1290" t="str">
            <v/>
          </cell>
          <cell r="H1290" t="str">
            <v/>
          </cell>
          <cell r="I1290" t="str">
            <v/>
          </cell>
          <cell r="J1290" t="str">
            <v/>
          </cell>
          <cell r="K1290">
            <v>0</v>
          </cell>
          <cell r="L1290" t="str">
            <v/>
          </cell>
          <cell r="M1290" t="str">
            <v/>
          </cell>
          <cell r="N1290" t="str">
            <v/>
          </cell>
          <cell r="O1290" t="str">
            <v/>
          </cell>
          <cell r="P1290" t="str">
            <v/>
          </cell>
          <cell r="Q1290" t="e">
            <v>#VALUE!</v>
          </cell>
          <cell r="R1290" t="str">
            <v/>
          </cell>
          <cell r="S1290" t="str">
            <v/>
          </cell>
          <cell r="T1290" t="str">
            <v/>
          </cell>
          <cell r="U1290" t="str">
            <v/>
          </cell>
          <cell r="V1290" t="str">
            <v/>
          </cell>
          <cell r="W1290" t="str">
            <v/>
          </cell>
          <cell r="X1290" t="str">
            <v/>
          </cell>
          <cell r="Z1290">
            <v>0</v>
          </cell>
          <cell r="AA1290" t="e">
            <v>#VALUE!</v>
          </cell>
          <cell r="AM1290" t="str">
            <v/>
          </cell>
          <cell r="AO1290" t="e">
            <v>#VALUE!</v>
          </cell>
          <cell r="AP1290" t="e">
            <v>#VALUE!</v>
          </cell>
          <cell r="AQ1290">
            <v>0</v>
          </cell>
          <cell r="AR1290" t="e">
            <v>#VALUE!</v>
          </cell>
          <cell r="AS1290" t="e">
            <v>#VALUE!</v>
          </cell>
          <cell r="AT1290" t="e">
            <v>#VALUE!</v>
          </cell>
          <cell r="AU1290" t="e">
            <v>#VALUE!</v>
          </cell>
          <cell r="AV1290" t="e">
            <v>#VALUE!</v>
          </cell>
          <cell r="AW1290" t="e">
            <v>#VALUE!</v>
          </cell>
          <cell r="AY1290" t="e">
            <v>#VALUE!</v>
          </cell>
          <cell r="AZ1290" t="str">
            <v>F18</v>
          </cell>
          <cell r="BA1290">
            <v>0</v>
          </cell>
          <cell r="BB1290" t="str">
            <v/>
          </cell>
          <cell r="BC1290" t="str">
            <v>F18</v>
          </cell>
        </row>
        <row r="1291">
          <cell r="A1291" t="str">
            <v/>
          </cell>
          <cell r="B1291" t="str">
            <v>3</v>
          </cell>
          <cell r="C1291" t="str">
            <v/>
          </cell>
          <cell r="D1291" t="str">
            <v/>
          </cell>
          <cell r="E1291" t="str">
            <v/>
          </cell>
          <cell r="F1291" t="str">
            <v/>
          </cell>
          <cell r="G1291" t="str">
            <v/>
          </cell>
          <cell r="H1291" t="str">
            <v/>
          </cell>
          <cell r="I1291" t="str">
            <v/>
          </cell>
          <cell r="J1291" t="str">
            <v/>
          </cell>
          <cell r="K1291">
            <v>0</v>
          </cell>
          <cell r="L1291" t="str">
            <v/>
          </cell>
          <cell r="M1291" t="str">
            <v/>
          </cell>
          <cell r="N1291" t="str">
            <v/>
          </cell>
          <cell r="O1291" t="str">
            <v/>
          </cell>
          <cell r="P1291" t="str">
            <v/>
          </cell>
          <cell r="Q1291" t="e">
            <v>#VALUE!</v>
          </cell>
          <cell r="R1291" t="str">
            <v/>
          </cell>
          <cell r="S1291" t="str">
            <v/>
          </cell>
          <cell r="T1291" t="str">
            <v/>
          </cell>
          <cell r="U1291" t="str">
            <v/>
          </cell>
          <cell r="V1291" t="str">
            <v/>
          </cell>
          <cell r="W1291" t="str">
            <v/>
          </cell>
          <cell r="X1291" t="str">
            <v/>
          </cell>
          <cell r="Z1291">
            <v>0</v>
          </cell>
          <cell r="AA1291" t="e">
            <v>#VALUE!</v>
          </cell>
          <cell r="AM1291" t="str">
            <v/>
          </cell>
          <cell r="AO1291" t="e">
            <v>#VALUE!</v>
          </cell>
          <cell r="AP1291" t="e">
            <v>#VALUE!</v>
          </cell>
          <cell r="AQ1291">
            <v>0</v>
          </cell>
          <cell r="AR1291" t="e">
            <v>#VALUE!</v>
          </cell>
          <cell r="AS1291" t="e">
            <v>#VALUE!</v>
          </cell>
          <cell r="AT1291" t="e">
            <v>#VALUE!</v>
          </cell>
          <cell r="AU1291" t="e">
            <v>#VALUE!</v>
          </cell>
          <cell r="AV1291" t="e">
            <v>#VALUE!</v>
          </cell>
          <cell r="AW1291" t="e">
            <v>#VALUE!</v>
          </cell>
          <cell r="AY1291" t="e">
            <v>#VALUE!</v>
          </cell>
          <cell r="AZ1291" t="str">
            <v>F18</v>
          </cell>
          <cell r="BA1291">
            <v>0</v>
          </cell>
          <cell r="BB1291" t="str">
            <v/>
          </cell>
          <cell r="BC1291" t="str">
            <v>F18</v>
          </cell>
        </row>
        <row r="1292">
          <cell r="A1292" t="str">
            <v/>
          </cell>
          <cell r="B1292" t="str">
            <v>3</v>
          </cell>
          <cell r="C1292" t="str">
            <v/>
          </cell>
          <cell r="D1292" t="str">
            <v/>
          </cell>
          <cell r="E1292" t="str">
            <v/>
          </cell>
          <cell r="F1292" t="str">
            <v/>
          </cell>
          <cell r="G1292" t="str">
            <v/>
          </cell>
          <cell r="H1292" t="str">
            <v/>
          </cell>
          <cell r="I1292" t="str">
            <v/>
          </cell>
          <cell r="J1292" t="str">
            <v/>
          </cell>
          <cell r="K1292">
            <v>0</v>
          </cell>
          <cell r="L1292" t="str">
            <v/>
          </cell>
          <cell r="M1292" t="str">
            <v/>
          </cell>
          <cell r="N1292" t="str">
            <v/>
          </cell>
          <cell r="O1292" t="str">
            <v/>
          </cell>
          <cell r="P1292" t="str">
            <v/>
          </cell>
          <cell r="Q1292" t="e">
            <v>#VALUE!</v>
          </cell>
          <cell r="R1292" t="str">
            <v/>
          </cell>
          <cell r="S1292" t="str">
            <v/>
          </cell>
          <cell r="T1292" t="str">
            <v/>
          </cell>
          <cell r="U1292" t="str">
            <v/>
          </cell>
          <cell r="V1292" t="str">
            <v/>
          </cell>
          <cell r="W1292" t="str">
            <v/>
          </cell>
          <cell r="X1292" t="str">
            <v/>
          </cell>
          <cell r="Z1292">
            <v>0</v>
          </cell>
          <cell r="AA1292" t="e">
            <v>#VALUE!</v>
          </cell>
          <cell r="AM1292" t="str">
            <v/>
          </cell>
          <cell r="AO1292" t="e">
            <v>#VALUE!</v>
          </cell>
          <cell r="AP1292" t="e">
            <v>#VALUE!</v>
          </cell>
          <cell r="AQ1292">
            <v>0</v>
          </cell>
          <cell r="AR1292" t="e">
            <v>#VALUE!</v>
          </cell>
          <cell r="AS1292" t="e">
            <v>#VALUE!</v>
          </cell>
          <cell r="AT1292" t="e">
            <v>#VALUE!</v>
          </cell>
          <cell r="AU1292" t="e">
            <v>#VALUE!</v>
          </cell>
          <cell r="AV1292" t="e">
            <v>#VALUE!</v>
          </cell>
          <cell r="AW1292" t="e">
            <v>#VALUE!</v>
          </cell>
          <cell r="AY1292" t="e">
            <v>#VALUE!</v>
          </cell>
          <cell r="AZ1292" t="str">
            <v>F18</v>
          </cell>
          <cell r="BA1292">
            <v>0</v>
          </cell>
          <cell r="BB1292" t="str">
            <v/>
          </cell>
          <cell r="BC1292" t="str">
            <v>F18</v>
          </cell>
        </row>
        <row r="1293">
          <cell r="A1293" t="str">
            <v/>
          </cell>
          <cell r="B1293" t="str">
            <v>3</v>
          </cell>
          <cell r="C1293" t="str">
            <v/>
          </cell>
          <cell r="D1293" t="str">
            <v/>
          </cell>
          <cell r="E1293" t="str">
            <v/>
          </cell>
          <cell r="F1293" t="str">
            <v/>
          </cell>
          <cell r="G1293" t="str">
            <v/>
          </cell>
          <cell r="H1293" t="str">
            <v/>
          </cell>
          <cell r="I1293" t="str">
            <v/>
          </cell>
          <cell r="J1293" t="str">
            <v/>
          </cell>
          <cell r="K1293">
            <v>0</v>
          </cell>
          <cell r="L1293" t="str">
            <v/>
          </cell>
          <cell r="M1293" t="str">
            <v/>
          </cell>
          <cell r="N1293" t="str">
            <v/>
          </cell>
          <cell r="O1293" t="str">
            <v/>
          </cell>
          <cell r="P1293" t="str">
            <v/>
          </cell>
          <cell r="Q1293" t="e">
            <v>#VALUE!</v>
          </cell>
          <cell r="R1293" t="str">
            <v/>
          </cell>
          <cell r="S1293" t="str">
            <v/>
          </cell>
          <cell r="T1293" t="str">
            <v/>
          </cell>
          <cell r="U1293" t="str">
            <v/>
          </cell>
          <cell r="V1293" t="str">
            <v/>
          </cell>
          <cell r="W1293" t="str">
            <v/>
          </cell>
          <cell r="X1293" t="str">
            <v/>
          </cell>
          <cell r="Z1293">
            <v>0</v>
          </cell>
          <cell r="AA1293" t="e">
            <v>#VALUE!</v>
          </cell>
          <cell r="AM1293" t="str">
            <v/>
          </cell>
          <cell r="AO1293" t="e">
            <v>#VALUE!</v>
          </cell>
          <cell r="AP1293" t="e">
            <v>#VALUE!</v>
          </cell>
          <cell r="AQ1293">
            <v>0</v>
          </cell>
          <cell r="AR1293" t="e">
            <v>#VALUE!</v>
          </cell>
          <cell r="AS1293" t="e">
            <v>#VALUE!</v>
          </cell>
          <cell r="AT1293" t="e">
            <v>#VALUE!</v>
          </cell>
          <cell r="AU1293" t="e">
            <v>#VALUE!</v>
          </cell>
          <cell r="AV1293" t="e">
            <v>#VALUE!</v>
          </cell>
          <cell r="AW1293" t="e">
            <v>#VALUE!</v>
          </cell>
          <cell r="AY1293" t="e">
            <v>#VALUE!</v>
          </cell>
          <cell r="AZ1293" t="str">
            <v>F18</v>
          </cell>
          <cell r="BA1293">
            <v>0</v>
          </cell>
          <cell r="BB1293" t="str">
            <v/>
          </cell>
          <cell r="BC1293" t="str">
            <v>F18</v>
          </cell>
        </row>
        <row r="1294">
          <cell r="A1294" t="str">
            <v/>
          </cell>
          <cell r="B1294" t="str">
            <v>3</v>
          </cell>
          <cell r="C1294" t="str">
            <v/>
          </cell>
          <cell r="D1294" t="str">
            <v/>
          </cell>
          <cell r="E1294" t="str">
            <v/>
          </cell>
          <cell r="F1294" t="str">
            <v/>
          </cell>
          <cell r="G1294" t="str">
            <v/>
          </cell>
          <cell r="H1294" t="str">
            <v/>
          </cell>
          <cell r="I1294" t="str">
            <v/>
          </cell>
          <cell r="J1294" t="str">
            <v/>
          </cell>
          <cell r="K1294">
            <v>0</v>
          </cell>
          <cell r="L1294" t="str">
            <v/>
          </cell>
          <cell r="M1294" t="str">
            <v/>
          </cell>
          <cell r="N1294" t="str">
            <v/>
          </cell>
          <cell r="O1294" t="str">
            <v/>
          </cell>
          <cell r="P1294" t="str">
            <v/>
          </cell>
          <cell r="Q1294" t="e">
            <v>#VALUE!</v>
          </cell>
          <cell r="R1294" t="str">
            <v/>
          </cell>
          <cell r="S1294" t="str">
            <v/>
          </cell>
          <cell r="T1294" t="str">
            <v/>
          </cell>
          <cell r="U1294" t="str">
            <v/>
          </cell>
          <cell r="V1294" t="str">
            <v/>
          </cell>
          <cell r="W1294" t="str">
            <v/>
          </cell>
          <cell r="X1294" t="str">
            <v/>
          </cell>
          <cell r="Z1294">
            <v>0</v>
          </cell>
          <cell r="AA1294" t="e">
            <v>#VALUE!</v>
          </cell>
          <cell r="AM1294" t="str">
            <v/>
          </cell>
          <cell r="AO1294" t="e">
            <v>#VALUE!</v>
          </cell>
          <cell r="AP1294" t="e">
            <v>#VALUE!</v>
          </cell>
          <cell r="AQ1294">
            <v>0</v>
          </cell>
          <cell r="AR1294" t="e">
            <v>#VALUE!</v>
          </cell>
          <cell r="AS1294" t="e">
            <v>#VALUE!</v>
          </cell>
          <cell r="AT1294" t="e">
            <v>#VALUE!</v>
          </cell>
          <cell r="AU1294" t="e">
            <v>#VALUE!</v>
          </cell>
          <cell r="AV1294" t="e">
            <v>#VALUE!</v>
          </cell>
          <cell r="AW1294" t="e">
            <v>#VALUE!</v>
          </cell>
          <cell r="AY1294" t="e">
            <v>#VALUE!</v>
          </cell>
          <cell r="AZ1294" t="str">
            <v>F18</v>
          </cell>
          <cell r="BA1294">
            <v>0</v>
          </cell>
          <cell r="BB1294" t="str">
            <v/>
          </cell>
          <cell r="BC1294" t="str">
            <v>F18</v>
          </cell>
        </row>
        <row r="1295">
          <cell r="A1295" t="str">
            <v/>
          </cell>
          <cell r="B1295" t="str">
            <v>3</v>
          </cell>
          <cell r="C1295" t="str">
            <v/>
          </cell>
          <cell r="D1295" t="str">
            <v/>
          </cell>
          <cell r="E1295" t="str">
            <v/>
          </cell>
          <cell r="F1295" t="str">
            <v/>
          </cell>
          <cell r="G1295" t="str">
            <v/>
          </cell>
          <cell r="H1295" t="str">
            <v/>
          </cell>
          <cell r="I1295" t="str">
            <v/>
          </cell>
          <cell r="J1295" t="str">
            <v/>
          </cell>
          <cell r="K1295">
            <v>0</v>
          </cell>
          <cell r="L1295" t="str">
            <v/>
          </cell>
          <cell r="M1295" t="str">
            <v/>
          </cell>
          <cell r="N1295" t="str">
            <v/>
          </cell>
          <cell r="O1295" t="str">
            <v/>
          </cell>
          <cell r="P1295" t="str">
            <v/>
          </cell>
          <cell r="Q1295" t="e">
            <v>#VALUE!</v>
          </cell>
          <cell r="R1295" t="str">
            <v/>
          </cell>
          <cell r="S1295" t="str">
            <v/>
          </cell>
          <cell r="T1295" t="str">
            <v/>
          </cell>
          <cell r="U1295" t="str">
            <v/>
          </cell>
          <cell r="V1295" t="str">
            <v/>
          </cell>
          <cell r="W1295" t="str">
            <v/>
          </cell>
          <cell r="X1295" t="str">
            <v/>
          </cell>
          <cell r="Z1295">
            <v>0</v>
          </cell>
          <cell r="AA1295" t="e">
            <v>#VALUE!</v>
          </cell>
          <cell r="AM1295" t="str">
            <v/>
          </cell>
          <cell r="AO1295" t="e">
            <v>#VALUE!</v>
          </cell>
          <cell r="AP1295" t="e">
            <v>#VALUE!</v>
          </cell>
          <cell r="AQ1295">
            <v>0</v>
          </cell>
          <cell r="AR1295" t="e">
            <v>#VALUE!</v>
          </cell>
          <cell r="AS1295" t="e">
            <v>#VALUE!</v>
          </cell>
          <cell r="AT1295" t="e">
            <v>#VALUE!</v>
          </cell>
          <cell r="AU1295" t="e">
            <v>#VALUE!</v>
          </cell>
          <cell r="AV1295" t="e">
            <v>#VALUE!</v>
          </cell>
          <cell r="AW1295" t="e">
            <v>#VALUE!</v>
          </cell>
          <cell r="AY1295" t="e">
            <v>#VALUE!</v>
          </cell>
          <cell r="AZ1295" t="str">
            <v>F18</v>
          </cell>
          <cell r="BA1295">
            <v>0</v>
          </cell>
          <cell r="BB1295" t="str">
            <v/>
          </cell>
          <cell r="BC1295" t="str">
            <v>F18</v>
          </cell>
        </row>
        <row r="1296">
          <cell r="A1296" t="str">
            <v/>
          </cell>
          <cell r="B1296" t="str">
            <v>3</v>
          </cell>
          <cell r="C1296" t="str">
            <v/>
          </cell>
          <cell r="D1296" t="str">
            <v/>
          </cell>
          <cell r="E1296" t="str">
            <v/>
          </cell>
          <cell r="F1296" t="str">
            <v/>
          </cell>
          <cell r="G1296" t="str">
            <v/>
          </cell>
          <cell r="H1296" t="str">
            <v/>
          </cell>
          <cell r="I1296" t="str">
            <v/>
          </cell>
          <cell r="J1296" t="str">
            <v/>
          </cell>
          <cell r="K1296">
            <v>0</v>
          </cell>
          <cell r="L1296" t="str">
            <v/>
          </cell>
          <cell r="M1296" t="str">
            <v/>
          </cell>
          <cell r="N1296" t="str">
            <v/>
          </cell>
          <cell r="O1296" t="str">
            <v/>
          </cell>
          <cell r="P1296" t="str">
            <v/>
          </cell>
          <cell r="Q1296" t="e">
            <v>#VALUE!</v>
          </cell>
          <cell r="R1296" t="str">
            <v/>
          </cell>
          <cell r="S1296" t="str">
            <v/>
          </cell>
          <cell r="T1296" t="str">
            <v/>
          </cell>
          <cell r="U1296" t="str">
            <v/>
          </cell>
          <cell r="V1296" t="str">
            <v/>
          </cell>
          <cell r="W1296" t="str">
            <v/>
          </cell>
          <cell r="X1296" t="str">
            <v/>
          </cell>
          <cell r="Z1296">
            <v>0</v>
          </cell>
          <cell r="AA1296" t="e">
            <v>#VALUE!</v>
          </cell>
          <cell r="AM1296" t="str">
            <v/>
          </cell>
          <cell r="AO1296" t="e">
            <v>#VALUE!</v>
          </cell>
          <cell r="AP1296" t="e">
            <v>#VALUE!</v>
          </cell>
          <cell r="AQ1296">
            <v>0</v>
          </cell>
          <cell r="AR1296" t="e">
            <v>#VALUE!</v>
          </cell>
          <cell r="AS1296" t="e">
            <v>#VALUE!</v>
          </cell>
          <cell r="AT1296" t="e">
            <v>#VALUE!</v>
          </cell>
          <cell r="AU1296" t="e">
            <v>#VALUE!</v>
          </cell>
          <cell r="AV1296" t="e">
            <v>#VALUE!</v>
          </cell>
          <cell r="AW1296" t="e">
            <v>#VALUE!</v>
          </cell>
          <cell r="AY1296" t="e">
            <v>#VALUE!</v>
          </cell>
          <cell r="AZ1296" t="str">
            <v>F18</v>
          </cell>
          <cell r="BA1296">
            <v>0</v>
          </cell>
          <cell r="BB1296" t="str">
            <v/>
          </cell>
          <cell r="BC1296" t="str">
            <v>F18</v>
          </cell>
        </row>
        <row r="1297">
          <cell r="A1297" t="str">
            <v/>
          </cell>
          <cell r="B1297" t="str">
            <v>3</v>
          </cell>
          <cell r="C1297" t="str">
            <v/>
          </cell>
          <cell r="D1297" t="str">
            <v/>
          </cell>
          <cell r="E1297" t="str">
            <v/>
          </cell>
          <cell r="F1297" t="str">
            <v/>
          </cell>
          <cell r="G1297" t="str">
            <v/>
          </cell>
          <cell r="H1297" t="str">
            <v/>
          </cell>
          <cell r="I1297" t="str">
            <v/>
          </cell>
          <cell r="J1297" t="str">
            <v/>
          </cell>
          <cell r="K1297">
            <v>0</v>
          </cell>
          <cell r="L1297" t="str">
            <v/>
          </cell>
          <cell r="M1297" t="str">
            <v/>
          </cell>
          <cell r="N1297" t="str">
            <v/>
          </cell>
          <cell r="O1297" t="str">
            <v/>
          </cell>
          <cell r="P1297" t="str">
            <v/>
          </cell>
          <cell r="Q1297" t="e">
            <v>#VALUE!</v>
          </cell>
          <cell r="R1297" t="str">
            <v/>
          </cell>
          <cell r="S1297" t="str">
            <v/>
          </cell>
          <cell r="T1297" t="str">
            <v/>
          </cell>
          <cell r="U1297" t="str">
            <v/>
          </cell>
          <cell r="V1297" t="str">
            <v/>
          </cell>
          <cell r="W1297" t="str">
            <v/>
          </cell>
          <cell r="X1297" t="str">
            <v/>
          </cell>
          <cell r="Z1297">
            <v>0</v>
          </cell>
          <cell r="AA1297" t="e">
            <v>#VALUE!</v>
          </cell>
          <cell r="AM1297" t="str">
            <v/>
          </cell>
          <cell r="AO1297" t="e">
            <v>#VALUE!</v>
          </cell>
          <cell r="AP1297" t="e">
            <v>#VALUE!</v>
          </cell>
          <cell r="AQ1297">
            <v>0</v>
          </cell>
          <cell r="AR1297" t="e">
            <v>#VALUE!</v>
          </cell>
          <cell r="AS1297" t="e">
            <v>#VALUE!</v>
          </cell>
          <cell r="AT1297" t="e">
            <v>#VALUE!</v>
          </cell>
          <cell r="AU1297" t="e">
            <v>#VALUE!</v>
          </cell>
          <cell r="AV1297" t="e">
            <v>#VALUE!</v>
          </cell>
          <cell r="AW1297" t="e">
            <v>#VALUE!</v>
          </cell>
          <cell r="AY1297" t="e">
            <v>#VALUE!</v>
          </cell>
          <cell r="AZ1297" t="str">
            <v>F18</v>
          </cell>
          <cell r="BA1297">
            <v>0</v>
          </cell>
          <cell r="BB1297" t="str">
            <v/>
          </cell>
          <cell r="BC1297" t="str">
            <v>F18</v>
          </cell>
        </row>
        <row r="1298">
          <cell r="A1298" t="str">
            <v/>
          </cell>
          <cell r="B1298" t="str">
            <v>3</v>
          </cell>
          <cell r="C1298" t="str">
            <v/>
          </cell>
          <cell r="D1298" t="str">
            <v/>
          </cell>
          <cell r="E1298" t="str">
            <v/>
          </cell>
          <cell r="F1298" t="str">
            <v/>
          </cell>
          <cell r="G1298" t="str">
            <v/>
          </cell>
          <cell r="H1298" t="str">
            <v/>
          </cell>
          <cell r="I1298" t="str">
            <v/>
          </cell>
          <cell r="J1298" t="str">
            <v/>
          </cell>
          <cell r="K1298">
            <v>0</v>
          </cell>
          <cell r="L1298" t="str">
            <v/>
          </cell>
          <cell r="M1298" t="str">
            <v/>
          </cell>
          <cell r="N1298" t="str">
            <v/>
          </cell>
          <cell r="O1298" t="str">
            <v/>
          </cell>
          <cell r="P1298" t="str">
            <v/>
          </cell>
          <cell r="Q1298" t="e">
            <v>#VALUE!</v>
          </cell>
          <cell r="R1298" t="str">
            <v/>
          </cell>
          <cell r="S1298" t="str">
            <v/>
          </cell>
          <cell r="T1298" t="str">
            <v/>
          </cell>
          <cell r="U1298" t="str">
            <v/>
          </cell>
          <cell r="V1298" t="str">
            <v/>
          </cell>
          <cell r="W1298" t="str">
            <v/>
          </cell>
          <cell r="X1298" t="str">
            <v/>
          </cell>
          <cell r="Z1298">
            <v>0</v>
          </cell>
          <cell r="AA1298" t="e">
            <v>#VALUE!</v>
          </cell>
          <cell r="AM1298" t="str">
            <v/>
          </cell>
          <cell r="AO1298" t="e">
            <v>#VALUE!</v>
          </cell>
          <cell r="AP1298" t="e">
            <v>#VALUE!</v>
          </cell>
          <cell r="AQ1298">
            <v>0</v>
          </cell>
          <cell r="AR1298" t="e">
            <v>#VALUE!</v>
          </cell>
          <cell r="AS1298" t="e">
            <v>#VALUE!</v>
          </cell>
          <cell r="AT1298" t="e">
            <v>#VALUE!</v>
          </cell>
          <cell r="AU1298" t="e">
            <v>#VALUE!</v>
          </cell>
          <cell r="AV1298" t="e">
            <v>#VALUE!</v>
          </cell>
          <cell r="AW1298" t="e">
            <v>#VALUE!</v>
          </cell>
          <cell r="AY1298" t="e">
            <v>#VALUE!</v>
          </cell>
          <cell r="AZ1298" t="str">
            <v>F18</v>
          </cell>
          <cell r="BA1298">
            <v>0</v>
          </cell>
          <cell r="BB1298" t="str">
            <v/>
          </cell>
          <cell r="BC1298" t="str">
            <v>F18</v>
          </cell>
        </row>
        <row r="1299">
          <cell r="A1299" t="str">
            <v/>
          </cell>
          <cell r="B1299" t="str">
            <v>3</v>
          </cell>
          <cell r="C1299" t="str">
            <v/>
          </cell>
          <cell r="D1299" t="str">
            <v/>
          </cell>
          <cell r="E1299" t="str">
            <v/>
          </cell>
          <cell r="F1299" t="str">
            <v/>
          </cell>
          <cell r="G1299" t="str">
            <v/>
          </cell>
          <cell r="H1299" t="str">
            <v/>
          </cell>
          <cell r="I1299" t="str">
            <v/>
          </cell>
          <cell r="J1299" t="str">
            <v/>
          </cell>
          <cell r="K1299">
            <v>0</v>
          </cell>
          <cell r="L1299" t="str">
            <v/>
          </cell>
          <cell r="M1299" t="str">
            <v/>
          </cell>
          <cell r="N1299" t="str">
            <v/>
          </cell>
          <cell r="O1299" t="str">
            <v/>
          </cell>
          <cell r="P1299" t="str">
            <v/>
          </cell>
          <cell r="Q1299" t="e">
            <v>#VALUE!</v>
          </cell>
          <cell r="R1299" t="str">
            <v/>
          </cell>
          <cell r="S1299" t="str">
            <v/>
          </cell>
          <cell r="T1299" t="str">
            <v/>
          </cell>
          <cell r="U1299" t="str">
            <v/>
          </cell>
          <cell r="V1299" t="str">
            <v/>
          </cell>
          <cell r="W1299" t="str">
            <v/>
          </cell>
          <cell r="X1299" t="str">
            <v/>
          </cell>
          <cell r="Z1299">
            <v>0</v>
          </cell>
          <cell r="AA1299" t="e">
            <v>#VALUE!</v>
          </cell>
          <cell r="AM1299" t="str">
            <v/>
          </cell>
          <cell r="AO1299" t="e">
            <v>#VALUE!</v>
          </cell>
          <cell r="AP1299" t="e">
            <v>#VALUE!</v>
          </cell>
          <cell r="AQ1299">
            <v>0</v>
          </cell>
          <cell r="AR1299" t="e">
            <v>#VALUE!</v>
          </cell>
          <cell r="AS1299" t="e">
            <v>#VALUE!</v>
          </cell>
          <cell r="AT1299" t="e">
            <v>#VALUE!</v>
          </cell>
          <cell r="AU1299" t="e">
            <v>#VALUE!</v>
          </cell>
          <cell r="AV1299" t="e">
            <v>#VALUE!</v>
          </cell>
          <cell r="AW1299" t="e">
            <v>#VALUE!</v>
          </cell>
          <cell r="AY1299" t="e">
            <v>#VALUE!</v>
          </cell>
          <cell r="AZ1299" t="str">
            <v>F18</v>
          </cell>
          <cell r="BA1299">
            <v>0</v>
          </cell>
          <cell r="BB1299" t="str">
            <v/>
          </cell>
          <cell r="BC1299" t="str">
            <v>F18</v>
          </cell>
        </row>
        <row r="1300">
          <cell r="A1300" t="str">
            <v/>
          </cell>
          <cell r="B1300" t="str">
            <v>3</v>
          </cell>
          <cell r="C1300" t="str">
            <v/>
          </cell>
          <cell r="D1300" t="str">
            <v/>
          </cell>
          <cell r="E1300" t="str">
            <v/>
          </cell>
          <cell r="F1300" t="str">
            <v/>
          </cell>
          <cell r="G1300" t="str">
            <v/>
          </cell>
          <cell r="H1300" t="str">
            <v/>
          </cell>
          <cell r="I1300" t="str">
            <v/>
          </cell>
          <cell r="J1300" t="str">
            <v/>
          </cell>
          <cell r="K1300">
            <v>0</v>
          </cell>
          <cell r="L1300" t="str">
            <v/>
          </cell>
          <cell r="M1300" t="str">
            <v/>
          </cell>
          <cell r="N1300" t="str">
            <v/>
          </cell>
          <cell r="O1300" t="str">
            <v/>
          </cell>
          <cell r="P1300" t="str">
            <v/>
          </cell>
          <cell r="Q1300" t="e">
            <v>#VALUE!</v>
          </cell>
          <cell r="R1300" t="str">
            <v/>
          </cell>
          <cell r="S1300" t="str">
            <v/>
          </cell>
          <cell r="T1300" t="str">
            <v/>
          </cell>
          <cell r="U1300" t="str">
            <v/>
          </cell>
          <cell r="V1300" t="str">
            <v/>
          </cell>
          <cell r="W1300" t="str">
            <v/>
          </cell>
          <cell r="X1300" t="str">
            <v/>
          </cell>
          <cell r="Z1300">
            <v>0</v>
          </cell>
          <cell r="AA1300" t="e">
            <v>#VALUE!</v>
          </cell>
          <cell r="AM1300" t="str">
            <v/>
          </cell>
          <cell r="AO1300" t="e">
            <v>#VALUE!</v>
          </cell>
          <cell r="AP1300" t="e">
            <v>#VALUE!</v>
          </cell>
          <cell r="AQ1300">
            <v>0</v>
          </cell>
          <cell r="AR1300" t="e">
            <v>#VALUE!</v>
          </cell>
          <cell r="AS1300" t="e">
            <v>#VALUE!</v>
          </cell>
          <cell r="AT1300" t="e">
            <v>#VALUE!</v>
          </cell>
          <cell r="AU1300" t="e">
            <v>#VALUE!</v>
          </cell>
          <cell r="AV1300" t="e">
            <v>#VALUE!</v>
          </cell>
          <cell r="AW1300" t="e">
            <v>#VALUE!</v>
          </cell>
          <cell r="AY1300" t="e">
            <v>#VALUE!</v>
          </cell>
          <cell r="AZ1300" t="str">
            <v>F18</v>
          </cell>
          <cell r="BA1300">
            <v>0</v>
          </cell>
          <cell r="BB1300" t="str">
            <v/>
          </cell>
          <cell r="BC1300" t="str">
            <v>F18</v>
          </cell>
        </row>
        <row r="1301">
          <cell r="A1301" t="str">
            <v/>
          </cell>
          <cell r="B1301" t="str">
            <v>3</v>
          </cell>
          <cell r="C1301" t="str">
            <v/>
          </cell>
          <cell r="D1301" t="str">
            <v/>
          </cell>
          <cell r="E1301" t="str">
            <v/>
          </cell>
          <cell r="F1301" t="str">
            <v/>
          </cell>
          <cell r="G1301" t="str">
            <v/>
          </cell>
          <cell r="H1301" t="str">
            <v/>
          </cell>
          <cell r="I1301" t="str">
            <v/>
          </cell>
          <cell r="J1301" t="str">
            <v/>
          </cell>
          <cell r="K1301">
            <v>0</v>
          </cell>
          <cell r="L1301" t="str">
            <v/>
          </cell>
          <cell r="M1301" t="str">
            <v/>
          </cell>
          <cell r="N1301" t="str">
            <v/>
          </cell>
          <cell r="O1301" t="str">
            <v/>
          </cell>
          <cell r="P1301" t="str">
            <v/>
          </cell>
          <cell r="Q1301" t="e">
            <v>#VALUE!</v>
          </cell>
          <cell r="R1301" t="str">
            <v/>
          </cell>
          <cell r="S1301" t="str">
            <v/>
          </cell>
          <cell r="T1301" t="str">
            <v/>
          </cell>
          <cell r="U1301" t="str">
            <v/>
          </cell>
          <cell r="V1301" t="str">
            <v/>
          </cell>
          <cell r="W1301" t="str">
            <v/>
          </cell>
          <cell r="X1301" t="str">
            <v/>
          </cell>
          <cell r="Z1301">
            <v>0</v>
          </cell>
          <cell r="AA1301" t="e">
            <v>#VALUE!</v>
          </cell>
          <cell r="AM1301" t="str">
            <v/>
          </cell>
          <cell r="AO1301" t="e">
            <v>#VALUE!</v>
          </cell>
          <cell r="AP1301" t="e">
            <v>#VALUE!</v>
          </cell>
          <cell r="AQ1301">
            <v>0</v>
          </cell>
          <cell r="AR1301" t="e">
            <v>#VALUE!</v>
          </cell>
          <cell r="AS1301" t="e">
            <v>#VALUE!</v>
          </cell>
          <cell r="AT1301" t="e">
            <v>#VALUE!</v>
          </cell>
          <cell r="AU1301" t="e">
            <v>#VALUE!</v>
          </cell>
          <cell r="AV1301" t="e">
            <v>#VALUE!</v>
          </cell>
          <cell r="AW1301" t="e">
            <v>#VALUE!</v>
          </cell>
          <cell r="AY1301" t="e">
            <v>#VALUE!</v>
          </cell>
          <cell r="AZ1301" t="str">
            <v>F18</v>
          </cell>
          <cell r="BA1301">
            <v>0</v>
          </cell>
          <cell r="BB1301" t="str">
            <v/>
          </cell>
          <cell r="BC1301" t="str">
            <v>F18</v>
          </cell>
        </row>
        <row r="1302">
          <cell r="A1302" t="str">
            <v/>
          </cell>
          <cell r="B1302" t="str">
            <v>3</v>
          </cell>
          <cell r="C1302" t="str">
            <v/>
          </cell>
          <cell r="D1302" t="str">
            <v/>
          </cell>
          <cell r="E1302" t="str">
            <v/>
          </cell>
          <cell r="F1302" t="str">
            <v/>
          </cell>
          <cell r="G1302" t="str">
            <v/>
          </cell>
          <cell r="H1302" t="str">
            <v/>
          </cell>
          <cell r="I1302" t="str">
            <v/>
          </cell>
          <cell r="J1302" t="str">
            <v/>
          </cell>
          <cell r="K1302">
            <v>0</v>
          </cell>
          <cell r="L1302" t="str">
            <v/>
          </cell>
          <cell r="M1302" t="str">
            <v/>
          </cell>
          <cell r="N1302" t="str">
            <v/>
          </cell>
          <cell r="O1302" t="str">
            <v/>
          </cell>
          <cell r="P1302" t="str">
            <v/>
          </cell>
          <cell r="Q1302" t="e">
            <v>#VALUE!</v>
          </cell>
          <cell r="R1302" t="str">
            <v/>
          </cell>
          <cell r="S1302" t="str">
            <v/>
          </cell>
          <cell r="T1302" t="str">
            <v/>
          </cell>
          <cell r="U1302" t="str">
            <v/>
          </cell>
          <cell r="V1302" t="str">
            <v/>
          </cell>
          <cell r="W1302" t="str">
            <v/>
          </cell>
          <cell r="X1302" t="str">
            <v/>
          </cell>
          <cell r="Z1302">
            <v>0</v>
          </cell>
          <cell r="AA1302" t="e">
            <v>#VALUE!</v>
          </cell>
          <cell r="AM1302" t="str">
            <v/>
          </cell>
          <cell r="AO1302" t="e">
            <v>#VALUE!</v>
          </cell>
          <cell r="AP1302" t="e">
            <v>#VALUE!</v>
          </cell>
          <cell r="AQ1302">
            <v>0</v>
          </cell>
          <cell r="AR1302" t="e">
            <v>#VALUE!</v>
          </cell>
          <cell r="AS1302" t="e">
            <v>#VALUE!</v>
          </cell>
          <cell r="AT1302" t="e">
            <v>#VALUE!</v>
          </cell>
          <cell r="AU1302" t="e">
            <v>#VALUE!</v>
          </cell>
          <cell r="AV1302" t="e">
            <v>#VALUE!</v>
          </cell>
          <cell r="AW1302" t="e">
            <v>#VALUE!</v>
          </cell>
          <cell r="AY1302" t="e">
            <v>#VALUE!</v>
          </cell>
          <cell r="AZ1302" t="str">
            <v>F18</v>
          </cell>
          <cell r="BA1302">
            <v>0</v>
          </cell>
          <cell r="BB1302" t="str">
            <v/>
          </cell>
          <cell r="BC1302" t="str">
            <v>F18</v>
          </cell>
        </row>
        <row r="1303">
          <cell r="A1303" t="str">
            <v/>
          </cell>
          <cell r="B1303" t="str">
            <v>3</v>
          </cell>
          <cell r="C1303" t="str">
            <v/>
          </cell>
          <cell r="D1303" t="str">
            <v/>
          </cell>
          <cell r="E1303" t="str">
            <v/>
          </cell>
          <cell r="F1303" t="str">
            <v/>
          </cell>
          <cell r="G1303" t="str">
            <v/>
          </cell>
          <cell r="H1303" t="str">
            <v/>
          </cell>
          <cell r="I1303" t="str">
            <v/>
          </cell>
          <cell r="J1303" t="str">
            <v/>
          </cell>
          <cell r="K1303">
            <v>0</v>
          </cell>
          <cell r="L1303" t="str">
            <v/>
          </cell>
          <cell r="M1303" t="str">
            <v/>
          </cell>
          <cell r="N1303" t="str">
            <v/>
          </cell>
          <cell r="O1303" t="str">
            <v/>
          </cell>
          <cell r="P1303" t="str">
            <v/>
          </cell>
          <cell r="Q1303" t="e">
            <v>#VALUE!</v>
          </cell>
          <cell r="R1303" t="str">
            <v/>
          </cell>
          <cell r="S1303" t="str">
            <v/>
          </cell>
          <cell r="T1303" t="str">
            <v/>
          </cell>
          <cell r="U1303" t="str">
            <v/>
          </cell>
          <cell r="V1303" t="str">
            <v/>
          </cell>
          <cell r="W1303" t="str">
            <v/>
          </cell>
          <cell r="X1303" t="str">
            <v/>
          </cell>
          <cell r="Z1303">
            <v>0</v>
          </cell>
          <cell r="AA1303" t="e">
            <v>#VALUE!</v>
          </cell>
          <cell r="AM1303" t="str">
            <v/>
          </cell>
          <cell r="AO1303" t="e">
            <v>#VALUE!</v>
          </cell>
          <cell r="AP1303" t="e">
            <v>#VALUE!</v>
          </cell>
          <cell r="AQ1303">
            <v>0</v>
          </cell>
          <cell r="AR1303" t="e">
            <v>#VALUE!</v>
          </cell>
          <cell r="AS1303" t="e">
            <v>#VALUE!</v>
          </cell>
          <cell r="AT1303" t="e">
            <v>#VALUE!</v>
          </cell>
          <cell r="AU1303" t="e">
            <v>#VALUE!</v>
          </cell>
          <cell r="AV1303" t="e">
            <v>#VALUE!</v>
          </cell>
          <cell r="AW1303" t="e">
            <v>#VALUE!</v>
          </cell>
          <cell r="AY1303" t="e">
            <v>#VALUE!</v>
          </cell>
          <cell r="AZ1303" t="str">
            <v>F18</v>
          </cell>
          <cell r="BA1303">
            <v>0</v>
          </cell>
          <cell r="BB1303" t="str">
            <v/>
          </cell>
          <cell r="BC1303" t="str">
            <v>F18</v>
          </cell>
        </row>
        <row r="1304">
          <cell r="A1304" t="str">
            <v/>
          </cell>
          <cell r="B1304" t="str">
            <v>3</v>
          </cell>
          <cell r="C1304" t="str">
            <v/>
          </cell>
          <cell r="D1304" t="str">
            <v/>
          </cell>
          <cell r="E1304" t="str">
            <v/>
          </cell>
          <cell r="F1304" t="str">
            <v/>
          </cell>
          <cell r="G1304" t="str">
            <v/>
          </cell>
          <cell r="H1304" t="str">
            <v/>
          </cell>
          <cell r="I1304" t="str">
            <v/>
          </cell>
          <cell r="J1304" t="str">
            <v/>
          </cell>
          <cell r="K1304">
            <v>0</v>
          </cell>
          <cell r="L1304" t="str">
            <v/>
          </cell>
          <cell r="M1304" t="str">
            <v/>
          </cell>
          <cell r="N1304" t="str">
            <v/>
          </cell>
          <cell r="O1304" t="str">
            <v/>
          </cell>
          <cell r="P1304" t="str">
            <v/>
          </cell>
          <cell r="Q1304" t="e">
            <v>#VALUE!</v>
          </cell>
          <cell r="R1304" t="str">
            <v/>
          </cell>
          <cell r="S1304" t="str">
            <v/>
          </cell>
          <cell r="T1304" t="str">
            <v/>
          </cell>
          <cell r="U1304" t="str">
            <v/>
          </cell>
          <cell r="V1304" t="str">
            <v/>
          </cell>
          <cell r="W1304" t="str">
            <v/>
          </cell>
          <cell r="X1304" t="str">
            <v/>
          </cell>
          <cell r="Z1304">
            <v>0</v>
          </cell>
          <cell r="AA1304" t="e">
            <v>#VALUE!</v>
          </cell>
          <cell r="AM1304" t="str">
            <v/>
          </cell>
          <cell r="AO1304" t="e">
            <v>#VALUE!</v>
          </cell>
          <cell r="AP1304" t="e">
            <v>#VALUE!</v>
          </cell>
          <cell r="AQ1304">
            <v>0</v>
          </cell>
          <cell r="AR1304" t="e">
            <v>#VALUE!</v>
          </cell>
          <cell r="AS1304" t="e">
            <v>#VALUE!</v>
          </cell>
          <cell r="AT1304" t="e">
            <v>#VALUE!</v>
          </cell>
          <cell r="AU1304" t="e">
            <v>#VALUE!</v>
          </cell>
          <cell r="AV1304" t="e">
            <v>#VALUE!</v>
          </cell>
          <cell r="AW1304" t="e">
            <v>#VALUE!</v>
          </cell>
          <cell r="AY1304" t="e">
            <v>#VALUE!</v>
          </cell>
          <cell r="AZ1304" t="str">
            <v>F18</v>
          </cell>
          <cell r="BA1304">
            <v>0</v>
          </cell>
          <cell r="BB1304" t="str">
            <v/>
          </cell>
          <cell r="BC1304" t="str">
            <v>F18</v>
          </cell>
        </row>
        <row r="1305">
          <cell r="A1305" t="str">
            <v/>
          </cell>
          <cell r="B1305" t="str">
            <v>3</v>
          </cell>
          <cell r="C1305" t="str">
            <v/>
          </cell>
          <cell r="D1305" t="str">
            <v/>
          </cell>
          <cell r="E1305" t="str">
            <v/>
          </cell>
          <cell r="F1305" t="str">
            <v/>
          </cell>
          <cell r="G1305" t="str">
            <v/>
          </cell>
          <cell r="H1305" t="str">
            <v/>
          </cell>
          <cell r="I1305" t="str">
            <v/>
          </cell>
          <cell r="J1305" t="str">
            <v/>
          </cell>
          <cell r="K1305">
            <v>0</v>
          </cell>
          <cell r="L1305" t="str">
            <v/>
          </cell>
          <cell r="M1305" t="str">
            <v/>
          </cell>
          <cell r="N1305" t="str">
            <v/>
          </cell>
          <cell r="O1305" t="str">
            <v/>
          </cell>
          <cell r="P1305" t="str">
            <v/>
          </cell>
          <cell r="Q1305" t="e">
            <v>#VALUE!</v>
          </cell>
          <cell r="R1305" t="str">
            <v/>
          </cell>
          <cell r="S1305" t="str">
            <v/>
          </cell>
          <cell r="T1305" t="str">
            <v/>
          </cell>
          <cell r="U1305" t="str">
            <v/>
          </cell>
          <cell r="V1305" t="str">
            <v/>
          </cell>
          <cell r="W1305" t="str">
            <v/>
          </cell>
          <cell r="X1305" t="str">
            <v/>
          </cell>
          <cell r="Z1305">
            <v>0</v>
          </cell>
          <cell r="AA1305" t="e">
            <v>#VALUE!</v>
          </cell>
          <cell r="AM1305" t="str">
            <v/>
          </cell>
          <cell r="AO1305" t="e">
            <v>#VALUE!</v>
          </cell>
          <cell r="AP1305" t="e">
            <v>#VALUE!</v>
          </cell>
          <cell r="AQ1305">
            <v>0</v>
          </cell>
          <cell r="AR1305" t="e">
            <v>#VALUE!</v>
          </cell>
          <cell r="AS1305" t="e">
            <v>#VALUE!</v>
          </cell>
          <cell r="AT1305" t="e">
            <v>#VALUE!</v>
          </cell>
          <cell r="AU1305" t="e">
            <v>#VALUE!</v>
          </cell>
          <cell r="AV1305" t="e">
            <v>#VALUE!</v>
          </cell>
          <cell r="AW1305" t="e">
            <v>#VALUE!</v>
          </cell>
          <cell r="AY1305" t="e">
            <v>#VALUE!</v>
          </cell>
          <cell r="AZ1305" t="str">
            <v>F18</v>
          </cell>
          <cell r="BA1305">
            <v>0</v>
          </cell>
          <cell r="BB1305" t="str">
            <v/>
          </cell>
          <cell r="BC1305" t="str">
            <v>F18</v>
          </cell>
        </row>
        <row r="1306">
          <cell r="A1306" t="str">
            <v/>
          </cell>
          <cell r="B1306" t="str">
            <v>3</v>
          </cell>
          <cell r="C1306" t="str">
            <v/>
          </cell>
          <cell r="D1306" t="str">
            <v/>
          </cell>
          <cell r="E1306" t="str">
            <v/>
          </cell>
          <cell r="F1306" t="str">
            <v/>
          </cell>
          <cell r="G1306" t="str">
            <v/>
          </cell>
          <cell r="H1306" t="str">
            <v/>
          </cell>
          <cell r="I1306" t="str">
            <v/>
          </cell>
          <cell r="J1306" t="str">
            <v/>
          </cell>
          <cell r="K1306">
            <v>0</v>
          </cell>
          <cell r="L1306" t="str">
            <v/>
          </cell>
          <cell r="M1306" t="str">
            <v/>
          </cell>
          <cell r="N1306" t="str">
            <v/>
          </cell>
          <cell r="O1306" t="str">
            <v/>
          </cell>
          <cell r="P1306" t="str">
            <v/>
          </cell>
          <cell r="Q1306" t="e">
            <v>#VALUE!</v>
          </cell>
          <cell r="R1306" t="str">
            <v/>
          </cell>
          <cell r="S1306" t="str">
            <v/>
          </cell>
          <cell r="T1306" t="str">
            <v/>
          </cell>
          <cell r="U1306" t="str">
            <v/>
          </cell>
          <cell r="V1306" t="str">
            <v/>
          </cell>
          <cell r="W1306" t="str">
            <v/>
          </cell>
          <cell r="X1306" t="str">
            <v/>
          </cell>
          <cell r="Z1306">
            <v>0</v>
          </cell>
          <cell r="AA1306" t="e">
            <v>#VALUE!</v>
          </cell>
          <cell r="AM1306" t="str">
            <v/>
          </cell>
          <cell r="AO1306" t="e">
            <v>#VALUE!</v>
          </cell>
          <cell r="AP1306" t="e">
            <v>#VALUE!</v>
          </cell>
          <cell r="AQ1306">
            <v>0</v>
          </cell>
          <cell r="AR1306" t="e">
            <v>#VALUE!</v>
          </cell>
          <cell r="AS1306" t="e">
            <v>#VALUE!</v>
          </cell>
          <cell r="AT1306" t="e">
            <v>#VALUE!</v>
          </cell>
          <cell r="AU1306" t="e">
            <v>#VALUE!</v>
          </cell>
          <cell r="AV1306" t="e">
            <v>#VALUE!</v>
          </cell>
          <cell r="AW1306" t="e">
            <v>#VALUE!</v>
          </cell>
          <cell r="AY1306" t="e">
            <v>#VALUE!</v>
          </cell>
          <cell r="AZ1306" t="str">
            <v>F18</v>
          </cell>
          <cell r="BA1306">
            <v>0</v>
          </cell>
          <cell r="BB1306" t="str">
            <v/>
          </cell>
          <cell r="BC1306" t="str">
            <v>F18</v>
          </cell>
        </row>
        <row r="1307">
          <cell r="A1307">
            <v>0</v>
          </cell>
          <cell r="AY1307">
            <v>45999.46369178241</v>
          </cell>
          <cell r="AZ1307" t="str">
            <v>F18</v>
          </cell>
          <cell r="BA1307">
            <v>0</v>
          </cell>
          <cell r="BB1307" t="str">
            <v/>
          </cell>
          <cell r="BC1307" t="str">
            <v>F18</v>
          </cell>
        </row>
        <row r="1308">
          <cell r="A1308">
            <v>0</v>
          </cell>
          <cell r="AY1308">
            <v>45999.46369178241</v>
          </cell>
          <cell r="AZ1308" t="str">
            <v>F18</v>
          </cell>
          <cell r="BA1308">
            <v>0</v>
          </cell>
          <cell r="BB1308" t="str">
            <v/>
          </cell>
          <cell r="BC1308" t="str">
            <v>F18</v>
          </cell>
        </row>
        <row r="1309">
          <cell r="A1309">
            <v>0</v>
          </cell>
          <cell r="AY1309">
            <v>45999.46369178241</v>
          </cell>
          <cell r="AZ1309" t="str">
            <v>F18</v>
          </cell>
          <cell r="BA1309">
            <v>0</v>
          </cell>
          <cell r="BB1309" t="str">
            <v/>
          </cell>
          <cell r="BC1309" t="str">
            <v>F18</v>
          </cell>
        </row>
        <row r="1310">
          <cell r="A1310">
            <v>0</v>
          </cell>
          <cell r="AY1310">
            <v>45999.46369178241</v>
          </cell>
          <cell r="AZ1310" t="str">
            <v>F18</v>
          </cell>
          <cell r="BA1310">
            <v>0</v>
          </cell>
          <cell r="BB1310" t="str">
            <v/>
          </cell>
          <cell r="BC1310" t="str">
            <v>F18</v>
          </cell>
        </row>
        <row r="1311">
          <cell r="A1311">
            <v>0</v>
          </cell>
          <cell r="AY1311">
            <v>45999.46369178241</v>
          </cell>
          <cell r="AZ1311" t="str">
            <v>F18</v>
          </cell>
          <cell r="BA1311">
            <v>0</v>
          </cell>
          <cell r="BB1311" t="str">
            <v/>
          </cell>
          <cell r="BC1311" t="str">
            <v>F18</v>
          </cell>
        </row>
        <row r="1312">
          <cell r="A1312">
            <v>0</v>
          </cell>
          <cell r="AY1312">
            <v>45999.46369178241</v>
          </cell>
          <cell r="AZ1312" t="str">
            <v>F18</v>
          </cell>
          <cell r="BA1312">
            <v>0</v>
          </cell>
          <cell r="BB1312" t="str">
            <v/>
          </cell>
          <cell r="BC1312" t="str">
            <v>F18</v>
          </cell>
        </row>
        <row r="1313">
          <cell r="A1313">
            <v>0</v>
          </cell>
          <cell r="AY1313">
            <v>45999.46369178241</v>
          </cell>
          <cell r="AZ1313" t="str">
            <v>F18</v>
          </cell>
          <cell r="BA1313">
            <v>0</v>
          </cell>
          <cell r="BB1313" t="str">
            <v/>
          </cell>
          <cell r="BC1313" t="str">
            <v>F18</v>
          </cell>
        </row>
        <row r="1314">
          <cell r="A1314">
            <v>0</v>
          </cell>
          <cell r="AY1314">
            <v>45999.46369178241</v>
          </cell>
          <cell r="AZ1314" t="str">
            <v>F18</v>
          </cell>
          <cell r="BA1314">
            <v>0</v>
          </cell>
          <cell r="BB1314" t="str">
            <v/>
          </cell>
          <cell r="BC1314" t="str">
            <v>F18</v>
          </cell>
        </row>
        <row r="1315">
          <cell r="A1315">
            <v>0</v>
          </cell>
          <cell r="AY1315">
            <v>45999.46369178241</v>
          </cell>
          <cell r="AZ1315" t="str">
            <v>F18</v>
          </cell>
          <cell r="BA1315">
            <v>0</v>
          </cell>
          <cell r="BB1315" t="str">
            <v/>
          </cell>
          <cell r="BC1315" t="str">
            <v>F18</v>
          </cell>
        </row>
        <row r="1316">
          <cell r="A1316">
            <v>0</v>
          </cell>
          <cell r="AY1316">
            <v>45999.46369178241</v>
          </cell>
          <cell r="AZ1316" t="str">
            <v>F18</v>
          </cell>
          <cell r="BA1316">
            <v>0</v>
          </cell>
          <cell r="BB1316" t="str">
            <v/>
          </cell>
          <cell r="BC1316" t="str">
            <v>F18</v>
          </cell>
        </row>
        <row r="1317">
          <cell r="A1317">
            <v>0</v>
          </cell>
          <cell r="AY1317">
            <v>45999.46369178241</v>
          </cell>
          <cell r="AZ1317" t="str">
            <v>F18</v>
          </cell>
          <cell r="BA1317">
            <v>0</v>
          </cell>
          <cell r="BB1317" t="str">
            <v/>
          </cell>
          <cell r="BC1317" t="str">
            <v>F18</v>
          </cell>
        </row>
        <row r="1318">
          <cell r="A1318">
            <v>0</v>
          </cell>
          <cell r="AY1318">
            <v>45999.46369178241</v>
          </cell>
          <cell r="AZ1318" t="str">
            <v>F18</v>
          </cell>
          <cell r="BA1318">
            <v>0</v>
          </cell>
          <cell r="BB1318" t="str">
            <v/>
          </cell>
          <cell r="BC1318" t="str">
            <v>F18</v>
          </cell>
        </row>
        <row r="1319">
          <cell r="A1319">
            <v>0</v>
          </cell>
          <cell r="AY1319">
            <v>45999.46369178241</v>
          </cell>
          <cell r="AZ1319" t="str">
            <v>F18</v>
          </cell>
          <cell r="BA1319">
            <v>0</v>
          </cell>
          <cell r="BB1319" t="str">
            <v/>
          </cell>
          <cell r="BC1319" t="str">
            <v>F18</v>
          </cell>
        </row>
        <row r="1320">
          <cell r="A1320">
            <v>0</v>
          </cell>
          <cell r="AY1320">
            <v>45999.46369178241</v>
          </cell>
          <cell r="AZ1320" t="str">
            <v>F18</v>
          </cell>
          <cell r="BA1320">
            <v>0</v>
          </cell>
          <cell r="BB1320" t="str">
            <v/>
          </cell>
          <cell r="BC1320" t="str">
            <v>F18</v>
          </cell>
        </row>
        <row r="1321">
          <cell r="A1321">
            <v>0</v>
          </cell>
          <cell r="AY1321">
            <v>45999.46369178241</v>
          </cell>
          <cell r="AZ1321" t="str">
            <v>F18</v>
          </cell>
          <cell r="BA1321">
            <v>0</v>
          </cell>
          <cell r="BB1321" t="str">
            <v/>
          </cell>
          <cell r="BC1321" t="str">
            <v>F18</v>
          </cell>
        </row>
        <row r="1322">
          <cell r="A1322">
            <v>0</v>
          </cell>
          <cell r="AY1322">
            <v>45999.46369178241</v>
          </cell>
          <cell r="AZ1322" t="str">
            <v>F18</v>
          </cell>
          <cell r="BA1322">
            <v>0</v>
          </cell>
          <cell r="BB1322" t="str">
            <v/>
          </cell>
          <cell r="BC1322" t="str">
            <v>F18</v>
          </cell>
        </row>
        <row r="1323">
          <cell r="A1323">
            <v>0</v>
          </cell>
          <cell r="AY1323">
            <v>45999.46369178241</v>
          </cell>
          <cell r="AZ1323" t="str">
            <v>F18</v>
          </cell>
          <cell r="BA1323">
            <v>0</v>
          </cell>
          <cell r="BB1323" t="str">
            <v/>
          </cell>
          <cell r="BC1323" t="str">
            <v>F18</v>
          </cell>
        </row>
        <row r="1324">
          <cell r="A1324">
            <v>0</v>
          </cell>
          <cell r="AY1324">
            <v>45999.46369178241</v>
          </cell>
          <cell r="AZ1324" t="str">
            <v>F18</v>
          </cell>
          <cell r="BA1324">
            <v>0</v>
          </cell>
          <cell r="BB1324" t="str">
            <v/>
          </cell>
          <cell r="BC1324" t="str">
            <v>F18</v>
          </cell>
        </row>
        <row r="1325">
          <cell r="A1325">
            <v>0</v>
          </cell>
          <cell r="AY1325">
            <v>45999.46369178241</v>
          </cell>
          <cell r="AZ1325" t="str">
            <v>F18</v>
          </cell>
          <cell r="BA1325">
            <v>0</v>
          </cell>
          <cell r="BB1325" t="str">
            <v/>
          </cell>
          <cell r="BC1325" t="str">
            <v>F18</v>
          </cell>
        </row>
        <row r="1326">
          <cell r="A1326">
            <v>0</v>
          </cell>
          <cell r="AY1326">
            <v>45999.46369178241</v>
          </cell>
          <cell r="AZ1326" t="str">
            <v>F18</v>
          </cell>
          <cell r="BA1326">
            <v>0</v>
          </cell>
          <cell r="BB1326" t="str">
            <v/>
          </cell>
          <cell r="BC1326" t="str">
            <v>F18</v>
          </cell>
        </row>
        <row r="1327">
          <cell r="A1327">
            <v>0</v>
          </cell>
          <cell r="AY1327">
            <v>45999.46369178241</v>
          </cell>
          <cell r="AZ1327" t="str">
            <v>F18</v>
          </cell>
          <cell r="BA1327">
            <v>0</v>
          </cell>
          <cell r="BB1327" t="str">
            <v/>
          </cell>
          <cell r="BC1327" t="str">
            <v>F18</v>
          </cell>
        </row>
        <row r="1328">
          <cell r="A1328">
            <v>0</v>
          </cell>
          <cell r="AY1328">
            <v>45999.46369178241</v>
          </cell>
          <cell r="AZ1328" t="str">
            <v>F18</v>
          </cell>
          <cell r="BA1328">
            <v>0</v>
          </cell>
          <cell r="BB1328" t="str">
            <v/>
          </cell>
          <cell r="BC1328" t="str">
            <v>F18</v>
          </cell>
        </row>
        <row r="1329">
          <cell r="A1329">
            <v>0</v>
          </cell>
          <cell r="AY1329">
            <v>45999.46369178241</v>
          </cell>
          <cell r="AZ1329" t="str">
            <v>F18</v>
          </cell>
          <cell r="BA1329">
            <v>0</v>
          </cell>
          <cell r="BB1329" t="str">
            <v/>
          </cell>
          <cell r="BC1329" t="str">
            <v>F18</v>
          </cell>
        </row>
        <row r="1330">
          <cell r="A1330">
            <v>0</v>
          </cell>
          <cell r="AY1330">
            <v>45999.46369178241</v>
          </cell>
          <cell r="AZ1330" t="str">
            <v>F18</v>
          </cell>
          <cell r="BA1330">
            <v>0</v>
          </cell>
          <cell r="BB1330" t="str">
            <v/>
          </cell>
          <cell r="BC1330" t="str">
            <v>F18</v>
          </cell>
        </row>
        <row r="1331">
          <cell r="A1331">
            <v>0</v>
          </cell>
          <cell r="AY1331">
            <v>45999.46369178241</v>
          </cell>
          <cell r="AZ1331" t="str">
            <v>F18</v>
          </cell>
          <cell r="BA1331">
            <v>0</v>
          </cell>
          <cell r="BB1331" t="str">
            <v/>
          </cell>
          <cell r="BC1331" t="str">
            <v>F18</v>
          </cell>
        </row>
        <row r="1332">
          <cell r="A1332">
            <v>0</v>
          </cell>
          <cell r="AY1332">
            <v>45999.46369178241</v>
          </cell>
          <cell r="AZ1332" t="str">
            <v>F18</v>
          </cell>
          <cell r="BA1332">
            <v>0</v>
          </cell>
          <cell r="BB1332" t="str">
            <v/>
          </cell>
          <cell r="BC1332" t="str">
            <v>F18</v>
          </cell>
        </row>
        <row r="1333">
          <cell r="A1333">
            <v>0</v>
          </cell>
          <cell r="AY1333">
            <v>45999.46369178241</v>
          </cell>
          <cell r="AZ1333" t="str">
            <v>F18</v>
          </cell>
          <cell r="BA1333">
            <v>0</v>
          </cell>
          <cell r="BB1333" t="str">
            <v/>
          </cell>
          <cell r="BC1333" t="str">
            <v>F18</v>
          </cell>
        </row>
        <row r="1334">
          <cell r="A1334">
            <v>0</v>
          </cell>
          <cell r="AY1334">
            <v>45999.46369178241</v>
          </cell>
          <cell r="AZ1334" t="str">
            <v>F18</v>
          </cell>
          <cell r="BA1334">
            <v>0</v>
          </cell>
          <cell r="BB1334" t="str">
            <v/>
          </cell>
          <cell r="BC1334" t="str">
            <v>F18</v>
          </cell>
        </row>
        <row r="1335">
          <cell r="A1335">
            <v>0</v>
          </cell>
          <cell r="AY1335">
            <v>45999.46369178241</v>
          </cell>
          <cell r="AZ1335" t="str">
            <v>F18</v>
          </cell>
          <cell r="BA1335">
            <v>0</v>
          </cell>
          <cell r="BB1335" t="str">
            <v/>
          </cell>
          <cell r="BC1335" t="str">
            <v>F18</v>
          </cell>
        </row>
        <row r="1336">
          <cell r="A1336">
            <v>0</v>
          </cell>
          <cell r="AY1336">
            <v>45999.46369178241</v>
          </cell>
          <cell r="AZ1336" t="str">
            <v>F18</v>
          </cell>
          <cell r="BA1336">
            <v>0</v>
          </cell>
          <cell r="BB1336" t="str">
            <v/>
          </cell>
          <cell r="BC1336" t="str">
            <v>F18</v>
          </cell>
        </row>
        <row r="1337">
          <cell r="A1337">
            <v>0</v>
          </cell>
          <cell r="AY1337">
            <v>45999.46369178241</v>
          </cell>
          <cell r="AZ1337" t="str">
            <v>F18</v>
          </cell>
          <cell r="BA1337">
            <v>0</v>
          </cell>
          <cell r="BB1337" t="str">
            <v/>
          </cell>
          <cell r="BC1337" t="str">
            <v>F18</v>
          </cell>
        </row>
        <row r="1338">
          <cell r="A1338">
            <v>0</v>
          </cell>
          <cell r="AY1338">
            <v>45999.46369178241</v>
          </cell>
          <cell r="AZ1338" t="str">
            <v>F18</v>
          </cell>
          <cell r="BA1338">
            <v>0</v>
          </cell>
          <cell r="BB1338" t="str">
            <v/>
          </cell>
          <cell r="BC1338" t="str">
            <v>F18</v>
          </cell>
        </row>
        <row r="1339">
          <cell r="A1339">
            <v>0</v>
          </cell>
          <cell r="AY1339">
            <v>45999.46369178241</v>
          </cell>
          <cell r="AZ1339" t="str">
            <v>F18</v>
          </cell>
          <cell r="BA1339">
            <v>0</v>
          </cell>
          <cell r="BB1339" t="str">
            <v/>
          </cell>
          <cell r="BC1339" t="str">
            <v>F18</v>
          </cell>
        </row>
        <row r="1340">
          <cell r="A1340">
            <v>0</v>
          </cell>
          <cell r="AY1340">
            <v>45999.46369178241</v>
          </cell>
          <cell r="AZ1340" t="str">
            <v>F18</v>
          </cell>
          <cell r="BA1340">
            <v>0</v>
          </cell>
          <cell r="BB1340" t="str">
            <v/>
          </cell>
          <cell r="BC1340" t="str">
            <v>F18</v>
          </cell>
        </row>
        <row r="1341">
          <cell r="A1341">
            <v>0</v>
          </cell>
          <cell r="AY1341">
            <v>45999.46369178241</v>
          </cell>
          <cell r="AZ1341" t="str">
            <v>F18</v>
          </cell>
          <cell r="BA1341">
            <v>0</v>
          </cell>
          <cell r="BB1341" t="str">
            <v/>
          </cell>
          <cell r="BC1341" t="str">
            <v>F18</v>
          </cell>
        </row>
        <row r="1342">
          <cell r="A1342">
            <v>0</v>
          </cell>
          <cell r="AY1342">
            <v>45999.46369178241</v>
          </cell>
          <cell r="AZ1342" t="str">
            <v>F18</v>
          </cell>
          <cell r="BA1342">
            <v>0</v>
          </cell>
          <cell r="BB1342" t="str">
            <v/>
          </cell>
          <cell r="BC1342" t="str">
            <v>F18</v>
          </cell>
        </row>
        <row r="1343">
          <cell r="A1343">
            <v>0</v>
          </cell>
          <cell r="AY1343">
            <v>45999.46369178241</v>
          </cell>
          <cell r="AZ1343" t="str">
            <v>F18</v>
          </cell>
          <cell r="BA1343">
            <v>0</v>
          </cell>
          <cell r="BB1343" t="str">
            <v/>
          </cell>
          <cell r="BC1343" t="str">
            <v>F18</v>
          </cell>
        </row>
        <row r="1344">
          <cell r="A1344">
            <v>0</v>
          </cell>
          <cell r="AY1344">
            <v>45999.46369178241</v>
          </cell>
          <cell r="AZ1344" t="str">
            <v>F18</v>
          </cell>
          <cell r="BA1344">
            <v>0</v>
          </cell>
          <cell r="BB1344" t="str">
            <v/>
          </cell>
          <cell r="BC1344" t="str">
            <v>F18</v>
          </cell>
        </row>
        <row r="1345">
          <cell r="A1345">
            <v>0</v>
          </cell>
          <cell r="AY1345">
            <v>45999.46369178241</v>
          </cell>
          <cell r="AZ1345" t="str">
            <v>F18</v>
          </cell>
          <cell r="BA1345">
            <v>0</v>
          </cell>
          <cell r="BB1345" t="str">
            <v/>
          </cell>
          <cell r="BC1345" t="str">
            <v>F18</v>
          </cell>
        </row>
        <row r="1346">
          <cell r="A1346">
            <v>0</v>
          </cell>
          <cell r="AY1346">
            <v>45999.46369178241</v>
          </cell>
          <cell r="AZ1346" t="str">
            <v>F18</v>
          </cell>
          <cell r="BA1346">
            <v>0</v>
          </cell>
          <cell r="BB1346" t="str">
            <v/>
          </cell>
          <cell r="BC1346" t="str">
            <v>F18</v>
          </cell>
        </row>
        <row r="1347">
          <cell r="A1347">
            <v>0</v>
          </cell>
          <cell r="AY1347">
            <v>45999.46369178241</v>
          </cell>
          <cell r="AZ1347" t="str">
            <v>F18</v>
          </cell>
          <cell r="BA1347">
            <v>0</v>
          </cell>
          <cell r="BB1347" t="str">
            <v/>
          </cell>
          <cell r="BC1347" t="str">
            <v>F18</v>
          </cell>
        </row>
        <row r="1348">
          <cell r="A1348">
            <v>0</v>
          </cell>
          <cell r="AY1348">
            <v>45999.46369178241</v>
          </cell>
          <cell r="AZ1348" t="str">
            <v>F18</v>
          </cell>
          <cell r="BA1348">
            <v>0</v>
          </cell>
          <cell r="BB1348" t="str">
            <v/>
          </cell>
          <cell r="BC1348" t="str">
            <v>F18</v>
          </cell>
        </row>
        <row r="1349">
          <cell r="A1349">
            <v>0</v>
          </cell>
          <cell r="AY1349">
            <v>45999.46369178241</v>
          </cell>
          <cell r="AZ1349" t="str">
            <v>F18</v>
          </cell>
          <cell r="BA1349">
            <v>0</v>
          </cell>
          <cell r="BB1349" t="str">
            <v/>
          </cell>
          <cell r="BC1349" t="str">
            <v>F18</v>
          </cell>
        </row>
        <row r="1350">
          <cell r="A1350">
            <v>0</v>
          </cell>
          <cell r="AY1350">
            <v>45999.46369178241</v>
          </cell>
          <cell r="AZ1350" t="str">
            <v>F18</v>
          </cell>
          <cell r="BA1350">
            <v>0</v>
          </cell>
          <cell r="BB1350" t="str">
            <v/>
          </cell>
          <cell r="BC1350" t="str">
            <v>F18</v>
          </cell>
        </row>
        <row r="1351">
          <cell r="A1351">
            <v>0</v>
          </cell>
          <cell r="AY1351">
            <v>45999.46369178241</v>
          </cell>
          <cell r="AZ1351" t="str">
            <v>F18</v>
          </cell>
          <cell r="BA1351">
            <v>0</v>
          </cell>
          <cell r="BB1351" t="str">
            <v/>
          </cell>
          <cell r="BC1351" t="str">
            <v>F18</v>
          </cell>
        </row>
        <row r="1352">
          <cell r="A1352">
            <v>0</v>
          </cell>
          <cell r="AY1352">
            <v>45999.46369178241</v>
          </cell>
          <cell r="AZ1352" t="str">
            <v>F18</v>
          </cell>
          <cell r="BA1352">
            <v>0</v>
          </cell>
          <cell r="BB1352" t="str">
            <v/>
          </cell>
          <cell r="BC1352" t="str">
            <v>F18</v>
          </cell>
        </row>
        <row r="1353">
          <cell r="A1353">
            <v>0</v>
          </cell>
          <cell r="AY1353">
            <v>45999.46369178241</v>
          </cell>
          <cell r="AZ1353" t="str">
            <v>F18</v>
          </cell>
          <cell r="BA1353">
            <v>0</v>
          </cell>
          <cell r="BB1353" t="str">
            <v/>
          </cell>
          <cell r="BC1353" t="str">
            <v>F18</v>
          </cell>
        </row>
        <row r="1354">
          <cell r="A1354">
            <v>0</v>
          </cell>
          <cell r="AY1354">
            <v>45999.46369178241</v>
          </cell>
          <cell r="AZ1354" t="str">
            <v>F18</v>
          </cell>
          <cell r="BA1354">
            <v>0</v>
          </cell>
          <cell r="BB1354" t="str">
            <v/>
          </cell>
          <cell r="BC1354" t="str">
            <v>F18</v>
          </cell>
        </row>
        <row r="1355">
          <cell r="A1355">
            <v>0</v>
          </cell>
          <cell r="AY1355">
            <v>45999.46369178241</v>
          </cell>
          <cell r="AZ1355" t="str">
            <v>F18</v>
          </cell>
          <cell r="BA1355">
            <v>0</v>
          </cell>
          <cell r="BB1355" t="str">
            <v/>
          </cell>
          <cell r="BC1355" t="str">
            <v>F18</v>
          </cell>
        </row>
        <row r="1356">
          <cell r="A1356">
            <v>0</v>
          </cell>
          <cell r="AY1356">
            <v>45999.46369178241</v>
          </cell>
          <cell r="AZ1356" t="str">
            <v>F18</v>
          </cell>
          <cell r="BA1356">
            <v>0</v>
          </cell>
          <cell r="BB1356" t="str">
            <v/>
          </cell>
          <cell r="BC1356" t="str">
            <v>F18</v>
          </cell>
        </row>
        <row r="1357">
          <cell r="A1357">
            <v>0</v>
          </cell>
          <cell r="AY1357">
            <v>45999.46369178241</v>
          </cell>
          <cell r="AZ1357" t="str">
            <v>F18</v>
          </cell>
          <cell r="BA1357">
            <v>0</v>
          </cell>
          <cell r="BB1357" t="str">
            <v/>
          </cell>
          <cell r="BC1357" t="str">
            <v>F18</v>
          </cell>
        </row>
        <row r="1358">
          <cell r="A1358">
            <v>0</v>
          </cell>
          <cell r="AY1358">
            <v>45999.46369178241</v>
          </cell>
          <cell r="AZ1358" t="str">
            <v>F18</v>
          </cell>
          <cell r="BA1358">
            <v>0</v>
          </cell>
          <cell r="BB1358" t="str">
            <v/>
          </cell>
          <cell r="BC1358" t="str">
            <v>F18</v>
          </cell>
        </row>
        <row r="1359">
          <cell r="A1359" t="str">
            <v/>
          </cell>
          <cell r="B1359" t="str">
            <v>3</v>
          </cell>
          <cell r="C1359" t="str">
            <v/>
          </cell>
          <cell r="D1359" t="str">
            <v/>
          </cell>
          <cell r="E1359" t="str">
            <v/>
          </cell>
          <cell r="F1359" t="str">
            <v/>
          </cell>
          <cell r="G1359" t="str">
            <v/>
          </cell>
          <cell r="H1359" t="str">
            <v/>
          </cell>
          <cell r="I1359" t="str">
            <v/>
          </cell>
          <cell r="J1359" t="str">
            <v/>
          </cell>
          <cell r="K1359">
            <v>0</v>
          </cell>
          <cell r="L1359" t="str">
            <v/>
          </cell>
          <cell r="M1359" t="str">
            <v/>
          </cell>
          <cell r="N1359" t="str">
            <v/>
          </cell>
          <cell r="O1359" t="str">
            <v/>
          </cell>
          <cell r="P1359" t="str">
            <v/>
          </cell>
          <cell r="Q1359" t="str">
            <v/>
          </cell>
          <cell r="R1359" t="str">
            <v/>
          </cell>
          <cell r="S1359" t="str">
            <v/>
          </cell>
          <cell r="T1359" t="str">
            <v/>
          </cell>
          <cell r="U1359" t="str">
            <v/>
          </cell>
          <cell r="V1359" t="str">
            <v/>
          </cell>
          <cell r="W1359" t="str">
            <v/>
          </cell>
          <cell r="X1359" t="str">
            <v/>
          </cell>
          <cell r="AM1359" t="str">
            <v/>
          </cell>
          <cell r="AO1359" t="e">
            <v>#VALUE!</v>
          </cell>
          <cell r="AP1359" t="e">
            <v>#VALUE!</v>
          </cell>
          <cell r="AQ1359">
            <v>0</v>
          </cell>
          <cell r="AR1359" t="e">
            <v>#VALUE!</v>
          </cell>
          <cell r="AS1359" t="e">
            <v>#VALUE!</v>
          </cell>
          <cell r="AT1359" t="str">
            <v/>
          </cell>
          <cell r="AU1359" t="e">
            <v>#VALUE!</v>
          </cell>
          <cell r="AV1359" t="e">
            <v>#VALUE!</v>
          </cell>
          <cell r="AW1359" t="e">
            <v>#VALUE!</v>
          </cell>
          <cell r="AY1359" t="e">
            <v>#VALUE!</v>
          </cell>
          <cell r="AZ1359" t="str">
            <v>F18</v>
          </cell>
          <cell r="BA1359">
            <v>0</v>
          </cell>
          <cell r="BB1359" t="str">
            <v/>
          </cell>
          <cell r="BC1359" t="str">
            <v>F18</v>
          </cell>
        </row>
        <row r="1360">
          <cell r="A1360" t="str">
            <v/>
          </cell>
          <cell r="B1360" t="str">
            <v>3</v>
          </cell>
          <cell r="C1360" t="str">
            <v/>
          </cell>
          <cell r="D1360" t="str">
            <v/>
          </cell>
          <cell r="E1360" t="str">
            <v/>
          </cell>
          <cell r="F1360" t="str">
            <v/>
          </cell>
          <cell r="G1360" t="str">
            <v/>
          </cell>
          <cell r="H1360" t="str">
            <v/>
          </cell>
          <cell r="I1360" t="str">
            <v/>
          </cell>
          <cell r="J1360" t="str">
            <v/>
          </cell>
          <cell r="K1360">
            <v>0</v>
          </cell>
          <cell r="L1360" t="str">
            <v/>
          </cell>
          <cell r="M1360" t="str">
            <v/>
          </cell>
          <cell r="N1360" t="str">
            <v/>
          </cell>
          <cell r="O1360" t="str">
            <v/>
          </cell>
          <cell r="P1360" t="str">
            <v/>
          </cell>
          <cell r="Q1360" t="str">
            <v/>
          </cell>
          <cell r="R1360" t="str">
            <v/>
          </cell>
          <cell r="S1360" t="str">
            <v/>
          </cell>
          <cell r="T1360" t="str">
            <v/>
          </cell>
          <cell r="U1360" t="str">
            <v/>
          </cell>
          <cell r="V1360" t="str">
            <v/>
          </cell>
          <cell r="W1360" t="str">
            <v/>
          </cell>
          <cell r="X1360" t="str">
            <v/>
          </cell>
          <cell r="AM1360" t="str">
            <v/>
          </cell>
          <cell r="AO1360" t="e">
            <v>#VALUE!</v>
          </cell>
        </row>
        <row r="1361">
          <cell r="A1361" t="str">
            <v/>
          </cell>
          <cell r="B1361" t="str">
            <v>3</v>
          </cell>
          <cell r="C1361" t="str">
            <v/>
          </cell>
          <cell r="D1361" t="str">
            <v/>
          </cell>
          <cell r="E1361" t="str">
            <v/>
          </cell>
          <cell r="F1361" t="str">
            <v/>
          </cell>
          <cell r="G1361" t="str">
            <v/>
          </cell>
          <cell r="H1361" t="str">
            <v/>
          </cell>
          <cell r="I1361" t="str">
            <v/>
          </cell>
          <cell r="J1361" t="str">
            <v/>
          </cell>
          <cell r="K1361">
            <v>0</v>
          </cell>
          <cell r="L1361" t="str">
            <v/>
          </cell>
          <cell r="M1361" t="str">
            <v/>
          </cell>
          <cell r="N1361" t="str">
            <v/>
          </cell>
          <cell r="O1361" t="str">
            <v/>
          </cell>
          <cell r="P1361" t="str">
            <v/>
          </cell>
          <cell r="Q1361" t="str">
            <v/>
          </cell>
          <cell r="R1361" t="str">
            <v/>
          </cell>
          <cell r="S1361" t="str">
            <v/>
          </cell>
          <cell r="T1361" t="str">
            <v/>
          </cell>
          <cell r="U1361" t="str">
            <v/>
          </cell>
          <cell r="V1361" t="str">
            <v/>
          </cell>
          <cell r="W1361" t="str">
            <v/>
          </cell>
          <cell r="X1361" t="str">
            <v/>
          </cell>
          <cell r="AM1361" t="str">
            <v/>
          </cell>
          <cell r="AO1361" t="e">
            <v>#VALUE!</v>
          </cell>
        </row>
        <row r="1362">
          <cell r="A1362" t="str">
            <v/>
          </cell>
          <cell r="B1362" t="str">
            <v>3</v>
          </cell>
          <cell r="C1362" t="str">
            <v/>
          </cell>
          <cell r="D1362" t="str">
            <v/>
          </cell>
          <cell r="E1362" t="str">
            <v/>
          </cell>
          <cell r="F1362" t="str">
            <v/>
          </cell>
          <cell r="G1362" t="str">
            <v/>
          </cell>
          <cell r="H1362" t="str">
            <v/>
          </cell>
          <cell r="I1362" t="str">
            <v/>
          </cell>
          <cell r="J1362" t="str">
            <v/>
          </cell>
          <cell r="K1362">
            <v>0</v>
          </cell>
          <cell r="L1362" t="str">
            <v/>
          </cell>
          <cell r="M1362" t="str">
            <v/>
          </cell>
          <cell r="N1362" t="str">
            <v/>
          </cell>
          <cell r="O1362" t="str">
            <v/>
          </cell>
          <cell r="P1362" t="str">
            <v/>
          </cell>
          <cell r="Q1362" t="str">
            <v/>
          </cell>
          <cell r="R1362" t="str">
            <v/>
          </cell>
          <cell r="S1362" t="str">
            <v/>
          </cell>
          <cell r="T1362" t="str">
            <v/>
          </cell>
          <cell r="U1362" t="str">
            <v/>
          </cell>
          <cell r="V1362" t="str">
            <v/>
          </cell>
          <cell r="W1362" t="str">
            <v/>
          </cell>
          <cell r="X1362" t="str">
            <v/>
          </cell>
          <cell r="AM1362" t="str">
            <v/>
          </cell>
          <cell r="AO1362" t="e">
            <v>#VALUE!</v>
          </cell>
        </row>
        <row r="1363">
          <cell r="A1363" t="str">
            <v/>
          </cell>
          <cell r="B1363" t="str">
            <v>3</v>
          </cell>
          <cell r="C1363" t="str">
            <v/>
          </cell>
          <cell r="D1363" t="str">
            <v/>
          </cell>
          <cell r="E1363" t="str">
            <v/>
          </cell>
          <cell r="F1363" t="str">
            <v/>
          </cell>
          <cell r="G1363" t="str">
            <v/>
          </cell>
          <cell r="H1363" t="str">
            <v/>
          </cell>
          <cell r="I1363" t="str">
            <v/>
          </cell>
          <cell r="J1363" t="str">
            <v/>
          </cell>
          <cell r="K1363">
            <v>0</v>
          </cell>
          <cell r="L1363" t="str">
            <v/>
          </cell>
          <cell r="M1363" t="str">
            <v/>
          </cell>
          <cell r="N1363" t="str">
            <v/>
          </cell>
          <cell r="O1363" t="str">
            <v/>
          </cell>
          <cell r="P1363" t="str">
            <v/>
          </cell>
          <cell r="Q1363" t="str">
            <v/>
          </cell>
          <cell r="R1363" t="str">
            <v/>
          </cell>
          <cell r="S1363" t="str">
            <v/>
          </cell>
          <cell r="T1363" t="str">
            <v/>
          </cell>
          <cell r="U1363" t="str">
            <v/>
          </cell>
          <cell r="V1363" t="str">
            <v/>
          </cell>
          <cell r="W1363" t="str">
            <v/>
          </cell>
          <cell r="X1363" t="str">
            <v/>
          </cell>
          <cell r="AM1363" t="str">
            <v/>
          </cell>
          <cell r="AO1363" t="e">
            <v>#VALUE!</v>
          </cell>
        </row>
        <row r="1364">
          <cell r="A1364" t="str">
            <v/>
          </cell>
          <cell r="B1364" t="str">
            <v>3</v>
          </cell>
          <cell r="C1364" t="str">
            <v/>
          </cell>
          <cell r="D1364" t="str">
            <v/>
          </cell>
          <cell r="E1364" t="str">
            <v/>
          </cell>
          <cell r="F1364" t="str">
            <v/>
          </cell>
          <cell r="G1364" t="str">
            <v/>
          </cell>
          <cell r="H1364" t="str">
            <v/>
          </cell>
          <cell r="I1364" t="str">
            <v/>
          </cell>
          <cell r="J1364" t="str">
            <v/>
          </cell>
          <cell r="K1364">
            <v>0</v>
          </cell>
          <cell r="L1364" t="str">
            <v/>
          </cell>
          <cell r="M1364" t="str">
            <v/>
          </cell>
          <cell r="N1364" t="str">
            <v/>
          </cell>
          <cell r="O1364" t="str">
            <v/>
          </cell>
          <cell r="P1364" t="str">
            <v/>
          </cell>
          <cell r="Q1364" t="str">
            <v/>
          </cell>
          <cell r="R1364" t="str">
            <v/>
          </cell>
          <cell r="S1364" t="str">
            <v/>
          </cell>
          <cell r="T1364" t="str">
            <v/>
          </cell>
          <cell r="U1364" t="str">
            <v/>
          </cell>
          <cell r="V1364" t="str">
            <v/>
          </cell>
          <cell r="W1364" t="str">
            <v/>
          </cell>
          <cell r="X1364" t="str">
            <v/>
          </cell>
          <cell r="AM1364" t="str">
            <v/>
          </cell>
          <cell r="AO1364" t="e">
            <v>#VALUE!</v>
          </cell>
        </row>
        <row r="1365">
          <cell r="A1365" t="str">
            <v/>
          </cell>
          <cell r="B1365" t="str">
            <v>3</v>
          </cell>
          <cell r="C1365" t="str">
            <v/>
          </cell>
          <cell r="D1365" t="str">
            <v/>
          </cell>
          <cell r="E1365" t="str">
            <v/>
          </cell>
          <cell r="F1365" t="str">
            <v/>
          </cell>
          <cell r="G1365" t="str">
            <v/>
          </cell>
          <cell r="H1365" t="str">
            <v/>
          </cell>
          <cell r="I1365" t="str">
            <v/>
          </cell>
          <cell r="J1365" t="str">
            <v/>
          </cell>
          <cell r="K1365">
            <v>0</v>
          </cell>
          <cell r="L1365" t="str">
            <v/>
          </cell>
          <cell r="M1365" t="str">
            <v/>
          </cell>
          <cell r="N1365" t="str">
            <v/>
          </cell>
          <cell r="O1365" t="str">
            <v/>
          </cell>
          <cell r="P1365" t="str">
            <v/>
          </cell>
          <cell r="Q1365" t="str">
            <v/>
          </cell>
          <cell r="R1365" t="str">
            <v/>
          </cell>
          <cell r="S1365" t="str">
            <v/>
          </cell>
          <cell r="T1365" t="str">
            <v/>
          </cell>
          <cell r="U1365" t="str">
            <v/>
          </cell>
          <cell r="V1365" t="str">
            <v/>
          </cell>
          <cell r="W1365" t="str">
            <v/>
          </cell>
          <cell r="X1365" t="str">
            <v/>
          </cell>
          <cell r="AM1365" t="str">
            <v/>
          </cell>
          <cell r="AO1365" t="e">
            <v>#VALUE!</v>
          </cell>
        </row>
        <row r="1366">
          <cell r="A1366" t="str">
            <v/>
          </cell>
          <cell r="B1366" t="str">
            <v>3</v>
          </cell>
          <cell r="C1366" t="str">
            <v/>
          </cell>
          <cell r="D1366" t="str">
            <v/>
          </cell>
          <cell r="E1366" t="str">
            <v/>
          </cell>
          <cell r="F1366" t="str">
            <v/>
          </cell>
          <cell r="G1366" t="str">
            <v/>
          </cell>
          <cell r="H1366" t="str">
            <v/>
          </cell>
          <cell r="I1366" t="str">
            <v/>
          </cell>
          <cell r="J1366" t="str">
            <v/>
          </cell>
          <cell r="K1366">
            <v>0</v>
          </cell>
          <cell r="L1366" t="str">
            <v/>
          </cell>
          <cell r="M1366" t="str">
            <v/>
          </cell>
          <cell r="N1366" t="str">
            <v/>
          </cell>
          <cell r="O1366" t="str">
            <v/>
          </cell>
          <cell r="P1366" t="str">
            <v/>
          </cell>
          <cell r="Q1366" t="str">
            <v/>
          </cell>
          <cell r="R1366" t="str">
            <v/>
          </cell>
          <cell r="S1366" t="str">
            <v/>
          </cell>
          <cell r="T1366" t="str">
            <v/>
          </cell>
          <cell r="U1366" t="str">
            <v/>
          </cell>
          <cell r="V1366" t="str">
            <v/>
          </cell>
          <cell r="W1366" t="str">
            <v/>
          </cell>
          <cell r="X1366" t="str">
            <v/>
          </cell>
          <cell r="AM1366" t="str">
            <v/>
          </cell>
          <cell r="AO1366" t="e">
            <v>#VALUE!</v>
          </cell>
        </row>
        <row r="1367">
          <cell r="A1367" t="str">
            <v/>
          </cell>
          <cell r="B1367" t="str">
            <v>3</v>
          </cell>
          <cell r="C1367" t="str">
            <v/>
          </cell>
          <cell r="D1367" t="str">
            <v/>
          </cell>
          <cell r="E1367" t="str">
            <v/>
          </cell>
          <cell r="F1367" t="str">
            <v/>
          </cell>
          <cell r="G1367" t="str">
            <v/>
          </cell>
          <cell r="H1367" t="str">
            <v/>
          </cell>
          <cell r="I1367" t="str">
            <v/>
          </cell>
          <cell r="J1367" t="str">
            <v/>
          </cell>
          <cell r="K1367">
            <v>0</v>
          </cell>
          <cell r="L1367" t="str">
            <v/>
          </cell>
          <cell r="M1367" t="str">
            <v/>
          </cell>
          <cell r="N1367" t="str">
            <v/>
          </cell>
          <cell r="O1367" t="str">
            <v/>
          </cell>
          <cell r="P1367" t="str">
            <v/>
          </cell>
          <cell r="Q1367" t="str">
            <v/>
          </cell>
          <cell r="R1367" t="str">
            <v/>
          </cell>
          <cell r="S1367" t="str">
            <v/>
          </cell>
          <cell r="T1367" t="str">
            <v/>
          </cell>
          <cell r="U1367" t="str">
            <v/>
          </cell>
          <cell r="V1367" t="str">
            <v/>
          </cell>
          <cell r="W1367" t="str">
            <v/>
          </cell>
          <cell r="X1367" t="str">
            <v/>
          </cell>
          <cell r="AM1367" t="str">
            <v/>
          </cell>
          <cell r="AO1367" t="e">
            <v>#VALUE!</v>
          </cell>
        </row>
        <row r="1368">
          <cell r="A1368" t="str">
            <v/>
          </cell>
          <cell r="B1368" t="str">
            <v>3</v>
          </cell>
          <cell r="C1368" t="str">
            <v/>
          </cell>
          <cell r="D1368" t="str">
            <v/>
          </cell>
          <cell r="E1368" t="str">
            <v/>
          </cell>
          <cell r="F1368" t="str">
            <v/>
          </cell>
          <cell r="G1368" t="str">
            <v/>
          </cell>
          <cell r="H1368" t="str">
            <v/>
          </cell>
          <cell r="I1368" t="str">
            <v/>
          </cell>
          <cell r="J1368" t="str">
            <v/>
          </cell>
          <cell r="K1368">
            <v>0</v>
          </cell>
          <cell r="L1368" t="str">
            <v/>
          </cell>
          <cell r="M1368" t="str">
            <v/>
          </cell>
          <cell r="N1368" t="str">
            <v/>
          </cell>
          <cell r="O1368" t="str">
            <v/>
          </cell>
          <cell r="P1368" t="str">
            <v/>
          </cell>
          <cell r="Q1368" t="str">
            <v/>
          </cell>
          <cell r="R1368" t="str">
            <v/>
          </cell>
          <cell r="S1368" t="str">
            <v/>
          </cell>
          <cell r="T1368" t="str">
            <v/>
          </cell>
          <cell r="U1368" t="str">
            <v/>
          </cell>
          <cell r="V1368" t="str">
            <v/>
          </cell>
          <cell r="W1368" t="str">
            <v/>
          </cell>
          <cell r="X1368" t="str">
            <v/>
          </cell>
          <cell r="AM1368" t="str">
            <v/>
          </cell>
          <cell r="AO1368" t="e">
            <v>#VALUE!</v>
          </cell>
        </row>
        <row r="1369">
          <cell r="A1369" t="str">
            <v/>
          </cell>
          <cell r="B1369" t="str">
            <v>3</v>
          </cell>
          <cell r="C1369" t="str">
            <v/>
          </cell>
          <cell r="D1369" t="str">
            <v/>
          </cell>
          <cell r="E1369" t="str">
            <v/>
          </cell>
          <cell r="F1369" t="str">
            <v/>
          </cell>
          <cell r="G1369" t="str">
            <v/>
          </cell>
          <cell r="H1369" t="str">
            <v/>
          </cell>
          <cell r="I1369" t="str">
            <v/>
          </cell>
          <cell r="J1369" t="str">
            <v/>
          </cell>
          <cell r="K1369">
            <v>0</v>
          </cell>
          <cell r="L1369" t="str">
            <v/>
          </cell>
          <cell r="M1369" t="str">
            <v/>
          </cell>
          <cell r="N1369" t="str">
            <v/>
          </cell>
          <cell r="O1369" t="str">
            <v/>
          </cell>
          <cell r="P1369" t="str">
            <v/>
          </cell>
          <cell r="Q1369" t="str">
            <v/>
          </cell>
          <cell r="R1369" t="str">
            <v/>
          </cell>
          <cell r="S1369" t="str">
            <v/>
          </cell>
          <cell r="T1369" t="str">
            <v/>
          </cell>
          <cell r="U1369" t="str">
            <v/>
          </cell>
          <cell r="V1369" t="str">
            <v/>
          </cell>
          <cell r="W1369" t="str">
            <v/>
          </cell>
          <cell r="X1369" t="str">
            <v/>
          </cell>
          <cell r="AM1369" t="str">
            <v/>
          </cell>
          <cell r="AO1369" t="e">
            <v>#VALUE!</v>
          </cell>
        </row>
        <row r="1370">
          <cell r="A1370" t="str">
            <v/>
          </cell>
          <cell r="B1370" t="str">
            <v>3</v>
          </cell>
          <cell r="C1370" t="str">
            <v/>
          </cell>
          <cell r="D1370" t="str">
            <v/>
          </cell>
          <cell r="E1370" t="str">
            <v/>
          </cell>
          <cell r="F1370" t="str">
            <v/>
          </cell>
          <cell r="G1370" t="str">
            <v/>
          </cell>
          <cell r="H1370" t="str">
            <v/>
          </cell>
          <cell r="I1370" t="str">
            <v/>
          </cell>
          <cell r="J1370" t="str">
            <v/>
          </cell>
          <cell r="K1370">
            <v>0</v>
          </cell>
          <cell r="L1370" t="str">
            <v/>
          </cell>
          <cell r="M1370" t="str">
            <v/>
          </cell>
          <cell r="N1370" t="str">
            <v/>
          </cell>
          <cell r="O1370" t="str">
            <v/>
          </cell>
          <cell r="P1370" t="str">
            <v/>
          </cell>
          <cell r="Q1370" t="str">
            <v/>
          </cell>
          <cell r="R1370" t="str">
            <v/>
          </cell>
          <cell r="S1370" t="str">
            <v/>
          </cell>
          <cell r="T1370" t="str">
            <v/>
          </cell>
          <cell r="U1370" t="str">
            <v/>
          </cell>
          <cell r="V1370" t="str">
            <v/>
          </cell>
          <cell r="W1370" t="str">
            <v/>
          </cell>
          <cell r="X1370" t="str">
            <v/>
          </cell>
          <cell r="AM1370" t="str">
            <v/>
          </cell>
          <cell r="AO1370" t="e">
            <v>#VALUE!</v>
          </cell>
        </row>
        <row r="1371">
          <cell r="A1371" t="str">
            <v/>
          </cell>
          <cell r="B1371" t="str">
            <v>3</v>
          </cell>
          <cell r="C1371" t="str">
            <v/>
          </cell>
          <cell r="D1371" t="str">
            <v/>
          </cell>
          <cell r="E1371" t="str">
            <v/>
          </cell>
          <cell r="F1371" t="str">
            <v/>
          </cell>
          <cell r="G1371" t="str">
            <v/>
          </cell>
          <cell r="H1371" t="str">
            <v/>
          </cell>
          <cell r="I1371" t="str">
            <v/>
          </cell>
          <cell r="J1371" t="str">
            <v/>
          </cell>
          <cell r="K1371">
            <v>0</v>
          </cell>
          <cell r="L1371" t="str">
            <v/>
          </cell>
          <cell r="M1371" t="str">
            <v/>
          </cell>
          <cell r="N1371" t="str">
            <v/>
          </cell>
          <cell r="O1371" t="str">
            <v/>
          </cell>
          <cell r="P1371" t="str">
            <v/>
          </cell>
          <cell r="Q1371" t="str">
            <v/>
          </cell>
          <cell r="R1371" t="str">
            <v/>
          </cell>
          <cell r="S1371" t="str">
            <v/>
          </cell>
          <cell r="T1371" t="str">
            <v/>
          </cell>
          <cell r="U1371" t="str">
            <v/>
          </cell>
          <cell r="V1371" t="str">
            <v/>
          </cell>
          <cell r="W1371" t="str">
            <v/>
          </cell>
          <cell r="X1371" t="str">
            <v/>
          </cell>
          <cell r="AM1371" t="str">
            <v/>
          </cell>
          <cell r="AO1371" t="e">
            <v>#VALUE!</v>
          </cell>
        </row>
        <row r="1372">
          <cell r="A1372" t="str">
            <v/>
          </cell>
          <cell r="B1372" t="str">
            <v>3</v>
          </cell>
          <cell r="C1372" t="str">
            <v/>
          </cell>
          <cell r="D1372" t="str">
            <v/>
          </cell>
          <cell r="E1372" t="str">
            <v/>
          </cell>
          <cell r="F1372" t="str">
            <v/>
          </cell>
          <cell r="G1372" t="str">
            <v/>
          </cell>
          <cell r="H1372" t="str">
            <v/>
          </cell>
          <cell r="I1372" t="str">
            <v/>
          </cell>
          <cell r="J1372" t="str">
            <v/>
          </cell>
          <cell r="K1372">
            <v>0</v>
          </cell>
          <cell r="L1372" t="str">
            <v/>
          </cell>
          <cell r="M1372" t="str">
            <v/>
          </cell>
          <cell r="N1372" t="str">
            <v/>
          </cell>
          <cell r="O1372" t="str">
            <v/>
          </cell>
          <cell r="P1372" t="str">
            <v/>
          </cell>
          <cell r="Q1372" t="str">
            <v/>
          </cell>
          <cell r="R1372" t="str">
            <v/>
          </cell>
          <cell r="S1372" t="str">
            <v/>
          </cell>
          <cell r="T1372" t="str">
            <v/>
          </cell>
          <cell r="U1372" t="str">
            <v/>
          </cell>
          <cell r="V1372" t="str">
            <v/>
          </cell>
          <cell r="W1372" t="str">
            <v/>
          </cell>
          <cell r="X1372" t="str">
            <v/>
          </cell>
          <cell r="AM1372" t="str">
            <v/>
          </cell>
          <cell r="AO1372" t="e">
            <v>#VALUE!</v>
          </cell>
        </row>
        <row r="1373">
          <cell r="A1373" t="str">
            <v/>
          </cell>
          <cell r="B1373" t="str">
            <v>3</v>
          </cell>
          <cell r="C1373" t="str">
            <v/>
          </cell>
          <cell r="D1373" t="str">
            <v/>
          </cell>
          <cell r="E1373" t="str">
            <v/>
          </cell>
          <cell r="F1373" t="str">
            <v/>
          </cell>
          <cell r="G1373" t="str">
            <v/>
          </cell>
          <cell r="H1373" t="str">
            <v/>
          </cell>
          <cell r="I1373" t="str">
            <v/>
          </cell>
          <cell r="J1373" t="str">
            <v/>
          </cell>
          <cell r="K1373">
            <v>0</v>
          </cell>
          <cell r="L1373" t="str">
            <v/>
          </cell>
          <cell r="M1373" t="str">
            <v/>
          </cell>
          <cell r="N1373" t="str">
            <v/>
          </cell>
          <cell r="O1373" t="str">
            <v/>
          </cell>
          <cell r="P1373" t="str">
            <v/>
          </cell>
          <cell r="Q1373" t="str">
            <v/>
          </cell>
          <cell r="R1373" t="str">
            <v/>
          </cell>
          <cell r="S1373" t="str">
            <v/>
          </cell>
          <cell r="T1373" t="str">
            <v/>
          </cell>
          <cell r="U1373" t="str">
            <v/>
          </cell>
          <cell r="V1373" t="str">
            <v/>
          </cell>
          <cell r="W1373" t="str">
            <v/>
          </cell>
          <cell r="X1373" t="str">
            <v/>
          </cell>
          <cell r="AM1373" t="str">
            <v/>
          </cell>
          <cell r="AO1373" t="e">
            <v>#VALUE!</v>
          </cell>
        </row>
        <row r="1374">
          <cell r="A1374" t="str">
            <v/>
          </cell>
          <cell r="B1374" t="str">
            <v>3</v>
          </cell>
          <cell r="C1374" t="str">
            <v/>
          </cell>
          <cell r="D1374" t="str">
            <v/>
          </cell>
          <cell r="E1374" t="str">
            <v/>
          </cell>
          <cell r="F1374" t="str">
            <v/>
          </cell>
          <cell r="G1374" t="str">
            <v/>
          </cell>
          <cell r="H1374" t="str">
            <v/>
          </cell>
          <cell r="I1374" t="str">
            <v/>
          </cell>
          <cell r="J1374" t="str">
            <v/>
          </cell>
          <cell r="K1374">
            <v>0</v>
          </cell>
          <cell r="L1374" t="str">
            <v/>
          </cell>
          <cell r="M1374" t="str">
            <v/>
          </cell>
          <cell r="N1374" t="str">
            <v/>
          </cell>
          <cell r="O1374" t="str">
            <v/>
          </cell>
          <cell r="P1374" t="str">
            <v/>
          </cell>
          <cell r="Q1374" t="str">
            <v/>
          </cell>
          <cell r="R1374" t="str">
            <v/>
          </cell>
          <cell r="S1374" t="str">
            <v/>
          </cell>
          <cell r="T1374" t="str">
            <v/>
          </cell>
          <cell r="U1374" t="str">
            <v/>
          </cell>
          <cell r="V1374" t="str">
            <v/>
          </cell>
          <cell r="W1374" t="str">
            <v/>
          </cell>
          <cell r="X1374" t="str">
            <v/>
          </cell>
          <cell r="AM1374" t="str">
            <v/>
          </cell>
          <cell r="AO1374" t="e">
            <v>#VALUE!</v>
          </cell>
        </row>
        <row r="1375">
          <cell r="A1375" t="str">
            <v/>
          </cell>
          <cell r="B1375" t="str">
            <v>3</v>
          </cell>
          <cell r="C1375" t="str">
            <v/>
          </cell>
          <cell r="D1375" t="str">
            <v/>
          </cell>
          <cell r="E1375" t="str">
            <v/>
          </cell>
          <cell r="F1375" t="str">
            <v/>
          </cell>
          <cell r="G1375" t="str">
            <v/>
          </cell>
          <cell r="H1375" t="str">
            <v/>
          </cell>
          <cell r="I1375" t="str">
            <v/>
          </cell>
          <cell r="J1375" t="str">
            <v/>
          </cell>
          <cell r="K1375">
            <v>0</v>
          </cell>
          <cell r="L1375" t="str">
            <v/>
          </cell>
          <cell r="M1375" t="str">
            <v/>
          </cell>
          <cell r="N1375" t="str">
            <v/>
          </cell>
          <cell r="O1375" t="str">
            <v/>
          </cell>
          <cell r="P1375" t="str">
            <v/>
          </cell>
          <cell r="Q1375" t="str">
            <v/>
          </cell>
          <cell r="R1375" t="str">
            <v/>
          </cell>
          <cell r="S1375" t="str">
            <v/>
          </cell>
          <cell r="T1375" t="str">
            <v/>
          </cell>
          <cell r="U1375" t="str">
            <v/>
          </cell>
          <cell r="V1375" t="str">
            <v/>
          </cell>
          <cell r="W1375" t="str">
            <v/>
          </cell>
          <cell r="X1375" t="str">
            <v/>
          </cell>
          <cell r="AM1375" t="str">
            <v/>
          </cell>
          <cell r="AO1375" t="e">
            <v>#VALUE!</v>
          </cell>
        </row>
        <row r="1376">
          <cell r="A1376" t="str">
            <v/>
          </cell>
          <cell r="B1376" t="str">
            <v>3</v>
          </cell>
          <cell r="C1376" t="str">
            <v/>
          </cell>
          <cell r="D1376" t="str">
            <v/>
          </cell>
          <cell r="E1376" t="str">
            <v/>
          </cell>
          <cell r="F1376" t="str">
            <v/>
          </cell>
          <cell r="G1376" t="str">
            <v/>
          </cell>
          <cell r="H1376" t="str">
            <v/>
          </cell>
          <cell r="I1376" t="str">
            <v/>
          </cell>
          <cell r="J1376" t="str">
            <v/>
          </cell>
          <cell r="K1376">
            <v>0</v>
          </cell>
          <cell r="L1376" t="str">
            <v/>
          </cell>
          <cell r="M1376" t="str">
            <v/>
          </cell>
          <cell r="N1376" t="str">
            <v/>
          </cell>
          <cell r="O1376" t="str">
            <v/>
          </cell>
          <cell r="P1376" t="str">
            <v/>
          </cell>
          <cell r="Q1376" t="str">
            <v/>
          </cell>
          <cell r="R1376" t="str">
            <v/>
          </cell>
          <cell r="S1376" t="str">
            <v/>
          </cell>
          <cell r="T1376" t="str">
            <v/>
          </cell>
          <cell r="U1376" t="str">
            <v/>
          </cell>
          <cell r="V1376" t="str">
            <v/>
          </cell>
          <cell r="W1376" t="str">
            <v/>
          </cell>
          <cell r="X1376" t="str">
            <v/>
          </cell>
          <cell r="AM1376" t="str">
            <v/>
          </cell>
          <cell r="AO1376" t="e">
            <v>#VALUE!</v>
          </cell>
        </row>
        <row r="1377">
          <cell r="A1377" t="str">
            <v/>
          </cell>
          <cell r="B1377" t="str">
            <v>3</v>
          </cell>
          <cell r="C1377" t="str">
            <v/>
          </cell>
          <cell r="D1377" t="str">
            <v/>
          </cell>
          <cell r="E1377" t="str">
            <v/>
          </cell>
          <cell r="F1377" t="str">
            <v/>
          </cell>
          <cell r="G1377" t="str">
            <v/>
          </cell>
          <cell r="H1377" t="str">
            <v/>
          </cell>
          <cell r="I1377" t="str">
            <v/>
          </cell>
          <cell r="J1377" t="str">
            <v/>
          </cell>
          <cell r="K1377">
            <v>0</v>
          </cell>
          <cell r="L1377" t="str">
            <v/>
          </cell>
          <cell r="M1377" t="str">
            <v/>
          </cell>
          <cell r="N1377" t="str">
            <v/>
          </cell>
          <cell r="O1377" t="str">
            <v/>
          </cell>
          <cell r="P1377" t="str">
            <v/>
          </cell>
          <cell r="Q1377" t="str">
            <v/>
          </cell>
          <cell r="R1377" t="str">
            <v/>
          </cell>
          <cell r="S1377" t="str">
            <v/>
          </cell>
          <cell r="T1377" t="str">
            <v/>
          </cell>
          <cell r="U1377" t="str">
            <v/>
          </cell>
          <cell r="V1377" t="str">
            <v/>
          </cell>
          <cell r="W1377" t="str">
            <v/>
          </cell>
          <cell r="X1377" t="str">
            <v/>
          </cell>
          <cell r="AM1377" t="str">
            <v/>
          </cell>
          <cell r="AO1377" t="e">
            <v>#VALUE!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</sheetData>
      <sheetData sheetId="9" refreshError="1"/>
      <sheetData sheetId="10">
        <row r="5">
          <cell r="N5" t="str">
            <v>07 - 13 Des 2025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6B90-A24E-4945-9930-6BB367B2DA22}">
  <dimension ref="A1:AN649"/>
  <sheetViews>
    <sheetView tabSelected="1" topLeftCell="A2" zoomScale="90" zoomScaleNormal="90" workbookViewId="0">
      <pane xSplit="5" ySplit="7" topLeftCell="F9" activePane="bottomRight" state="frozen"/>
      <selection activeCell="A2" sqref="A2"/>
      <selection pane="topRight" activeCell="F2" sqref="F2"/>
      <selection pane="bottomLeft" activeCell="A9" sqref="A9"/>
      <selection pane="bottomRight" activeCell="A14" sqref="A14"/>
    </sheetView>
  </sheetViews>
  <sheetFormatPr defaultColWidth="9.1796875" defaultRowHeight="14.5" x14ac:dyDescent="0.35"/>
  <cols>
    <col min="1" max="1" width="4.7265625" customWidth="1"/>
    <col min="2" max="2" width="3.54296875" customWidth="1"/>
    <col min="3" max="3" width="5.54296875" style="2" customWidth="1"/>
    <col min="4" max="4" width="8.7265625" style="6" customWidth="1"/>
    <col min="5" max="5" width="7.453125" customWidth="1"/>
    <col min="6" max="6" width="11.81640625" customWidth="1"/>
    <col min="7" max="7" width="8.26953125" customWidth="1"/>
    <col min="8" max="8" width="4.7265625" customWidth="1"/>
    <col min="9" max="9" width="5.7265625" hidden="1" customWidth="1"/>
    <col min="10" max="10" width="3.26953125" customWidth="1"/>
    <col min="11" max="11" width="6.54296875" hidden="1" customWidth="1"/>
    <col min="12" max="12" width="12" customWidth="1"/>
    <col min="13" max="13" width="12.81640625" style="6" customWidth="1"/>
    <col min="14" max="14" width="37.7265625" customWidth="1"/>
    <col min="15" max="15" width="9.54296875" style="7" bestFit="1" customWidth="1"/>
    <col min="16" max="16" width="10.1796875" style="12" bestFit="1" customWidth="1"/>
    <col min="17" max="17" width="8.54296875" style="21" customWidth="1"/>
    <col min="18" max="18" width="9.1796875" style="21" bestFit="1" customWidth="1"/>
    <col min="19" max="19" width="12.26953125" style="21" customWidth="1"/>
    <col min="20" max="40" width="8.7265625" customWidth="1"/>
    <col min="41" max="41" width="9.1796875" style="11"/>
    <col min="42" max="42" width="4.7265625" style="11" customWidth="1"/>
    <col min="43" max="43" width="3.54296875" style="11" customWidth="1"/>
    <col min="44" max="44" width="5.54296875" style="11" customWidth="1"/>
    <col min="45" max="45" width="8.7265625" style="11" customWidth="1"/>
    <col min="46" max="46" width="7.453125" style="11" customWidth="1"/>
    <col min="47" max="47" width="11.81640625" style="11" customWidth="1"/>
    <col min="48" max="48" width="8.26953125" style="11" customWidth="1"/>
    <col min="49" max="49" width="4.7265625" style="11" customWidth="1"/>
    <col min="50" max="50" width="0" style="11" hidden="1" customWidth="1"/>
    <col min="51" max="51" width="3.26953125" style="11" customWidth="1"/>
    <col min="52" max="52" width="0" style="11" hidden="1" customWidth="1"/>
    <col min="53" max="53" width="12" style="11" customWidth="1"/>
    <col min="54" max="54" width="12.81640625" style="11" customWidth="1"/>
    <col min="55" max="55" width="37.7265625" style="11" customWidth="1"/>
    <col min="56" max="57" width="8.453125" style="11" customWidth="1"/>
    <col min="58" max="58" width="8.54296875" style="11" customWidth="1"/>
    <col min="59" max="59" width="8.26953125" style="11" customWidth="1"/>
    <col min="60" max="60" width="12.26953125" style="11" customWidth="1"/>
    <col min="61" max="63" width="5.453125" style="11" customWidth="1"/>
    <col min="64" max="64" width="6.1796875" style="11" customWidth="1"/>
    <col min="65" max="65" width="5.1796875" style="11" customWidth="1"/>
    <col min="66" max="66" width="6.26953125" style="11" customWidth="1"/>
    <col min="67" max="67" width="6.7265625" style="11" customWidth="1"/>
    <col min="68" max="68" width="6.1796875" style="11" customWidth="1"/>
    <col min="69" max="69" width="6.54296875" style="11" customWidth="1"/>
    <col min="70" max="70" width="6.7265625" style="11" customWidth="1"/>
    <col min="71" max="71" width="5.7265625" style="11" customWidth="1"/>
    <col min="72" max="72" width="6.1796875" style="11" customWidth="1"/>
    <col min="73" max="73" width="6" style="11" customWidth="1"/>
    <col min="74" max="74" width="6.26953125" style="11" customWidth="1"/>
    <col min="75" max="75" width="6.54296875" style="11" customWidth="1"/>
    <col min="76" max="76" width="6.1796875" style="11" customWidth="1"/>
    <col min="77" max="77" width="5.26953125" style="11" customWidth="1"/>
    <col min="78" max="78" width="6.453125" style="11" customWidth="1"/>
    <col min="79" max="80" width="6.1796875" style="11" customWidth="1"/>
    <col min="81" max="81" width="6.26953125" style="11" customWidth="1"/>
    <col min="82" max="82" width="5.26953125" style="11" customWidth="1"/>
    <col min="83" max="83" width="6.81640625" style="11" customWidth="1"/>
    <col min="84" max="84" width="6.54296875" style="11" customWidth="1"/>
    <col min="85" max="85" width="6" style="11" customWidth="1"/>
    <col min="86" max="86" width="7" style="11" customWidth="1"/>
    <col min="87" max="87" width="6.26953125" style="11" customWidth="1"/>
    <col min="88" max="88" width="6.54296875" style="11" customWidth="1"/>
    <col min="89" max="89" width="6.7265625" style="11" customWidth="1"/>
    <col min="90" max="90" width="5.26953125" style="11" customWidth="1"/>
    <col min="91" max="91" width="6" style="11" customWidth="1"/>
    <col min="92" max="92" width="5.7265625" style="11" customWidth="1"/>
    <col min="93" max="97" width="12.1796875" style="11" bestFit="1" customWidth="1"/>
    <col min="98" max="98" width="9.81640625" style="11" bestFit="1" customWidth="1"/>
    <col min="99" max="99" width="11" style="11" bestFit="1" customWidth="1"/>
    <col min="100" max="100" width="11.26953125" style="11" bestFit="1" customWidth="1"/>
    <col min="101" max="101" width="11" style="11" bestFit="1" customWidth="1"/>
    <col min="102" max="103" width="9.81640625" style="11" bestFit="1" customWidth="1"/>
    <col min="104" max="104" width="10.26953125" style="11" bestFit="1" customWidth="1"/>
    <col min="105" max="105" width="12.1796875" style="11" bestFit="1" customWidth="1"/>
    <col min="106" max="106" width="11" style="11" bestFit="1" customWidth="1"/>
    <col min="107" max="107" width="12.1796875" style="11" bestFit="1" customWidth="1"/>
    <col min="108" max="108" width="13.81640625" style="11" bestFit="1" customWidth="1"/>
    <col min="109" max="109" width="9.81640625" style="11" bestFit="1" customWidth="1"/>
    <col min="110" max="110" width="13.81640625" style="11" bestFit="1" customWidth="1"/>
    <col min="111" max="111" width="10.81640625" style="11" bestFit="1" customWidth="1"/>
    <col min="112" max="112" width="12.1796875" style="11" bestFit="1" customWidth="1"/>
    <col min="113" max="115" width="11" style="11" bestFit="1" customWidth="1"/>
    <col min="116" max="116" width="14.26953125" style="11" customWidth="1"/>
    <col min="117" max="120" width="10.81640625" style="11" customWidth="1"/>
    <col min="121" max="121" width="9.54296875" style="11" customWidth="1"/>
    <col min="122" max="123" width="6.7265625" style="11" customWidth="1"/>
    <col min="124" max="130" width="8.7265625" style="11" customWidth="1"/>
    <col min="131" max="131" width="9.7265625" style="11" bestFit="1" customWidth="1"/>
    <col min="132" max="132" width="38.54296875" style="11" bestFit="1" customWidth="1"/>
    <col min="133" max="133" width="8.7265625" style="11" bestFit="1" customWidth="1"/>
    <col min="134" max="134" width="11.1796875" style="11" bestFit="1" customWidth="1"/>
    <col min="135" max="135" width="7.7265625" style="11" bestFit="1" customWidth="1"/>
    <col min="136" max="136" width="9.453125" style="11" bestFit="1" customWidth="1"/>
    <col min="137" max="137" width="8.7265625" style="11" bestFit="1" customWidth="1"/>
    <col min="138" max="138" width="10.453125" style="11" bestFit="1" customWidth="1"/>
    <col min="139" max="139" width="9" style="11" bestFit="1" customWidth="1"/>
    <col min="140" max="140" width="9.54296875" style="11" bestFit="1" customWidth="1"/>
    <col min="141" max="141" width="10.54296875" style="11" bestFit="1" customWidth="1"/>
    <col min="142" max="142" width="8.54296875" style="11" bestFit="1" customWidth="1"/>
    <col min="143" max="143" width="10.54296875" style="11" bestFit="1" customWidth="1"/>
    <col min="144" max="144" width="11" style="11" bestFit="1" customWidth="1"/>
    <col min="145" max="145" width="16.54296875" style="11" bestFit="1" customWidth="1"/>
    <col min="146" max="146" width="11" style="11" bestFit="1" customWidth="1"/>
    <col min="147" max="147" width="10.26953125" style="11" bestFit="1" customWidth="1"/>
    <col min="148" max="148" width="12.453125" style="11" bestFit="1" customWidth="1"/>
    <col min="149" max="149" width="10.54296875" style="11" bestFit="1" customWidth="1"/>
    <col min="150" max="150" width="9" style="11" bestFit="1" customWidth="1"/>
    <col min="151" max="151" width="10.54296875" style="11" bestFit="1" customWidth="1"/>
    <col min="152" max="152" width="11.1796875" style="11" bestFit="1" customWidth="1"/>
    <col min="153" max="153" width="11.453125" style="11" bestFit="1" customWidth="1"/>
    <col min="154" max="154" width="12.7265625" style="11" bestFit="1" customWidth="1"/>
    <col min="155" max="155" width="13.453125" style="11" bestFit="1" customWidth="1"/>
    <col min="156" max="156" width="11.81640625" style="11" bestFit="1" customWidth="1"/>
    <col min="157" max="157" width="10.7265625" style="11" bestFit="1" customWidth="1"/>
    <col min="158" max="158" width="8.81640625" style="11" bestFit="1" customWidth="1"/>
    <col min="159" max="159" width="10" style="11" bestFit="1" customWidth="1"/>
    <col min="160" max="160" width="13.1796875" style="11" bestFit="1" customWidth="1"/>
    <col min="161" max="161" width="20.7265625" style="11" bestFit="1" customWidth="1"/>
    <col min="162" max="162" width="20.7265625" style="11" customWidth="1"/>
    <col min="163" max="163" width="9.453125" style="11" bestFit="1" customWidth="1"/>
    <col min="164" max="165" width="9.26953125" style="11" bestFit="1" customWidth="1"/>
    <col min="166" max="166" width="10.26953125" style="11" bestFit="1" customWidth="1"/>
    <col min="167" max="176" width="9.26953125" style="11" bestFit="1" customWidth="1"/>
    <col min="177" max="177" width="10.26953125" style="11" bestFit="1" customWidth="1"/>
    <col min="178" max="181" width="9.26953125" style="11" bestFit="1" customWidth="1"/>
    <col min="182" max="182" width="11.26953125" style="11" bestFit="1" customWidth="1"/>
    <col min="183" max="195" width="8.7265625" style="11" customWidth="1"/>
    <col min="196" max="196" width="11" style="11" bestFit="1" customWidth="1"/>
    <col min="197" max="197" width="4.7265625" style="11" customWidth="1"/>
    <col min="198" max="198" width="25.26953125" style="11" customWidth="1"/>
    <col min="199" max="199" width="23" style="11" customWidth="1"/>
    <col min="200" max="200" width="10.26953125" style="11" bestFit="1" customWidth="1"/>
    <col min="201" max="201" width="0" style="11" hidden="1" customWidth="1"/>
    <col min="202" max="202" width="31.7265625" style="11" customWidth="1"/>
    <col min="203" max="203" width="6" style="11" customWidth="1"/>
    <col min="204" max="205" width="10.26953125" style="11" bestFit="1" customWidth="1"/>
    <col min="206" max="213" width="8.7265625" style="11" customWidth="1"/>
    <col min="214" max="214" width="10.26953125" style="11" bestFit="1" customWidth="1"/>
    <col min="215" max="296" width="8.7265625" style="11" customWidth="1"/>
    <col min="297" max="297" width="9.1796875" style="11"/>
    <col min="298" max="298" width="4.7265625" style="11" customWidth="1"/>
    <col min="299" max="299" width="3.54296875" style="11" customWidth="1"/>
    <col min="300" max="300" width="5.54296875" style="11" customWidth="1"/>
    <col min="301" max="301" width="8.7265625" style="11" customWidth="1"/>
    <col min="302" max="302" width="7.453125" style="11" customWidth="1"/>
    <col min="303" max="303" width="11.81640625" style="11" customWidth="1"/>
    <col min="304" max="304" width="8.26953125" style="11" customWidth="1"/>
    <col min="305" max="305" width="4.7265625" style="11" customWidth="1"/>
    <col min="306" max="306" width="0" style="11" hidden="1" customWidth="1"/>
    <col min="307" max="307" width="3.26953125" style="11" customWidth="1"/>
    <col min="308" max="308" width="0" style="11" hidden="1" customWidth="1"/>
    <col min="309" max="309" width="12" style="11" customWidth="1"/>
    <col min="310" max="310" width="12.81640625" style="11" customWidth="1"/>
    <col min="311" max="311" width="37.7265625" style="11" customWidth="1"/>
    <col min="312" max="313" width="8.453125" style="11" customWidth="1"/>
    <col min="314" max="314" width="8.54296875" style="11" customWidth="1"/>
    <col min="315" max="315" width="8.26953125" style="11" customWidth="1"/>
    <col min="316" max="316" width="12.26953125" style="11" customWidth="1"/>
    <col min="317" max="319" width="5.453125" style="11" customWidth="1"/>
    <col min="320" max="320" width="6.1796875" style="11" customWidth="1"/>
    <col min="321" max="321" width="5.1796875" style="11" customWidth="1"/>
    <col min="322" max="322" width="6.26953125" style="11" customWidth="1"/>
    <col min="323" max="323" width="6.7265625" style="11" customWidth="1"/>
    <col min="324" max="324" width="6.1796875" style="11" customWidth="1"/>
    <col min="325" max="325" width="6.54296875" style="11" customWidth="1"/>
    <col min="326" max="326" width="6.7265625" style="11" customWidth="1"/>
    <col min="327" max="327" width="5.7265625" style="11" customWidth="1"/>
    <col min="328" max="328" width="6.1796875" style="11" customWidth="1"/>
    <col min="329" max="329" width="6" style="11" customWidth="1"/>
    <col min="330" max="330" width="6.26953125" style="11" customWidth="1"/>
    <col min="331" max="331" width="6.54296875" style="11" customWidth="1"/>
    <col min="332" max="332" width="6.1796875" style="11" customWidth="1"/>
    <col min="333" max="333" width="5.26953125" style="11" customWidth="1"/>
    <col min="334" max="334" width="6.453125" style="11" customWidth="1"/>
    <col min="335" max="336" width="6.1796875" style="11" customWidth="1"/>
    <col min="337" max="337" width="6.26953125" style="11" customWidth="1"/>
    <col min="338" max="338" width="5.26953125" style="11" customWidth="1"/>
    <col min="339" max="339" width="6.81640625" style="11" customWidth="1"/>
    <col min="340" max="340" width="6.54296875" style="11" customWidth="1"/>
    <col min="341" max="341" width="6" style="11" customWidth="1"/>
    <col min="342" max="342" width="7" style="11" customWidth="1"/>
    <col min="343" max="343" width="6.26953125" style="11" customWidth="1"/>
    <col min="344" max="344" width="6.54296875" style="11" customWidth="1"/>
    <col min="345" max="345" width="6.7265625" style="11" customWidth="1"/>
    <col min="346" max="346" width="5.26953125" style="11" customWidth="1"/>
    <col min="347" max="347" width="6" style="11" customWidth="1"/>
    <col min="348" max="348" width="5.7265625" style="11" customWidth="1"/>
    <col min="349" max="353" width="12.1796875" style="11" bestFit="1" customWidth="1"/>
    <col min="354" max="354" width="9.81640625" style="11" bestFit="1" customWidth="1"/>
    <col min="355" max="355" width="11" style="11" bestFit="1" customWidth="1"/>
    <col min="356" max="356" width="11.26953125" style="11" bestFit="1" customWidth="1"/>
    <col min="357" max="357" width="11" style="11" bestFit="1" customWidth="1"/>
    <col min="358" max="359" width="9.81640625" style="11" bestFit="1" customWidth="1"/>
    <col min="360" max="360" width="10.26953125" style="11" bestFit="1" customWidth="1"/>
    <col min="361" max="361" width="12.1796875" style="11" bestFit="1" customWidth="1"/>
    <col min="362" max="362" width="11" style="11" bestFit="1" customWidth="1"/>
    <col min="363" max="363" width="12.1796875" style="11" bestFit="1" customWidth="1"/>
    <col min="364" max="364" width="13.81640625" style="11" bestFit="1" customWidth="1"/>
    <col min="365" max="365" width="9.81640625" style="11" bestFit="1" customWidth="1"/>
    <col min="366" max="366" width="13.81640625" style="11" bestFit="1" customWidth="1"/>
    <col min="367" max="367" width="10.81640625" style="11" bestFit="1" customWidth="1"/>
    <col min="368" max="368" width="12.1796875" style="11" bestFit="1" customWidth="1"/>
    <col min="369" max="371" width="11" style="11" bestFit="1" customWidth="1"/>
    <col min="372" max="372" width="14.26953125" style="11" customWidth="1"/>
    <col min="373" max="376" width="10.81640625" style="11" customWidth="1"/>
    <col min="377" max="377" width="9.54296875" style="11" customWidth="1"/>
    <col min="378" max="379" width="6.7265625" style="11" customWidth="1"/>
    <col min="380" max="386" width="8.7265625" style="11" customWidth="1"/>
    <col min="387" max="387" width="9.7265625" style="11" bestFit="1" customWidth="1"/>
    <col min="388" max="388" width="38.54296875" style="11" bestFit="1" customWidth="1"/>
    <col min="389" max="389" width="8.7265625" style="11" bestFit="1" customWidth="1"/>
    <col min="390" max="390" width="11.1796875" style="11" bestFit="1" customWidth="1"/>
    <col min="391" max="391" width="7.7265625" style="11" bestFit="1" customWidth="1"/>
    <col min="392" max="392" width="9.453125" style="11" bestFit="1" customWidth="1"/>
    <col min="393" max="393" width="8.7265625" style="11" bestFit="1" customWidth="1"/>
    <col min="394" max="394" width="10.453125" style="11" bestFit="1" customWidth="1"/>
    <col min="395" max="395" width="9" style="11" bestFit="1" customWidth="1"/>
    <col min="396" max="396" width="9.54296875" style="11" bestFit="1" customWidth="1"/>
    <col min="397" max="397" width="10.54296875" style="11" bestFit="1" customWidth="1"/>
    <col min="398" max="398" width="8.54296875" style="11" bestFit="1" customWidth="1"/>
    <col min="399" max="399" width="10.54296875" style="11" bestFit="1" customWidth="1"/>
    <col min="400" max="400" width="11" style="11" bestFit="1" customWidth="1"/>
    <col min="401" max="401" width="16.54296875" style="11" bestFit="1" customWidth="1"/>
    <col min="402" max="402" width="11" style="11" bestFit="1" customWidth="1"/>
    <col min="403" max="403" width="10.26953125" style="11" bestFit="1" customWidth="1"/>
    <col min="404" max="404" width="12.453125" style="11" bestFit="1" customWidth="1"/>
    <col min="405" max="405" width="10.54296875" style="11" bestFit="1" customWidth="1"/>
    <col min="406" max="406" width="9" style="11" bestFit="1" customWidth="1"/>
    <col min="407" max="407" width="10.54296875" style="11" bestFit="1" customWidth="1"/>
    <col min="408" max="408" width="11.1796875" style="11" bestFit="1" customWidth="1"/>
    <col min="409" max="409" width="11.453125" style="11" bestFit="1" customWidth="1"/>
    <col min="410" max="410" width="12.7265625" style="11" bestFit="1" customWidth="1"/>
    <col min="411" max="411" width="13.453125" style="11" bestFit="1" customWidth="1"/>
    <col min="412" max="412" width="11.81640625" style="11" bestFit="1" customWidth="1"/>
    <col min="413" max="413" width="10.7265625" style="11" bestFit="1" customWidth="1"/>
    <col min="414" max="414" width="8.81640625" style="11" bestFit="1" customWidth="1"/>
    <col min="415" max="415" width="10" style="11" bestFit="1" customWidth="1"/>
    <col min="416" max="416" width="13.1796875" style="11" bestFit="1" customWidth="1"/>
    <col min="417" max="417" width="20.7265625" style="11" bestFit="1" customWidth="1"/>
    <col min="418" max="418" width="20.7265625" style="11" customWidth="1"/>
    <col min="419" max="419" width="9.453125" style="11" bestFit="1" customWidth="1"/>
    <col min="420" max="421" width="9.26953125" style="11" bestFit="1" customWidth="1"/>
    <col min="422" max="422" width="10.26953125" style="11" bestFit="1" customWidth="1"/>
    <col min="423" max="432" width="9.26953125" style="11" bestFit="1" customWidth="1"/>
    <col min="433" max="433" width="10.26953125" style="11" bestFit="1" customWidth="1"/>
    <col min="434" max="437" width="9.26953125" style="11" bestFit="1" customWidth="1"/>
    <col min="438" max="438" width="11.26953125" style="11" bestFit="1" customWidth="1"/>
    <col min="439" max="451" width="8.7265625" style="11" customWidth="1"/>
    <col min="452" max="452" width="11" style="11" bestFit="1" customWidth="1"/>
    <col min="453" max="453" width="4.7265625" style="11" customWidth="1"/>
    <col min="454" max="454" width="25.26953125" style="11" customWidth="1"/>
    <col min="455" max="455" width="23" style="11" customWidth="1"/>
    <col min="456" max="456" width="10.26953125" style="11" bestFit="1" customWidth="1"/>
    <col min="457" max="457" width="0" style="11" hidden="1" customWidth="1"/>
    <col min="458" max="458" width="31.7265625" style="11" customWidth="1"/>
    <col min="459" max="459" width="6" style="11" customWidth="1"/>
    <col min="460" max="461" width="10.26953125" style="11" bestFit="1" customWidth="1"/>
    <col min="462" max="469" width="8.7265625" style="11" customWidth="1"/>
    <col min="470" max="470" width="10.26953125" style="11" bestFit="1" customWidth="1"/>
    <col min="471" max="552" width="8.7265625" style="11" customWidth="1"/>
    <col min="553" max="553" width="9.1796875" style="11"/>
    <col min="554" max="554" width="4.7265625" style="11" customWidth="1"/>
    <col min="555" max="555" width="3.54296875" style="11" customWidth="1"/>
    <col min="556" max="556" width="5.54296875" style="11" customWidth="1"/>
    <col min="557" max="557" width="8.7265625" style="11" customWidth="1"/>
    <col min="558" max="558" width="7.453125" style="11" customWidth="1"/>
    <col min="559" max="559" width="11.81640625" style="11" customWidth="1"/>
    <col min="560" max="560" width="8.26953125" style="11" customWidth="1"/>
    <col min="561" max="561" width="4.7265625" style="11" customWidth="1"/>
    <col min="562" max="562" width="0" style="11" hidden="1" customWidth="1"/>
    <col min="563" max="563" width="3.26953125" style="11" customWidth="1"/>
    <col min="564" max="564" width="0" style="11" hidden="1" customWidth="1"/>
    <col min="565" max="565" width="12" style="11" customWidth="1"/>
    <col min="566" max="566" width="12.81640625" style="11" customWidth="1"/>
    <col min="567" max="567" width="37.7265625" style="11" customWidth="1"/>
    <col min="568" max="569" width="8.453125" style="11" customWidth="1"/>
    <col min="570" max="570" width="8.54296875" style="11" customWidth="1"/>
    <col min="571" max="571" width="8.26953125" style="11" customWidth="1"/>
    <col min="572" max="572" width="12.26953125" style="11" customWidth="1"/>
    <col min="573" max="575" width="5.453125" style="11" customWidth="1"/>
    <col min="576" max="576" width="6.1796875" style="11" customWidth="1"/>
    <col min="577" max="577" width="5.1796875" style="11" customWidth="1"/>
    <col min="578" max="578" width="6.26953125" style="11" customWidth="1"/>
    <col min="579" max="579" width="6.7265625" style="11" customWidth="1"/>
    <col min="580" max="580" width="6.1796875" style="11" customWidth="1"/>
    <col min="581" max="581" width="6.54296875" style="11" customWidth="1"/>
    <col min="582" max="582" width="6.7265625" style="11" customWidth="1"/>
    <col min="583" max="583" width="5.7265625" style="11" customWidth="1"/>
    <col min="584" max="584" width="6.1796875" style="11" customWidth="1"/>
    <col min="585" max="585" width="6" style="11" customWidth="1"/>
    <col min="586" max="586" width="6.26953125" style="11" customWidth="1"/>
    <col min="587" max="587" width="6.54296875" style="11" customWidth="1"/>
    <col min="588" max="588" width="6.1796875" style="11" customWidth="1"/>
    <col min="589" max="589" width="5.26953125" style="11" customWidth="1"/>
    <col min="590" max="590" width="6.453125" style="11" customWidth="1"/>
    <col min="591" max="592" width="6.1796875" style="11" customWidth="1"/>
    <col min="593" max="593" width="6.26953125" style="11" customWidth="1"/>
    <col min="594" max="594" width="5.26953125" style="11" customWidth="1"/>
    <col min="595" max="595" width="6.81640625" style="11" customWidth="1"/>
    <col min="596" max="596" width="6.54296875" style="11" customWidth="1"/>
    <col min="597" max="597" width="6" style="11" customWidth="1"/>
    <col min="598" max="598" width="7" style="11" customWidth="1"/>
    <col min="599" max="599" width="6.26953125" style="11" customWidth="1"/>
    <col min="600" max="600" width="6.54296875" style="11" customWidth="1"/>
    <col min="601" max="601" width="6.7265625" style="11" customWidth="1"/>
    <col min="602" max="602" width="5.26953125" style="11" customWidth="1"/>
    <col min="603" max="603" width="6" style="11" customWidth="1"/>
    <col min="604" max="604" width="5.7265625" style="11" customWidth="1"/>
    <col min="605" max="609" width="12.1796875" style="11" bestFit="1" customWidth="1"/>
    <col min="610" max="610" width="9.81640625" style="11" bestFit="1" customWidth="1"/>
    <col min="611" max="611" width="11" style="11" bestFit="1" customWidth="1"/>
    <col min="612" max="612" width="11.26953125" style="11" bestFit="1" customWidth="1"/>
    <col min="613" max="613" width="11" style="11" bestFit="1" customWidth="1"/>
    <col min="614" max="615" width="9.81640625" style="11" bestFit="1" customWidth="1"/>
    <col min="616" max="616" width="10.26953125" style="11" bestFit="1" customWidth="1"/>
    <col min="617" max="617" width="12.1796875" style="11" bestFit="1" customWidth="1"/>
    <col min="618" max="618" width="11" style="11" bestFit="1" customWidth="1"/>
    <col min="619" max="619" width="12.1796875" style="11" bestFit="1" customWidth="1"/>
    <col min="620" max="620" width="13.81640625" style="11" bestFit="1" customWidth="1"/>
    <col min="621" max="621" width="9.81640625" style="11" bestFit="1" customWidth="1"/>
    <col min="622" max="622" width="13.81640625" style="11" bestFit="1" customWidth="1"/>
    <col min="623" max="623" width="10.81640625" style="11" bestFit="1" customWidth="1"/>
    <col min="624" max="624" width="12.1796875" style="11" bestFit="1" customWidth="1"/>
    <col min="625" max="627" width="11" style="11" bestFit="1" customWidth="1"/>
    <col min="628" max="628" width="14.26953125" style="11" customWidth="1"/>
    <col min="629" max="632" width="10.81640625" style="11" customWidth="1"/>
    <col min="633" max="633" width="9.54296875" style="11" customWidth="1"/>
    <col min="634" max="635" width="6.7265625" style="11" customWidth="1"/>
    <col min="636" max="642" width="8.7265625" style="11" customWidth="1"/>
    <col min="643" max="643" width="9.7265625" style="11" bestFit="1" customWidth="1"/>
    <col min="644" max="644" width="38.54296875" style="11" bestFit="1" customWidth="1"/>
    <col min="645" max="645" width="8.7265625" style="11" bestFit="1" customWidth="1"/>
    <col min="646" max="646" width="11.1796875" style="11" bestFit="1" customWidth="1"/>
    <col min="647" max="647" width="7.7265625" style="11" bestFit="1" customWidth="1"/>
    <col min="648" max="648" width="9.453125" style="11" bestFit="1" customWidth="1"/>
    <col min="649" max="649" width="8.7265625" style="11" bestFit="1" customWidth="1"/>
    <col min="650" max="650" width="10.453125" style="11" bestFit="1" customWidth="1"/>
    <col min="651" max="651" width="9" style="11" bestFit="1" customWidth="1"/>
    <col min="652" max="652" width="9.54296875" style="11" bestFit="1" customWidth="1"/>
    <col min="653" max="653" width="10.54296875" style="11" bestFit="1" customWidth="1"/>
    <col min="654" max="654" width="8.54296875" style="11" bestFit="1" customWidth="1"/>
    <col min="655" max="655" width="10.54296875" style="11" bestFit="1" customWidth="1"/>
    <col min="656" max="656" width="11" style="11" bestFit="1" customWidth="1"/>
    <col min="657" max="657" width="16.54296875" style="11" bestFit="1" customWidth="1"/>
    <col min="658" max="658" width="11" style="11" bestFit="1" customWidth="1"/>
    <col min="659" max="659" width="10.26953125" style="11" bestFit="1" customWidth="1"/>
    <col min="660" max="660" width="12.453125" style="11" bestFit="1" customWidth="1"/>
    <col min="661" max="661" width="10.54296875" style="11" bestFit="1" customWidth="1"/>
    <col min="662" max="662" width="9" style="11" bestFit="1" customWidth="1"/>
    <col min="663" max="663" width="10.54296875" style="11" bestFit="1" customWidth="1"/>
    <col min="664" max="664" width="11.1796875" style="11" bestFit="1" customWidth="1"/>
    <col min="665" max="665" width="11.453125" style="11" bestFit="1" customWidth="1"/>
    <col min="666" max="666" width="12.7265625" style="11" bestFit="1" customWidth="1"/>
    <col min="667" max="667" width="13.453125" style="11" bestFit="1" customWidth="1"/>
    <col min="668" max="668" width="11.81640625" style="11" bestFit="1" customWidth="1"/>
    <col min="669" max="669" width="10.7265625" style="11" bestFit="1" customWidth="1"/>
    <col min="670" max="670" width="8.81640625" style="11" bestFit="1" customWidth="1"/>
    <col min="671" max="671" width="10" style="11" bestFit="1" customWidth="1"/>
    <col min="672" max="672" width="13.1796875" style="11" bestFit="1" customWidth="1"/>
    <col min="673" max="673" width="20.7265625" style="11" bestFit="1" customWidth="1"/>
    <col min="674" max="674" width="20.7265625" style="11" customWidth="1"/>
    <col min="675" max="675" width="9.453125" style="11" bestFit="1" customWidth="1"/>
    <col min="676" max="677" width="9.26953125" style="11" bestFit="1" customWidth="1"/>
    <col min="678" max="678" width="10.26953125" style="11" bestFit="1" customWidth="1"/>
    <col min="679" max="688" width="9.26953125" style="11" bestFit="1" customWidth="1"/>
    <col min="689" max="689" width="10.26953125" style="11" bestFit="1" customWidth="1"/>
    <col min="690" max="693" width="9.26953125" style="11" bestFit="1" customWidth="1"/>
    <col min="694" max="694" width="11.26953125" style="11" bestFit="1" customWidth="1"/>
    <col min="695" max="707" width="8.7265625" style="11" customWidth="1"/>
    <col min="708" max="708" width="11" style="11" bestFit="1" customWidth="1"/>
    <col min="709" max="709" width="4.7265625" style="11" customWidth="1"/>
    <col min="710" max="710" width="25.26953125" style="11" customWidth="1"/>
    <col min="711" max="711" width="23" style="11" customWidth="1"/>
    <col min="712" max="712" width="10.26953125" style="11" bestFit="1" customWidth="1"/>
    <col min="713" max="713" width="0" style="11" hidden="1" customWidth="1"/>
    <col min="714" max="714" width="31.7265625" style="11" customWidth="1"/>
    <col min="715" max="715" width="6" style="11" customWidth="1"/>
    <col min="716" max="717" width="10.26953125" style="11" bestFit="1" customWidth="1"/>
    <col min="718" max="725" width="8.7265625" style="11" customWidth="1"/>
    <col min="726" max="726" width="10.26953125" style="11" bestFit="1" customWidth="1"/>
    <col min="727" max="808" width="8.7265625" style="11" customWidth="1"/>
    <col min="809" max="809" width="9.1796875" style="11"/>
    <col min="810" max="810" width="4.7265625" style="11" customWidth="1"/>
    <col min="811" max="811" width="3.54296875" style="11" customWidth="1"/>
    <col min="812" max="812" width="5.54296875" style="11" customWidth="1"/>
    <col min="813" max="813" width="8.7265625" style="11" customWidth="1"/>
    <col min="814" max="814" width="7.453125" style="11" customWidth="1"/>
    <col min="815" max="815" width="11.81640625" style="11" customWidth="1"/>
    <col min="816" max="816" width="8.26953125" style="11" customWidth="1"/>
    <col min="817" max="817" width="4.7265625" style="11" customWidth="1"/>
    <col min="818" max="818" width="0" style="11" hidden="1" customWidth="1"/>
    <col min="819" max="819" width="3.26953125" style="11" customWidth="1"/>
    <col min="820" max="820" width="0" style="11" hidden="1" customWidth="1"/>
    <col min="821" max="821" width="12" style="11" customWidth="1"/>
    <col min="822" max="822" width="12.81640625" style="11" customWidth="1"/>
    <col min="823" max="823" width="37.7265625" style="11" customWidth="1"/>
    <col min="824" max="825" width="8.453125" style="11" customWidth="1"/>
    <col min="826" max="826" width="8.54296875" style="11" customWidth="1"/>
    <col min="827" max="827" width="8.26953125" style="11" customWidth="1"/>
    <col min="828" max="828" width="12.26953125" style="11" customWidth="1"/>
    <col min="829" max="831" width="5.453125" style="11" customWidth="1"/>
    <col min="832" max="832" width="6.1796875" style="11" customWidth="1"/>
    <col min="833" max="833" width="5.1796875" style="11" customWidth="1"/>
    <col min="834" max="834" width="6.26953125" style="11" customWidth="1"/>
    <col min="835" max="835" width="6.7265625" style="11" customWidth="1"/>
    <col min="836" max="836" width="6.1796875" style="11" customWidth="1"/>
    <col min="837" max="837" width="6.54296875" style="11" customWidth="1"/>
    <col min="838" max="838" width="6.7265625" style="11" customWidth="1"/>
    <col min="839" max="839" width="5.7265625" style="11" customWidth="1"/>
    <col min="840" max="840" width="6.1796875" style="11" customWidth="1"/>
    <col min="841" max="841" width="6" style="11" customWidth="1"/>
    <col min="842" max="842" width="6.26953125" style="11" customWidth="1"/>
    <col min="843" max="843" width="6.54296875" style="11" customWidth="1"/>
    <col min="844" max="844" width="6.1796875" style="11" customWidth="1"/>
    <col min="845" max="845" width="5.26953125" style="11" customWidth="1"/>
    <col min="846" max="846" width="6.453125" style="11" customWidth="1"/>
    <col min="847" max="848" width="6.1796875" style="11" customWidth="1"/>
    <col min="849" max="849" width="6.26953125" style="11" customWidth="1"/>
    <col min="850" max="850" width="5.26953125" style="11" customWidth="1"/>
    <col min="851" max="851" width="6.81640625" style="11" customWidth="1"/>
    <col min="852" max="852" width="6.54296875" style="11" customWidth="1"/>
    <col min="853" max="853" width="6" style="11" customWidth="1"/>
    <col min="854" max="854" width="7" style="11" customWidth="1"/>
    <col min="855" max="855" width="6.26953125" style="11" customWidth="1"/>
    <col min="856" max="856" width="6.54296875" style="11" customWidth="1"/>
    <col min="857" max="857" width="6.7265625" style="11" customWidth="1"/>
    <col min="858" max="858" width="5.26953125" style="11" customWidth="1"/>
    <col min="859" max="859" width="6" style="11" customWidth="1"/>
    <col min="860" max="860" width="5.7265625" style="11" customWidth="1"/>
    <col min="861" max="865" width="12.1796875" style="11" bestFit="1" customWidth="1"/>
    <col min="866" max="866" width="9.81640625" style="11" bestFit="1" customWidth="1"/>
    <col min="867" max="867" width="11" style="11" bestFit="1" customWidth="1"/>
    <col min="868" max="868" width="11.26953125" style="11" bestFit="1" customWidth="1"/>
    <col min="869" max="869" width="11" style="11" bestFit="1" customWidth="1"/>
    <col min="870" max="871" width="9.81640625" style="11" bestFit="1" customWidth="1"/>
    <col min="872" max="872" width="10.26953125" style="11" bestFit="1" customWidth="1"/>
    <col min="873" max="873" width="12.1796875" style="11" bestFit="1" customWidth="1"/>
    <col min="874" max="874" width="11" style="11" bestFit="1" customWidth="1"/>
    <col min="875" max="875" width="12.1796875" style="11" bestFit="1" customWidth="1"/>
    <col min="876" max="876" width="13.81640625" style="11" bestFit="1" customWidth="1"/>
    <col min="877" max="877" width="9.81640625" style="11" bestFit="1" customWidth="1"/>
    <col min="878" max="878" width="13.81640625" style="11" bestFit="1" customWidth="1"/>
    <col min="879" max="879" width="10.81640625" style="11" bestFit="1" customWidth="1"/>
    <col min="880" max="880" width="12.1796875" style="11" bestFit="1" customWidth="1"/>
    <col min="881" max="883" width="11" style="11" bestFit="1" customWidth="1"/>
    <col min="884" max="884" width="14.26953125" style="11" customWidth="1"/>
    <col min="885" max="888" width="10.81640625" style="11" customWidth="1"/>
    <col min="889" max="889" width="9.54296875" style="11" customWidth="1"/>
    <col min="890" max="891" width="6.7265625" style="11" customWidth="1"/>
    <col min="892" max="898" width="8.7265625" style="11" customWidth="1"/>
    <col min="899" max="899" width="9.7265625" style="11" bestFit="1" customWidth="1"/>
    <col min="900" max="900" width="38.54296875" style="11" bestFit="1" customWidth="1"/>
    <col min="901" max="901" width="8.7265625" style="11" bestFit="1" customWidth="1"/>
    <col min="902" max="902" width="11.1796875" style="11" bestFit="1" customWidth="1"/>
    <col min="903" max="903" width="7.7265625" style="11" bestFit="1" customWidth="1"/>
    <col min="904" max="904" width="9.453125" style="11" bestFit="1" customWidth="1"/>
    <col min="905" max="905" width="8.7265625" style="11" bestFit="1" customWidth="1"/>
    <col min="906" max="906" width="10.453125" style="11" bestFit="1" customWidth="1"/>
    <col min="907" max="907" width="9" style="11" bestFit="1" customWidth="1"/>
    <col min="908" max="908" width="9.54296875" style="11" bestFit="1" customWidth="1"/>
    <col min="909" max="909" width="10.54296875" style="11" bestFit="1" customWidth="1"/>
    <col min="910" max="910" width="8.54296875" style="11" bestFit="1" customWidth="1"/>
    <col min="911" max="911" width="10.54296875" style="11" bestFit="1" customWidth="1"/>
    <col min="912" max="912" width="11" style="11" bestFit="1" customWidth="1"/>
    <col min="913" max="913" width="16.54296875" style="11" bestFit="1" customWidth="1"/>
    <col min="914" max="914" width="11" style="11" bestFit="1" customWidth="1"/>
    <col min="915" max="915" width="10.26953125" style="11" bestFit="1" customWidth="1"/>
    <col min="916" max="916" width="12.453125" style="11" bestFit="1" customWidth="1"/>
    <col min="917" max="917" width="10.54296875" style="11" bestFit="1" customWidth="1"/>
    <col min="918" max="918" width="9" style="11" bestFit="1" customWidth="1"/>
    <col min="919" max="919" width="10.54296875" style="11" bestFit="1" customWidth="1"/>
    <col min="920" max="920" width="11.1796875" style="11" bestFit="1" customWidth="1"/>
    <col min="921" max="921" width="11.453125" style="11" bestFit="1" customWidth="1"/>
    <col min="922" max="922" width="12.7265625" style="11" bestFit="1" customWidth="1"/>
    <col min="923" max="923" width="13.453125" style="11" bestFit="1" customWidth="1"/>
    <col min="924" max="924" width="11.81640625" style="11" bestFit="1" customWidth="1"/>
    <col min="925" max="925" width="10.7265625" style="11" bestFit="1" customWidth="1"/>
    <col min="926" max="926" width="8.81640625" style="11" bestFit="1" customWidth="1"/>
    <col min="927" max="927" width="10" style="11" bestFit="1" customWidth="1"/>
    <col min="928" max="928" width="13.1796875" style="11" bestFit="1" customWidth="1"/>
    <col min="929" max="929" width="20.7265625" style="11" bestFit="1" customWidth="1"/>
    <col min="930" max="930" width="20.7265625" style="11" customWidth="1"/>
    <col min="931" max="931" width="9.453125" style="11" bestFit="1" customWidth="1"/>
    <col min="932" max="933" width="9.26953125" style="11" bestFit="1" customWidth="1"/>
    <col min="934" max="934" width="10.26953125" style="11" bestFit="1" customWidth="1"/>
    <col min="935" max="944" width="9.26953125" style="11" bestFit="1" customWidth="1"/>
    <col min="945" max="945" width="10.26953125" style="11" bestFit="1" customWidth="1"/>
    <col min="946" max="949" width="9.26953125" style="11" bestFit="1" customWidth="1"/>
    <col min="950" max="950" width="11.26953125" style="11" bestFit="1" customWidth="1"/>
    <col min="951" max="963" width="8.7265625" style="11" customWidth="1"/>
    <col min="964" max="964" width="11" style="11" bestFit="1" customWidth="1"/>
    <col min="965" max="965" width="4.7265625" style="11" customWidth="1"/>
    <col min="966" max="966" width="25.26953125" style="11" customWidth="1"/>
    <col min="967" max="967" width="23" style="11" customWidth="1"/>
    <col min="968" max="968" width="10.26953125" style="11" bestFit="1" customWidth="1"/>
    <col min="969" max="969" width="0" style="11" hidden="1" customWidth="1"/>
    <col min="970" max="970" width="31.7265625" style="11" customWidth="1"/>
    <col min="971" max="971" width="6" style="11" customWidth="1"/>
    <col min="972" max="973" width="10.26953125" style="11" bestFit="1" customWidth="1"/>
    <col min="974" max="981" width="8.7265625" style="11" customWidth="1"/>
    <col min="982" max="982" width="10.26953125" style="11" bestFit="1" customWidth="1"/>
    <col min="983" max="1064" width="8.7265625" style="11" customWidth="1"/>
    <col min="1065" max="1065" width="9.1796875" style="11"/>
    <col min="1066" max="1066" width="4.7265625" style="11" customWidth="1"/>
    <col min="1067" max="1067" width="3.54296875" style="11" customWidth="1"/>
    <col min="1068" max="1068" width="5.54296875" style="11" customWidth="1"/>
    <col min="1069" max="1069" width="8.7265625" style="11" customWidth="1"/>
    <col min="1070" max="1070" width="7.453125" style="11" customWidth="1"/>
    <col min="1071" max="1071" width="11.81640625" style="11" customWidth="1"/>
    <col min="1072" max="1072" width="8.26953125" style="11" customWidth="1"/>
    <col min="1073" max="1073" width="4.7265625" style="11" customWidth="1"/>
    <col min="1074" max="1074" width="0" style="11" hidden="1" customWidth="1"/>
    <col min="1075" max="1075" width="3.26953125" style="11" customWidth="1"/>
    <col min="1076" max="1076" width="0" style="11" hidden="1" customWidth="1"/>
    <col min="1077" max="1077" width="12" style="11" customWidth="1"/>
    <col min="1078" max="1078" width="12.81640625" style="11" customWidth="1"/>
    <col min="1079" max="1079" width="37.7265625" style="11" customWidth="1"/>
    <col min="1080" max="1081" width="8.453125" style="11" customWidth="1"/>
    <col min="1082" max="1082" width="8.54296875" style="11" customWidth="1"/>
    <col min="1083" max="1083" width="8.26953125" style="11" customWidth="1"/>
    <col min="1084" max="1084" width="12.26953125" style="11" customWidth="1"/>
    <col min="1085" max="1087" width="5.453125" style="11" customWidth="1"/>
    <col min="1088" max="1088" width="6.1796875" style="11" customWidth="1"/>
    <col min="1089" max="1089" width="5.1796875" style="11" customWidth="1"/>
    <col min="1090" max="1090" width="6.26953125" style="11" customWidth="1"/>
    <col min="1091" max="1091" width="6.7265625" style="11" customWidth="1"/>
    <col min="1092" max="1092" width="6.1796875" style="11" customWidth="1"/>
    <col min="1093" max="1093" width="6.54296875" style="11" customWidth="1"/>
    <col min="1094" max="1094" width="6.7265625" style="11" customWidth="1"/>
    <col min="1095" max="1095" width="5.7265625" style="11" customWidth="1"/>
    <col min="1096" max="1096" width="6.1796875" style="11" customWidth="1"/>
    <col min="1097" max="1097" width="6" style="11" customWidth="1"/>
    <col min="1098" max="1098" width="6.26953125" style="11" customWidth="1"/>
    <col min="1099" max="1099" width="6.54296875" style="11" customWidth="1"/>
    <col min="1100" max="1100" width="6.1796875" style="11" customWidth="1"/>
    <col min="1101" max="1101" width="5.26953125" style="11" customWidth="1"/>
    <col min="1102" max="1102" width="6.453125" style="11" customWidth="1"/>
    <col min="1103" max="1104" width="6.1796875" style="11" customWidth="1"/>
    <col min="1105" max="1105" width="6.26953125" style="11" customWidth="1"/>
    <col min="1106" max="1106" width="5.26953125" style="11" customWidth="1"/>
    <col min="1107" max="1107" width="6.81640625" style="11" customWidth="1"/>
    <col min="1108" max="1108" width="6.54296875" style="11" customWidth="1"/>
    <col min="1109" max="1109" width="6" style="11" customWidth="1"/>
    <col min="1110" max="1110" width="7" style="11" customWidth="1"/>
    <col min="1111" max="1111" width="6.26953125" style="11" customWidth="1"/>
    <col min="1112" max="1112" width="6.54296875" style="11" customWidth="1"/>
    <col min="1113" max="1113" width="6.7265625" style="11" customWidth="1"/>
    <col min="1114" max="1114" width="5.26953125" style="11" customWidth="1"/>
    <col min="1115" max="1115" width="6" style="11" customWidth="1"/>
    <col min="1116" max="1116" width="5.7265625" style="11" customWidth="1"/>
    <col min="1117" max="1121" width="12.1796875" style="11" bestFit="1" customWidth="1"/>
    <col min="1122" max="1122" width="9.81640625" style="11" bestFit="1" customWidth="1"/>
    <col min="1123" max="1123" width="11" style="11" bestFit="1" customWidth="1"/>
    <col min="1124" max="1124" width="11.26953125" style="11" bestFit="1" customWidth="1"/>
    <col min="1125" max="1125" width="11" style="11" bestFit="1" customWidth="1"/>
    <col min="1126" max="1127" width="9.81640625" style="11" bestFit="1" customWidth="1"/>
    <col min="1128" max="1128" width="10.26953125" style="11" bestFit="1" customWidth="1"/>
    <col min="1129" max="1129" width="12.1796875" style="11" bestFit="1" customWidth="1"/>
    <col min="1130" max="1130" width="11" style="11" bestFit="1" customWidth="1"/>
    <col min="1131" max="1131" width="12.1796875" style="11" bestFit="1" customWidth="1"/>
    <col min="1132" max="1132" width="13.81640625" style="11" bestFit="1" customWidth="1"/>
    <col min="1133" max="1133" width="9.81640625" style="11" bestFit="1" customWidth="1"/>
    <col min="1134" max="1134" width="13.81640625" style="11" bestFit="1" customWidth="1"/>
    <col min="1135" max="1135" width="10.81640625" style="11" bestFit="1" customWidth="1"/>
    <col min="1136" max="1136" width="12.1796875" style="11" bestFit="1" customWidth="1"/>
    <col min="1137" max="1139" width="11" style="11" bestFit="1" customWidth="1"/>
    <col min="1140" max="1140" width="14.26953125" style="11" customWidth="1"/>
    <col min="1141" max="1144" width="10.81640625" style="11" customWidth="1"/>
    <col min="1145" max="1145" width="9.54296875" style="11" customWidth="1"/>
    <col min="1146" max="1147" width="6.7265625" style="11" customWidth="1"/>
    <col min="1148" max="1154" width="8.7265625" style="11" customWidth="1"/>
    <col min="1155" max="1155" width="9.7265625" style="11" bestFit="1" customWidth="1"/>
    <col min="1156" max="1156" width="38.54296875" style="11" bestFit="1" customWidth="1"/>
    <col min="1157" max="1157" width="8.7265625" style="11" bestFit="1" customWidth="1"/>
    <col min="1158" max="1158" width="11.1796875" style="11" bestFit="1" customWidth="1"/>
    <col min="1159" max="1159" width="7.7265625" style="11" bestFit="1" customWidth="1"/>
    <col min="1160" max="1160" width="9.453125" style="11" bestFit="1" customWidth="1"/>
    <col min="1161" max="1161" width="8.7265625" style="11" bestFit="1" customWidth="1"/>
    <col min="1162" max="1162" width="10.453125" style="11" bestFit="1" customWidth="1"/>
    <col min="1163" max="1163" width="9" style="11" bestFit="1" customWidth="1"/>
    <col min="1164" max="1164" width="9.54296875" style="11" bestFit="1" customWidth="1"/>
    <col min="1165" max="1165" width="10.54296875" style="11" bestFit="1" customWidth="1"/>
    <col min="1166" max="1166" width="8.54296875" style="11" bestFit="1" customWidth="1"/>
    <col min="1167" max="1167" width="10.54296875" style="11" bestFit="1" customWidth="1"/>
    <col min="1168" max="1168" width="11" style="11" bestFit="1" customWidth="1"/>
    <col min="1169" max="1169" width="16.54296875" style="11" bestFit="1" customWidth="1"/>
    <col min="1170" max="1170" width="11" style="11" bestFit="1" customWidth="1"/>
    <col min="1171" max="1171" width="10.26953125" style="11" bestFit="1" customWidth="1"/>
    <col min="1172" max="1172" width="12.453125" style="11" bestFit="1" customWidth="1"/>
    <col min="1173" max="1173" width="10.54296875" style="11" bestFit="1" customWidth="1"/>
    <col min="1174" max="1174" width="9" style="11" bestFit="1" customWidth="1"/>
    <col min="1175" max="1175" width="10.54296875" style="11" bestFit="1" customWidth="1"/>
    <col min="1176" max="1176" width="11.1796875" style="11" bestFit="1" customWidth="1"/>
    <col min="1177" max="1177" width="11.453125" style="11" bestFit="1" customWidth="1"/>
    <col min="1178" max="1178" width="12.7265625" style="11" bestFit="1" customWidth="1"/>
    <col min="1179" max="1179" width="13.453125" style="11" bestFit="1" customWidth="1"/>
    <col min="1180" max="1180" width="11.81640625" style="11" bestFit="1" customWidth="1"/>
    <col min="1181" max="1181" width="10.7265625" style="11" bestFit="1" customWidth="1"/>
    <col min="1182" max="1182" width="8.81640625" style="11" bestFit="1" customWidth="1"/>
    <col min="1183" max="1183" width="10" style="11" bestFit="1" customWidth="1"/>
    <col min="1184" max="1184" width="13.1796875" style="11" bestFit="1" customWidth="1"/>
    <col min="1185" max="1185" width="20.7265625" style="11" bestFit="1" customWidth="1"/>
    <col min="1186" max="1186" width="20.7265625" style="11" customWidth="1"/>
    <col min="1187" max="1187" width="9.453125" style="11" bestFit="1" customWidth="1"/>
    <col min="1188" max="1189" width="9.26953125" style="11" bestFit="1" customWidth="1"/>
    <col min="1190" max="1190" width="10.26953125" style="11" bestFit="1" customWidth="1"/>
    <col min="1191" max="1200" width="9.26953125" style="11" bestFit="1" customWidth="1"/>
    <col min="1201" max="1201" width="10.26953125" style="11" bestFit="1" customWidth="1"/>
    <col min="1202" max="1205" width="9.26953125" style="11" bestFit="1" customWidth="1"/>
    <col min="1206" max="1206" width="11.26953125" style="11" bestFit="1" customWidth="1"/>
    <col min="1207" max="1219" width="8.7265625" style="11" customWidth="1"/>
    <col min="1220" max="1220" width="11" style="11" bestFit="1" customWidth="1"/>
    <col min="1221" max="1221" width="4.7265625" style="11" customWidth="1"/>
    <col min="1222" max="1222" width="25.26953125" style="11" customWidth="1"/>
    <col min="1223" max="1223" width="23" style="11" customWidth="1"/>
    <col min="1224" max="1224" width="10.26953125" style="11" bestFit="1" customWidth="1"/>
    <col min="1225" max="1225" width="0" style="11" hidden="1" customWidth="1"/>
    <col min="1226" max="1226" width="31.7265625" style="11" customWidth="1"/>
    <col min="1227" max="1227" width="6" style="11" customWidth="1"/>
    <col min="1228" max="1229" width="10.26953125" style="11" bestFit="1" customWidth="1"/>
    <col min="1230" max="1237" width="8.7265625" style="11" customWidth="1"/>
    <col min="1238" max="1238" width="10.26953125" style="11" bestFit="1" customWidth="1"/>
    <col min="1239" max="1320" width="8.7265625" style="11" customWidth="1"/>
    <col min="1321" max="1321" width="9.1796875" style="11"/>
    <col min="1322" max="1322" width="4.7265625" style="11" customWidth="1"/>
    <col min="1323" max="1323" width="3.54296875" style="11" customWidth="1"/>
    <col min="1324" max="1324" width="5.54296875" style="11" customWidth="1"/>
    <col min="1325" max="1325" width="8.7265625" style="11" customWidth="1"/>
    <col min="1326" max="1326" width="7.453125" style="11" customWidth="1"/>
    <col min="1327" max="1327" width="11.81640625" style="11" customWidth="1"/>
    <col min="1328" max="1328" width="8.26953125" style="11" customWidth="1"/>
    <col min="1329" max="1329" width="4.7265625" style="11" customWidth="1"/>
    <col min="1330" max="1330" width="0" style="11" hidden="1" customWidth="1"/>
    <col min="1331" max="1331" width="3.26953125" style="11" customWidth="1"/>
    <col min="1332" max="1332" width="0" style="11" hidden="1" customWidth="1"/>
    <col min="1333" max="1333" width="12" style="11" customWidth="1"/>
    <col min="1334" max="1334" width="12.81640625" style="11" customWidth="1"/>
    <col min="1335" max="1335" width="37.7265625" style="11" customWidth="1"/>
    <col min="1336" max="1337" width="8.453125" style="11" customWidth="1"/>
    <col min="1338" max="1338" width="8.54296875" style="11" customWidth="1"/>
    <col min="1339" max="1339" width="8.26953125" style="11" customWidth="1"/>
    <col min="1340" max="1340" width="12.26953125" style="11" customWidth="1"/>
    <col min="1341" max="1343" width="5.453125" style="11" customWidth="1"/>
    <col min="1344" max="1344" width="6.1796875" style="11" customWidth="1"/>
    <col min="1345" max="1345" width="5.1796875" style="11" customWidth="1"/>
    <col min="1346" max="1346" width="6.26953125" style="11" customWidth="1"/>
    <col min="1347" max="1347" width="6.7265625" style="11" customWidth="1"/>
    <col min="1348" max="1348" width="6.1796875" style="11" customWidth="1"/>
    <col min="1349" max="1349" width="6.54296875" style="11" customWidth="1"/>
    <col min="1350" max="1350" width="6.7265625" style="11" customWidth="1"/>
    <col min="1351" max="1351" width="5.7265625" style="11" customWidth="1"/>
    <col min="1352" max="1352" width="6.1796875" style="11" customWidth="1"/>
    <col min="1353" max="1353" width="6" style="11" customWidth="1"/>
    <col min="1354" max="1354" width="6.26953125" style="11" customWidth="1"/>
    <col min="1355" max="1355" width="6.54296875" style="11" customWidth="1"/>
    <col min="1356" max="1356" width="6.1796875" style="11" customWidth="1"/>
    <col min="1357" max="1357" width="5.26953125" style="11" customWidth="1"/>
    <col min="1358" max="1358" width="6.453125" style="11" customWidth="1"/>
    <col min="1359" max="1360" width="6.1796875" style="11" customWidth="1"/>
    <col min="1361" max="1361" width="6.26953125" style="11" customWidth="1"/>
    <col min="1362" max="1362" width="5.26953125" style="11" customWidth="1"/>
    <col min="1363" max="1363" width="6.81640625" style="11" customWidth="1"/>
    <col min="1364" max="1364" width="6.54296875" style="11" customWidth="1"/>
    <col min="1365" max="1365" width="6" style="11" customWidth="1"/>
    <col min="1366" max="1366" width="7" style="11" customWidth="1"/>
    <col min="1367" max="1367" width="6.26953125" style="11" customWidth="1"/>
    <col min="1368" max="1368" width="6.54296875" style="11" customWidth="1"/>
    <col min="1369" max="1369" width="6.7265625" style="11" customWidth="1"/>
    <col min="1370" max="1370" width="5.26953125" style="11" customWidth="1"/>
    <col min="1371" max="1371" width="6" style="11" customWidth="1"/>
    <col min="1372" max="1372" width="5.7265625" style="11" customWidth="1"/>
    <col min="1373" max="1377" width="12.1796875" style="11" bestFit="1" customWidth="1"/>
    <col min="1378" max="1378" width="9.81640625" style="11" bestFit="1" customWidth="1"/>
    <col min="1379" max="1379" width="11" style="11" bestFit="1" customWidth="1"/>
    <col min="1380" max="1380" width="11.26953125" style="11" bestFit="1" customWidth="1"/>
    <col min="1381" max="1381" width="11" style="11" bestFit="1" customWidth="1"/>
    <col min="1382" max="1383" width="9.81640625" style="11" bestFit="1" customWidth="1"/>
    <col min="1384" max="1384" width="10.26953125" style="11" bestFit="1" customWidth="1"/>
    <col min="1385" max="1385" width="12.1796875" style="11" bestFit="1" customWidth="1"/>
    <col min="1386" max="1386" width="11" style="11" bestFit="1" customWidth="1"/>
    <col min="1387" max="1387" width="12.1796875" style="11" bestFit="1" customWidth="1"/>
    <col min="1388" max="1388" width="13.81640625" style="11" bestFit="1" customWidth="1"/>
    <col min="1389" max="1389" width="9.81640625" style="11" bestFit="1" customWidth="1"/>
    <col min="1390" max="1390" width="13.81640625" style="11" bestFit="1" customWidth="1"/>
    <col min="1391" max="1391" width="10.81640625" style="11" bestFit="1" customWidth="1"/>
    <col min="1392" max="1392" width="12.1796875" style="11" bestFit="1" customWidth="1"/>
    <col min="1393" max="1395" width="11" style="11" bestFit="1" customWidth="1"/>
    <col min="1396" max="1396" width="14.26953125" style="11" customWidth="1"/>
    <col min="1397" max="1400" width="10.81640625" style="11" customWidth="1"/>
    <col min="1401" max="1401" width="9.54296875" style="11" customWidth="1"/>
    <col min="1402" max="1403" width="6.7265625" style="11" customWidth="1"/>
    <col min="1404" max="1410" width="8.7265625" style="11" customWidth="1"/>
    <col min="1411" max="1411" width="9.7265625" style="11" bestFit="1" customWidth="1"/>
    <col min="1412" max="1412" width="38.54296875" style="11" bestFit="1" customWidth="1"/>
    <col min="1413" max="1413" width="8.7265625" style="11" bestFit="1" customWidth="1"/>
    <col min="1414" max="1414" width="11.1796875" style="11" bestFit="1" customWidth="1"/>
    <col min="1415" max="1415" width="7.7265625" style="11" bestFit="1" customWidth="1"/>
    <col min="1416" max="1416" width="9.453125" style="11" bestFit="1" customWidth="1"/>
    <col min="1417" max="1417" width="8.7265625" style="11" bestFit="1" customWidth="1"/>
    <col min="1418" max="1418" width="10.453125" style="11" bestFit="1" customWidth="1"/>
    <col min="1419" max="1419" width="9" style="11" bestFit="1" customWidth="1"/>
    <col min="1420" max="1420" width="9.54296875" style="11" bestFit="1" customWidth="1"/>
    <col min="1421" max="1421" width="10.54296875" style="11" bestFit="1" customWidth="1"/>
    <col min="1422" max="1422" width="8.54296875" style="11" bestFit="1" customWidth="1"/>
    <col min="1423" max="1423" width="10.54296875" style="11" bestFit="1" customWidth="1"/>
    <col min="1424" max="1424" width="11" style="11" bestFit="1" customWidth="1"/>
    <col min="1425" max="1425" width="16.54296875" style="11" bestFit="1" customWidth="1"/>
    <col min="1426" max="1426" width="11" style="11" bestFit="1" customWidth="1"/>
    <col min="1427" max="1427" width="10.26953125" style="11" bestFit="1" customWidth="1"/>
    <col min="1428" max="1428" width="12.453125" style="11" bestFit="1" customWidth="1"/>
    <col min="1429" max="1429" width="10.54296875" style="11" bestFit="1" customWidth="1"/>
    <col min="1430" max="1430" width="9" style="11" bestFit="1" customWidth="1"/>
    <col min="1431" max="1431" width="10.54296875" style="11" bestFit="1" customWidth="1"/>
    <col min="1432" max="1432" width="11.1796875" style="11" bestFit="1" customWidth="1"/>
    <col min="1433" max="1433" width="11.453125" style="11" bestFit="1" customWidth="1"/>
    <col min="1434" max="1434" width="12.7265625" style="11" bestFit="1" customWidth="1"/>
    <col min="1435" max="1435" width="13.453125" style="11" bestFit="1" customWidth="1"/>
    <col min="1436" max="1436" width="11.81640625" style="11" bestFit="1" customWidth="1"/>
    <col min="1437" max="1437" width="10.7265625" style="11" bestFit="1" customWidth="1"/>
    <col min="1438" max="1438" width="8.81640625" style="11" bestFit="1" customWidth="1"/>
    <col min="1439" max="1439" width="10" style="11" bestFit="1" customWidth="1"/>
    <col min="1440" max="1440" width="13.1796875" style="11" bestFit="1" customWidth="1"/>
    <col min="1441" max="1441" width="20.7265625" style="11" bestFit="1" customWidth="1"/>
    <col min="1442" max="1442" width="20.7265625" style="11" customWidth="1"/>
    <col min="1443" max="1443" width="9.453125" style="11" bestFit="1" customWidth="1"/>
    <col min="1444" max="1445" width="9.26953125" style="11" bestFit="1" customWidth="1"/>
    <col min="1446" max="1446" width="10.26953125" style="11" bestFit="1" customWidth="1"/>
    <col min="1447" max="1456" width="9.26953125" style="11" bestFit="1" customWidth="1"/>
    <col min="1457" max="1457" width="10.26953125" style="11" bestFit="1" customWidth="1"/>
    <col min="1458" max="1461" width="9.26953125" style="11" bestFit="1" customWidth="1"/>
    <col min="1462" max="1462" width="11.26953125" style="11" bestFit="1" customWidth="1"/>
    <col min="1463" max="1475" width="8.7265625" style="11" customWidth="1"/>
    <col min="1476" max="1476" width="11" style="11" bestFit="1" customWidth="1"/>
    <col min="1477" max="1477" width="4.7265625" style="11" customWidth="1"/>
    <col min="1478" max="1478" width="25.26953125" style="11" customWidth="1"/>
    <col min="1479" max="1479" width="23" style="11" customWidth="1"/>
    <col min="1480" max="1480" width="10.26953125" style="11" bestFit="1" customWidth="1"/>
    <col min="1481" max="1481" width="0" style="11" hidden="1" customWidth="1"/>
    <col min="1482" max="1482" width="31.7265625" style="11" customWidth="1"/>
    <col min="1483" max="1483" width="6" style="11" customWidth="1"/>
    <col min="1484" max="1485" width="10.26953125" style="11" bestFit="1" customWidth="1"/>
    <col min="1486" max="1493" width="8.7265625" style="11" customWidth="1"/>
    <col min="1494" max="1494" width="10.26953125" style="11" bestFit="1" customWidth="1"/>
    <col min="1495" max="1576" width="8.7265625" style="11" customWidth="1"/>
    <col min="1577" max="1577" width="9.1796875" style="11"/>
    <col min="1578" max="1578" width="4.7265625" style="11" customWidth="1"/>
    <col min="1579" max="1579" width="3.54296875" style="11" customWidth="1"/>
    <col min="1580" max="1580" width="5.54296875" style="11" customWidth="1"/>
    <col min="1581" max="1581" width="8.7265625" style="11" customWidth="1"/>
    <col min="1582" max="1582" width="7.453125" style="11" customWidth="1"/>
    <col min="1583" max="1583" width="11.81640625" style="11" customWidth="1"/>
    <col min="1584" max="1584" width="8.26953125" style="11" customWidth="1"/>
    <col min="1585" max="1585" width="4.7265625" style="11" customWidth="1"/>
    <col min="1586" max="1586" width="0" style="11" hidden="1" customWidth="1"/>
    <col min="1587" max="1587" width="3.26953125" style="11" customWidth="1"/>
    <col min="1588" max="1588" width="0" style="11" hidden="1" customWidth="1"/>
    <col min="1589" max="1589" width="12" style="11" customWidth="1"/>
    <col min="1590" max="1590" width="12.81640625" style="11" customWidth="1"/>
    <col min="1591" max="1591" width="37.7265625" style="11" customWidth="1"/>
    <col min="1592" max="1593" width="8.453125" style="11" customWidth="1"/>
    <col min="1594" max="1594" width="8.54296875" style="11" customWidth="1"/>
    <col min="1595" max="1595" width="8.26953125" style="11" customWidth="1"/>
    <col min="1596" max="1596" width="12.26953125" style="11" customWidth="1"/>
    <col min="1597" max="1599" width="5.453125" style="11" customWidth="1"/>
    <col min="1600" max="1600" width="6.1796875" style="11" customWidth="1"/>
    <col min="1601" max="1601" width="5.1796875" style="11" customWidth="1"/>
    <col min="1602" max="1602" width="6.26953125" style="11" customWidth="1"/>
    <col min="1603" max="1603" width="6.7265625" style="11" customWidth="1"/>
    <col min="1604" max="1604" width="6.1796875" style="11" customWidth="1"/>
    <col min="1605" max="1605" width="6.54296875" style="11" customWidth="1"/>
    <col min="1606" max="1606" width="6.7265625" style="11" customWidth="1"/>
    <col min="1607" max="1607" width="5.7265625" style="11" customWidth="1"/>
    <col min="1608" max="1608" width="6.1796875" style="11" customWidth="1"/>
    <col min="1609" max="1609" width="6" style="11" customWidth="1"/>
    <col min="1610" max="1610" width="6.26953125" style="11" customWidth="1"/>
    <col min="1611" max="1611" width="6.54296875" style="11" customWidth="1"/>
    <col min="1612" max="1612" width="6.1796875" style="11" customWidth="1"/>
    <col min="1613" max="1613" width="5.26953125" style="11" customWidth="1"/>
    <col min="1614" max="1614" width="6.453125" style="11" customWidth="1"/>
    <col min="1615" max="1616" width="6.1796875" style="11" customWidth="1"/>
    <col min="1617" max="1617" width="6.26953125" style="11" customWidth="1"/>
    <col min="1618" max="1618" width="5.26953125" style="11" customWidth="1"/>
    <col min="1619" max="1619" width="6.81640625" style="11" customWidth="1"/>
    <col min="1620" max="1620" width="6.54296875" style="11" customWidth="1"/>
    <col min="1621" max="1621" width="6" style="11" customWidth="1"/>
    <col min="1622" max="1622" width="7" style="11" customWidth="1"/>
    <col min="1623" max="1623" width="6.26953125" style="11" customWidth="1"/>
    <col min="1624" max="1624" width="6.54296875" style="11" customWidth="1"/>
    <col min="1625" max="1625" width="6.7265625" style="11" customWidth="1"/>
    <col min="1626" max="1626" width="5.26953125" style="11" customWidth="1"/>
    <col min="1627" max="1627" width="6" style="11" customWidth="1"/>
    <col min="1628" max="1628" width="5.7265625" style="11" customWidth="1"/>
    <col min="1629" max="1633" width="12.1796875" style="11" bestFit="1" customWidth="1"/>
    <col min="1634" max="1634" width="9.81640625" style="11" bestFit="1" customWidth="1"/>
    <col min="1635" max="1635" width="11" style="11" bestFit="1" customWidth="1"/>
    <col min="1636" max="1636" width="11.26953125" style="11" bestFit="1" customWidth="1"/>
    <col min="1637" max="1637" width="11" style="11" bestFit="1" customWidth="1"/>
    <col min="1638" max="1639" width="9.81640625" style="11" bestFit="1" customWidth="1"/>
    <col min="1640" max="1640" width="10.26953125" style="11" bestFit="1" customWidth="1"/>
    <col min="1641" max="1641" width="12.1796875" style="11" bestFit="1" customWidth="1"/>
    <col min="1642" max="1642" width="11" style="11" bestFit="1" customWidth="1"/>
    <col min="1643" max="1643" width="12.1796875" style="11" bestFit="1" customWidth="1"/>
    <col min="1644" max="1644" width="13.81640625" style="11" bestFit="1" customWidth="1"/>
    <col min="1645" max="1645" width="9.81640625" style="11" bestFit="1" customWidth="1"/>
    <col min="1646" max="1646" width="13.81640625" style="11" bestFit="1" customWidth="1"/>
    <col min="1647" max="1647" width="10.81640625" style="11" bestFit="1" customWidth="1"/>
    <col min="1648" max="1648" width="12.1796875" style="11" bestFit="1" customWidth="1"/>
    <col min="1649" max="1651" width="11" style="11" bestFit="1" customWidth="1"/>
    <col min="1652" max="1652" width="14.26953125" style="11" customWidth="1"/>
    <col min="1653" max="1656" width="10.81640625" style="11" customWidth="1"/>
    <col min="1657" max="1657" width="9.54296875" style="11" customWidth="1"/>
    <col min="1658" max="1659" width="6.7265625" style="11" customWidth="1"/>
    <col min="1660" max="1666" width="8.7265625" style="11" customWidth="1"/>
    <col min="1667" max="1667" width="9.7265625" style="11" bestFit="1" customWidth="1"/>
    <col min="1668" max="1668" width="38.54296875" style="11" bestFit="1" customWidth="1"/>
    <col min="1669" max="1669" width="8.7265625" style="11" bestFit="1" customWidth="1"/>
    <col min="1670" max="1670" width="11.1796875" style="11" bestFit="1" customWidth="1"/>
    <col min="1671" max="1671" width="7.7265625" style="11" bestFit="1" customWidth="1"/>
    <col min="1672" max="1672" width="9.453125" style="11" bestFit="1" customWidth="1"/>
    <col min="1673" max="1673" width="8.7265625" style="11" bestFit="1" customWidth="1"/>
    <col min="1674" max="1674" width="10.453125" style="11" bestFit="1" customWidth="1"/>
    <col min="1675" max="1675" width="9" style="11" bestFit="1" customWidth="1"/>
    <col min="1676" max="1676" width="9.54296875" style="11" bestFit="1" customWidth="1"/>
    <col min="1677" max="1677" width="10.54296875" style="11" bestFit="1" customWidth="1"/>
    <col min="1678" max="1678" width="8.54296875" style="11" bestFit="1" customWidth="1"/>
    <col min="1679" max="1679" width="10.54296875" style="11" bestFit="1" customWidth="1"/>
    <col min="1680" max="1680" width="11" style="11" bestFit="1" customWidth="1"/>
    <col min="1681" max="1681" width="16.54296875" style="11" bestFit="1" customWidth="1"/>
    <col min="1682" max="1682" width="11" style="11" bestFit="1" customWidth="1"/>
    <col min="1683" max="1683" width="10.26953125" style="11" bestFit="1" customWidth="1"/>
    <col min="1684" max="1684" width="12.453125" style="11" bestFit="1" customWidth="1"/>
    <col min="1685" max="1685" width="10.54296875" style="11" bestFit="1" customWidth="1"/>
    <col min="1686" max="1686" width="9" style="11" bestFit="1" customWidth="1"/>
    <col min="1687" max="1687" width="10.54296875" style="11" bestFit="1" customWidth="1"/>
    <col min="1688" max="1688" width="11.1796875" style="11" bestFit="1" customWidth="1"/>
    <col min="1689" max="1689" width="11.453125" style="11" bestFit="1" customWidth="1"/>
    <col min="1690" max="1690" width="12.7265625" style="11" bestFit="1" customWidth="1"/>
    <col min="1691" max="1691" width="13.453125" style="11" bestFit="1" customWidth="1"/>
    <col min="1692" max="1692" width="11.81640625" style="11" bestFit="1" customWidth="1"/>
    <col min="1693" max="1693" width="10.7265625" style="11" bestFit="1" customWidth="1"/>
    <col min="1694" max="1694" width="8.81640625" style="11" bestFit="1" customWidth="1"/>
    <col min="1695" max="1695" width="10" style="11" bestFit="1" customWidth="1"/>
    <col min="1696" max="1696" width="13.1796875" style="11" bestFit="1" customWidth="1"/>
    <col min="1697" max="1697" width="20.7265625" style="11" bestFit="1" customWidth="1"/>
    <col min="1698" max="1698" width="20.7265625" style="11" customWidth="1"/>
    <col min="1699" max="1699" width="9.453125" style="11" bestFit="1" customWidth="1"/>
    <col min="1700" max="1701" width="9.26953125" style="11" bestFit="1" customWidth="1"/>
    <col min="1702" max="1702" width="10.26953125" style="11" bestFit="1" customWidth="1"/>
    <col min="1703" max="1712" width="9.26953125" style="11" bestFit="1" customWidth="1"/>
    <col min="1713" max="1713" width="10.26953125" style="11" bestFit="1" customWidth="1"/>
    <col min="1714" max="1717" width="9.26953125" style="11" bestFit="1" customWidth="1"/>
    <col min="1718" max="1718" width="11.26953125" style="11" bestFit="1" customWidth="1"/>
    <col min="1719" max="1731" width="8.7265625" style="11" customWidth="1"/>
    <col min="1732" max="1732" width="11" style="11" bestFit="1" customWidth="1"/>
    <col min="1733" max="1733" width="4.7265625" style="11" customWidth="1"/>
    <col min="1734" max="1734" width="25.26953125" style="11" customWidth="1"/>
    <col min="1735" max="1735" width="23" style="11" customWidth="1"/>
    <col min="1736" max="1736" width="10.26953125" style="11" bestFit="1" customWidth="1"/>
    <col min="1737" max="1737" width="0" style="11" hidden="1" customWidth="1"/>
    <col min="1738" max="1738" width="31.7265625" style="11" customWidth="1"/>
    <col min="1739" max="1739" width="6" style="11" customWidth="1"/>
    <col min="1740" max="1741" width="10.26953125" style="11" bestFit="1" customWidth="1"/>
    <col min="1742" max="1749" width="8.7265625" style="11" customWidth="1"/>
    <col min="1750" max="1750" width="10.26953125" style="11" bestFit="1" customWidth="1"/>
    <col min="1751" max="1832" width="8.7265625" style="11" customWidth="1"/>
    <col min="1833" max="1833" width="9.1796875" style="11"/>
    <col min="1834" max="1834" width="4.7265625" style="11" customWidth="1"/>
    <col min="1835" max="1835" width="3.54296875" style="11" customWidth="1"/>
    <col min="1836" max="1836" width="5.54296875" style="11" customWidth="1"/>
    <col min="1837" max="1837" width="8.7265625" style="11" customWidth="1"/>
    <col min="1838" max="1838" width="7.453125" style="11" customWidth="1"/>
    <col min="1839" max="1839" width="11.81640625" style="11" customWidth="1"/>
    <col min="1840" max="1840" width="8.26953125" style="11" customWidth="1"/>
    <col min="1841" max="1841" width="4.7265625" style="11" customWidth="1"/>
    <col min="1842" max="1842" width="0" style="11" hidden="1" customWidth="1"/>
    <col min="1843" max="1843" width="3.26953125" style="11" customWidth="1"/>
    <col min="1844" max="1844" width="0" style="11" hidden="1" customWidth="1"/>
    <col min="1845" max="1845" width="12" style="11" customWidth="1"/>
    <col min="1846" max="1846" width="12.81640625" style="11" customWidth="1"/>
    <col min="1847" max="1847" width="37.7265625" style="11" customWidth="1"/>
    <col min="1848" max="1849" width="8.453125" style="11" customWidth="1"/>
    <col min="1850" max="1850" width="8.54296875" style="11" customWidth="1"/>
    <col min="1851" max="1851" width="8.26953125" style="11" customWidth="1"/>
    <col min="1852" max="1852" width="12.26953125" style="11" customWidth="1"/>
    <col min="1853" max="1855" width="5.453125" style="11" customWidth="1"/>
    <col min="1856" max="1856" width="6.1796875" style="11" customWidth="1"/>
    <col min="1857" max="1857" width="5.1796875" style="11" customWidth="1"/>
    <col min="1858" max="1858" width="6.26953125" style="11" customWidth="1"/>
    <col min="1859" max="1859" width="6.7265625" style="11" customWidth="1"/>
    <col min="1860" max="1860" width="6.1796875" style="11" customWidth="1"/>
    <col min="1861" max="1861" width="6.54296875" style="11" customWidth="1"/>
    <col min="1862" max="1862" width="6.7265625" style="11" customWidth="1"/>
    <col min="1863" max="1863" width="5.7265625" style="11" customWidth="1"/>
    <col min="1864" max="1864" width="6.1796875" style="11" customWidth="1"/>
    <col min="1865" max="1865" width="6" style="11" customWidth="1"/>
    <col min="1866" max="1866" width="6.26953125" style="11" customWidth="1"/>
    <col min="1867" max="1867" width="6.54296875" style="11" customWidth="1"/>
    <col min="1868" max="1868" width="6.1796875" style="11" customWidth="1"/>
    <col min="1869" max="1869" width="5.26953125" style="11" customWidth="1"/>
    <col min="1870" max="1870" width="6.453125" style="11" customWidth="1"/>
    <col min="1871" max="1872" width="6.1796875" style="11" customWidth="1"/>
    <col min="1873" max="1873" width="6.26953125" style="11" customWidth="1"/>
    <col min="1874" max="1874" width="5.26953125" style="11" customWidth="1"/>
    <col min="1875" max="1875" width="6.81640625" style="11" customWidth="1"/>
    <col min="1876" max="1876" width="6.54296875" style="11" customWidth="1"/>
    <col min="1877" max="1877" width="6" style="11" customWidth="1"/>
    <col min="1878" max="1878" width="7" style="11" customWidth="1"/>
    <col min="1879" max="1879" width="6.26953125" style="11" customWidth="1"/>
    <col min="1880" max="1880" width="6.54296875" style="11" customWidth="1"/>
    <col min="1881" max="1881" width="6.7265625" style="11" customWidth="1"/>
    <col min="1882" max="1882" width="5.26953125" style="11" customWidth="1"/>
    <col min="1883" max="1883" width="6" style="11" customWidth="1"/>
    <col min="1884" max="1884" width="5.7265625" style="11" customWidth="1"/>
    <col min="1885" max="1889" width="12.1796875" style="11" bestFit="1" customWidth="1"/>
    <col min="1890" max="1890" width="9.81640625" style="11" bestFit="1" customWidth="1"/>
    <col min="1891" max="1891" width="11" style="11" bestFit="1" customWidth="1"/>
    <col min="1892" max="1892" width="11.26953125" style="11" bestFit="1" customWidth="1"/>
    <col min="1893" max="1893" width="11" style="11" bestFit="1" customWidth="1"/>
    <col min="1894" max="1895" width="9.81640625" style="11" bestFit="1" customWidth="1"/>
    <col min="1896" max="1896" width="10.26953125" style="11" bestFit="1" customWidth="1"/>
    <col min="1897" max="1897" width="12.1796875" style="11" bestFit="1" customWidth="1"/>
    <col min="1898" max="1898" width="11" style="11" bestFit="1" customWidth="1"/>
    <col min="1899" max="1899" width="12.1796875" style="11" bestFit="1" customWidth="1"/>
    <col min="1900" max="1900" width="13.81640625" style="11" bestFit="1" customWidth="1"/>
    <col min="1901" max="1901" width="9.81640625" style="11" bestFit="1" customWidth="1"/>
    <col min="1902" max="1902" width="13.81640625" style="11" bestFit="1" customWidth="1"/>
    <col min="1903" max="1903" width="10.81640625" style="11" bestFit="1" customWidth="1"/>
    <col min="1904" max="1904" width="12.1796875" style="11" bestFit="1" customWidth="1"/>
    <col min="1905" max="1907" width="11" style="11" bestFit="1" customWidth="1"/>
    <col min="1908" max="1908" width="14.26953125" style="11" customWidth="1"/>
    <col min="1909" max="1912" width="10.81640625" style="11" customWidth="1"/>
    <col min="1913" max="1913" width="9.54296875" style="11" customWidth="1"/>
    <col min="1914" max="1915" width="6.7265625" style="11" customWidth="1"/>
    <col min="1916" max="1922" width="8.7265625" style="11" customWidth="1"/>
    <col min="1923" max="1923" width="9.7265625" style="11" bestFit="1" customWidth="1"/>
    <col min="1924" max="1924" width="38.54296875" style="11" bestFit="1" customWidth="1"/>
    <col min="1925" max="1925" width="8.7265625" style="11" bestFit="1" customWidth="1"/>
    <col min="1926" max="1926" width="11.1796875" style="11" bestFit="1" customWidth="1"/>
    <col min="1927" max="1927" width="7.7265625" style="11" bestFit="1" customWidth="1"/>
    <col min="1928" max="1928" width="9.453125" style="11" bestFit="1" customWidth="1"/>
    <col min="1929" max="1929" width="8.7265625" style="11" bestFit="1" customWidth="1"/>
    <col min="1930" max="1930" width="10.453125" style="11" bestFit="1" customWidth="1"/>
    <col min="1931" max="1931" width="9" style="11" bestFit="1" customWidth="1"/>
    <col min="1932" max="1932" width="9.54296875" style="11" bestFit="1" customWidth="1"/>
    <col min="1933" max="1933" width="10.54296875" style="11" bestFit="1" customWidth="1"/>
    <col min="1934" max="1934" width="8.54296875" style="11" bestFit="1" customWidth="1"/>
    <col min="1935" max="1935" width="10.54296875" style="11" bestFit="1" customWidth="1"/>
    <col min="1936" max="1936" width="11" style="11" bestFit="1" customWidth="1"/>
    <col min="1937" max="1937" width="16.54296875" style="11" bestFit="1" customWidth="1"/>
    <col min="1938" max="1938" width="11" style="11" bestFit="1" customWidth="1"/>
    <col min="1939" max="1939" width="10.26953125" style="11" bestFit="1" customWidth="1"/>
    <col min="1940" max="1940" width="12.453125" style="11" bestFit="1" customWidth="1"/>
    <col min="1941" max="1941" width="10.54296875" style="11" bestFit="1" customWidth="1"/>
    <col min="1942" max="1942" width="9" style="11" bestFit="1" customWidth="1"/>
    <col min="1943" max="1943" width="10.54296875" style="11" bestFit="1" customWidth="1"/>
    <col min="1944" max="1944" width="11.1796875" style="11" bestFit="1" customWidth="1"/>
    <col min="1945" max="1945" width="11.453125" style="11" bestFit="1" customWidth="1"/>
    <col min="1946" max="1946" width="12.7265625" style="11" bestFit="1" customWidth="1"/>
    <col min="1947" max="1947" width="13.453125" style="11" bestFit="1" customWidth="1"/>
    <col min="1948" max="1948" width="11.81640625" style="11" bestFit="1" customWidth="1"/>
    <col min="1949" max="1949" width="10.7265625" style="11" bestFit="1" customWidth="1"/>
    <col min="1950" max="1950" width="8.81640625" style="11" bestFit="1" customWidth="1"/>
    <col min="1951" max="1951" width="10" style="11" bestFit="1" customWidth="1"/>
    <col min="1952" max="1952" width="13.1796875" style="11" bestFit="1" customWidth="1"/>
    <col min="1953" max="1953" width="20.7265625" style="11" bestFit="1" customWidth="1"/>
    <col min="1954" max="1954" width="20.7265625" style="11" customWidth="1"/>
    <col min="1955" max="1955" width="9.453125" style="11" bestFit="1" customWidth="1"/>
    <col min="1956" max="1957" width="9.26953125" style="11" bestFit="1" customWidth="1"/>
    <col min="1958" max="1958" width="10.26953125" style="11" bestFit="1" customWidth="1"/>
    <col min="1959" max="1968" width="9.26953125" style="11" bestFit="1" customWidth="1"/>
    <col min="1969" max="1969" width="10.26953125" style="11" bestFit="1" customWidth="1"/>
    <col min="1970" max="1973" width="9.26953125" style="11" bestFit="1" customWidth="1"/>
    <col min="1974" max="1974" width="11.26953125" style="11" bestFit="1" customWidth="1"/>
    <col min="1975" max="1987" width="8.7265625" style="11" customWidth="1"/>
    <col min="1988" max="1988" width="11" style="11" bestFit="1" customWidth="1"/>
    <col min="1989" max="1989" width="4.7265625" style="11" customWidth="1"/>
    <col min="1990" max="1990" width="25.26953125" style="11" customWidth="1"/>
    <col min="1991" max="1991" width="23" style="11" customWidth="1"/>
    <col min="1992" max="1992" width="10.26953125" style="11" bestFit="1" customWidth="1"/>
    <col min="1993" max="1993" width="0" style="11" hidden="1" customWidth="1"/>
    <col min="1994" max="1994" width="31.7265625" style="11" customWidth="1"/>
    <col min="1995" max="1995" width="6" style="11" customWidth="1"/>
    <col min="1996" max="1997" width="10.26953125" style="11" bestFit="1" customWidth="1"/>
    <col min="1998" max="2005" width="8.7265625" style="11" customWidth="1"/>
    <col min="2006" max="2006" width="10.26953125" style="11" bestFit="1" customWidth="1"/>
    <col min="2007" max="2088" width="8.7265625" style="11" customWidth="1"/>
    <col min="2089" max="2089" width="9.1796875" style="11"/>
    <col min="2090" max="2090" width="4.7265625" style="11" customWidth="1"/>
    <col min="2091" max="2091" width="3.54296875" style="11" customWidth="1"/>
    <col min="2092" max="2092" width="5.54296875" style="11" customWidth="1"/>
    <col min="2093" max="2093" width="8.7265625" style="11" customWidth="1"/>
    <col min="2094" max="2094" width="7.453125" style="11" customWidth="1"/>
    <col min="2095" max="2095" width="11.81640625" style="11" customWidth="1"/>
    <col min="2096" max="2096" width="8.26953125" style="11" customWidth="1"/>
    <col min="2097" max="2097" width="4.7265625" style="11" customWidth="1"/>
    <col min="2098" max="2098" width="0" style="11" hidden="1" customWidth="1"/>
    <col min="2099" max="2099" width="3.26953125" style="11" customWidth="1"/>
    <col min="2100" max="2100" width="0" style="11" hidden="1" customWidth="1"/>
    <col min="2101" max="2101" width="12" style="11" customWidth="1"/>
    <col min="2102" max="2102" width="12.81640625" style="11" customWidth="1"/>
    <col min="2103" max="2103" width="37.7265625" style="11" customWidth="1"/>
    <col min="2104" max="2105" width="8.453125" style="11" customWidth="1"/>
    <col min="2106" max="2106" width="8.54296875" style="11" customWidth="1"/>
    <col min="2107" max="2107" width="8.26953125" style="11" customWidth="1"/>
    <col min="2108" max="2108" width="12.26953125" style="11" customWidth="1"/>
    <col min="2109" max="2111" width="5.453125" style="11" customWidth="1"/>
    <col min="2112" max="2112" width="6.1796875" style="11" customWidth="1"/>
    <col min="2113" max="2113" width="5.1796875" style="11" customWidth="1"/>
    <col min="2114" max="2114" width="6.26953125" style="11" customWidth="1"/>
    <col min="2115" max="2115" width="6.7265625" style="11" customWidth="1"/>
    <col min="2116" max="2116" width="6.1796875" style="11" customWidth="1"/>
    <col min="2117" max="2117" width="6.54296875" style="11" customWidth="1"/>
    <col min="2118" max="2118" width="6.7265625" style="11" customWidth="1"/>
    <col min="2119" max="2119" width="5.7265625" style="11" customWidth="1"/>
    <col min="2120" max="2120" width="6.1796875" style="11" customWidth="1"/>
    <col min="2121" max="2121" width="6" style="11" customWidth="1"/>
    <col min="2122" max="2122" width="6.26953125" style="11" customWidth="1"/>
    <col min="2123" max="2123" width="6.54296875" style="11" customWidth="1"/>
    <col min="2124" max="2124" width="6.1796875" style="11" customWidth="1"/>
    <col min="2125" max="2125" width="5.26953125" style="11" customWidth="1"/>
    <col min="2126" max="2126" width="6.453125" style="11" customWidth="1"/>
    <col min="2127" max="2128" width="6.1796875" style="11" customWidth="1"/>
    <col min="2129" max="2129" width="6.26953125" style="11" customWidth="1"/>
    <col min="2130" max="2130" width="5.26953125" style="11" customWidth="1"/>
    <col min="2131" max="2131" width="6.81640625" style="11" customWidth="1"/>
    <col min="2132" max="2132" width="6.54296875" style="11" customWidth="1"/>
    <col min="2133" max="2133" width="6" style="11" customWidth="1"/>
    <col min="2134" max="2134" width="7" style="11" customWidth="1"/>
    <col min="2135" max="2135" width="6.26953125" style="11" customWidth="1"/>
    <col min="2136" max="2136" width="6.54296875" style="11" customWidth="1"/>
    <col min="2137" max="2137" width="6.7265625" style="11" customWidth="1"/>
    <col min="2138" max="2138" width="5.26953125" style="11" customWidth="1"/>
    <col min="2139" max="2139" width="6" style="11" customWidth="1"/>
    <col min="2140" max="2140" width="5.7265625" style="11" customWidth="1"/>
    <col min="2141" max="2145" width="12.1796875" style="11" bestFit="1" customWidth="1"/>
    <col min="2146" max="2146" width="9.81640625" style="11" bestFit="1" customWidth="1"/>
    <col min="2147" max="2147" width="11" style="11" bestFit="1" customWidth="1"/>
    <col min="2148" max="2148" width="11.26953125" style="11" bestFit="1" customWidth="1"/>
    <col min="2149" max="2149" width="11" style="11" bestFit="1" customWidth="1"/>
    <col min="2150" max="2151" width="9.81640625" style="11" bestFit="1" customWidth="1"/>
    <col min="2152" max="2152" width="10.26953125" style="11" bestFit="1" customWidth="1"/>
    <col min="2153" max="2153" width="12.1796875" style="11" bestFit="1" customWidth="1"/>
    <col min="2154" max="2154" width="11" style="11" bestFit="1" customWidth="1"/>
    <col min="2155" max="2155" width="12.1796875" style="11" bestFit="1" customWidth="1"/>
    <col min="2156" max="2156" width="13.81640625" style="11" bestFit="1" customWidth="1"/>
    <col min="2157" max="2157" width="9.81640625" style="11" bestFit="1" customWidth="1"/>
    <col min="2158" max="2158" width="13.81640625" style="11" bestFit="1" customWidth="1"/>
    <col min="2159" max="2159" width="10.81640625" style="11" bestFit="1" customWidth="1"/>
    <col min="2160" max="2160" width="12.1796875" style="11" bestFit="1" customWidth="1"/>
    <col min="2161" max="2163" width="11" style="11" bestFit="1" customWidth="1"/>
    <col min="2164" max="2164" width="14.26953125" style="11" customWidth="1"/>
    <col min="2165" max="2168" width="10.81640625" style="11" customWidth="1"/>
    <col min="2169" max="2169" width="9.54296875" style="11" customWidth="1"/>
    <col min="2170" max="2171" width="6.7265625" style="11" customWidth="1"/>
    <col min="2172" max="2178" width="8.7265625" style="11" customWidth="1"/>
    <col min="2179" max="2179" width="9.7265625" style="11" bestFit="1" customWidth="1"/>
    <col min="2180" max="2180" width="38.54296875" style="11" bestFit="1" customWidth="1"/>
    <col min="2181" max="2181" width="8.7265625" style="11" bestFit="1" customWidth="1"/>
    <col min="2182" max="2182" width="11.1796875" style="11" bestFit="1" customWidth="1"/>
    <col min="2183" max="2183" width="7.7265625" style="11" bestFit="1" customWidth="1"/>
    <col min="2184" max="2184" width="9.453125" style="11" bestFit="1" customWidth="1"/>
    <col min="2185" max="2185" width="8.7265625" style="11" bestFit="1" customWidth="1"/>
    <col min="2186" max="2186" width="10.453125" style="11" bestFit="1" customWidth="1"/>
    <col min="2187" max="2187" width="9" style="11" bestFit="1" customWidth="1"/>
    <col min="2188" max="2188" width="9.54296875" style="11" bestFit="1" customWidth="1"/>
    <col min="2189" max="2189" width="10.54296875" style="11" bestFit="1" customWidth="1"/>
    <col min="2190" max="2190" width="8.54296875" style="11" bestFit="1" customWidth="1"/>
    <col min="2191" max="2191" width="10.54296875" style="11" bestFit="1" customWidth="1"/>
    <col min="2192" max="2192" width="11" style="11" bestFit="1" customWidth="1"/>
    <col min="2193" max="2193" width="16.54296875" style="11" bestFit="1" customWidth="1"/>
    <col min="2194" max="2194" width="11" style="11" bestFit="1" customWidth="1"/>
    <col min="2195" max="2195" width="10.26953125" style="11" bestFit="1" customWidth="1"/>
    <col min="2196" max="2196" width="12.453125" style="11" bestFit="1" customWidth="1"/>
    <col min="2197" max="2197" width="10.54296875" style="11" bestFit="1" customWidth="1"/>
    <col min="2198" max="2198" width="9" style="11" bestFit="1" customWidth="1"/>
    <col min="2199" max="2199" width="10.54296875" style="11" bestFit="1" customWidth="1"/>
    <col min="2200" max="2200" width="11.1796875" style="11" bestFit="1" customWidth="1"/>
    <col min="2201" max="2201" width="11.453125" style="11" bestFit="1" customWidth="1"/>
    <col min="2202" max="2202" width="12.7265625" style="11" bestFit="1" customWidth="1"/>
    <col min="2203" max="2203" width="13.453125" style="11" bestFit="1" customWidth="1"/>
    <col min="2204" max="2204" width="11.81640625" style="11" bestFit="1" customWidth="1"/>
    <col min="2205" max="2205" width="10.7265625" style="11" bestFit="1" customWidth="1"/>
    <col min="2206" max="2206" width="8.81640625" style="11" bestFit="1" customWidth="1"/>
    <col min="2207" max="2207" width="10" style="11" bestFit="1" customWidth="1"/>
    <col min="2208" max="2208" width="13.1796875" style="11" bestFit="1" customWidth="1"/>
    <col min="2209" max="2209" width="20.7265625" style="11" bestFit="1" customWidth="1"/>
    <col min="2210" max="2210" width="20.7265625" style="11" customWidth="1"/>
    <col min="2211" max="2211" width="9.453125" style="11" bestFit="1" customWidth="1"/>
    <col min="2212" max="2213" width="9.26953125" style="11" bestFit="1" customWidth="1"/>
    <col min="2214" max="2214" width="10.26953125" style="11" bestFit="1" customWidth="1"/>
    <col min="2215" max="2224" width="9.26953125" style="11" bestFit="1" customWidth="1"/>
    <col min="2225" max="2225" width="10.26953125" style="11" bestFit="1" customWidth="1"/>
    <col min="2226" max="2229" width="9.26953125" style="11" bestFit="1" customWidth="1"/>
    <col min="2230" max="2230" width="11.26953125" style="11" bestFit="1" customWidth="1"/>
    <col min="2231" max="2243" width="8.7265625" style="11" customWidth="1"/>
    <col min="2244" max="2244" width="11" style="11" bestFit="1" customWidth="1"/>
    <col min="2245" max="2245" width="4.7265625" style="11" customWidth="1"/>
    <col min="2246" max="2246" width="25.26953125" style="11" customWidth="1"/>
    <col min="2247" max="2247" width="23" style="11" customWidth="1"/>
    <col min="2248" max="2248" width="10.26953125" style="11" bestFit="1" customWidth="1"/>
    <col min="2249" max="2249" width="0" style="11" hidden="1" customWidth="1"/>
    <col min="2250" max="2250" width="31.7265625" style="11" customWidth="1"/>
    <col min="2251" max="2251" width="6" style="11" customWidth="1"/>
    <col min="2252" max="2253" width="10.26953125" style="11" bestFit="1" customWidth="1"/>
    <col min="2254" max="2261" width="8.7265625" style="11" customWidth="1"/>
    <col min="2262" max="2262" width="10.26953125" style="11" bestFit="1" customWidth="1"/>
    <col min="2263" max="2344" width="8.7265625" style="11" customWidth="1"/>
    <col min="2345" max="2345" width="9.1796875" style="11"/>
    <col min="2346" max="2346" width="4.7265625" style="11" customWidth="1"/>
    <col min="2347" max="2347" width="3.54296875" style="11" customWidth="1"/>
    <col min="2348" max="2348" width="5.54296875" style="11" customWidth="1"/>
    <col min="2349" max="2349" width="8.7265625" style="11" customWidth="1"/>
    <col min="2350" max="2350" width="7.453125" style="11" customWidth="1"/>
    <col min="2351" max="2351" width="11.81640625" style="11" customWidth="1"/>
    <col min="2352" max="2352" width="8.26953125" style="11" customWidth="1"/>
    <col min="2353" max="2353" width="4.7265625" style="11" customWidth="1"/>
    <col min="2354" max="2354" width="0" style="11" hidden="1" customWidth="1"/>
    <col min="2355" max="2355" width="3.26953125" style="11" customWidth="1"/>
    <col min="2356" max="2356" width="0" style="11" hidden="1" customWidth="1"/>
    <col min="2357" max="2357" width="12" style="11" customWidth="1"/>
    <col min="2358" max="2358" width="12.81640625" style="11" customWidth="1"/>
    <col min="2359" max="2359" width="37.7265625" style="11" customWidth="1"/>
    <col min="2360" max="2361" width="8.453125" style="11" customWidth="1"/>
    <col min="2362" max="2362" width="8.54296875" style="11" customWidth="1"/>
    <col min="2363" max="2363" width="8.26953125" style="11" customWidth="1"/>
    <col min="2364" max="2364" width="12.26953125" style="11" customWidth="1"/>
    <col min="2365" max="2367" width="5.453125" style="11" customWidth="1"/>
    <col min="2368" max="2368" width="6.1796875" style="11" customWidth="1"/>
    <col min="2369" max="2369" width="5.1796875" style="11" customWidth="1"/>
    <col min="2370" max="2370" width="6.26953125" style="11" customWidth="1"/>
    <col min="2371" max="2371" width="6.7265625" style="11" customWidth="1"/>
    <col min="2372" max="2372" width="6.1796875" style="11" customWidth="1"/>
    <col min="2373" max="2373" width="6.54296875" style="11" customWidth="1"/>
    <col min="2374" max="2374" width="6.7265625" style="11" customWidth="1"/>
    <col min="2375" max="2375" width="5.7265625" style="11" customWidth="1"/>
    <col min="2376" max="2376" width="6.1796875" style="11" customWidth="1"/>
    <col min="2377" max="2377" width="6" style="11" customWidth="1"/>
    <col min="2378" max="2378" width="6.26953125" style="11" customWidth="1"/>
    <col min="2379" max="2379" width="6.54296875" style="11" customWidth="1"/>
    <col min="2380" max="2380" width="6.1796875" style="11" customWidth="1"/>
    <col min="2381" max="2381" width="5.26953125" style="11" customWidth="1"/>
    <col min="2382" max="2382" width="6.453125" style="11" customWidth="1"/>
    <col min="2383" max="2384" width="6.1796875" style="11" customWidth="1"/>
    <col min="2385" max="2385" width="6.26953125" style="11" customWidth="1"/>
    <col min="2386" max="2386" width="5.26953125" style="11" customWidth="1"/>
    <col min="2387" max="2387" width="6.81640625" style="11" customWidth="1"/>
    <col min="2388" max="2388" width="6.54296875" style="11" customWidth="1"/>
    <col min="2389" max="2389" width="6" style="11" customWidth="1"/>
    <col min="2390" max="2390" width="7" style="11" customWidth="1"/>
    <col min="2391" max="2391" width="6.26953125" style="11" customWidth="1"/>
    <col min="2392" max="2392" width="6.54296875" style="11" customWidth="1"/>
    <col min="2393" max="2393" width="6.7265625" style="11" customWidth="1"/>
    <col min="2394" max="2394" width="5.26953125" style="11" customWidth="1"/>
    <col min="2395" max="2395" width="6" style="11" customWidth="1"/>
    <col min="2396" max="2396" width="5.7265625" style="11" customWidth="1"/>
    <col min="2397" max="2401" width="12.1796875" style="11" bestFit="1" customWidth="1"/>
    <col min="2402" max="2402" width="9.81640625" style="11" bestFit="1" customWidth="1"/>
    <col min="2403" max="2403" width="11" style="11" bestFit="1" customWidth="1"/>
    <col min="2404" max="2404" width="11.26953125" style="11" bestFit="1" customWidth="1"/>
    <col min="2405" max="2405" width="11" style="11" bestFit="1" customWidth="1"/>
    <col min="2406" max="2407" width="9.81640625" style="11" bestFit="1" customWidth="1"/>
    <col min="2408" max="2408" width="10.26953125" style="11" bestFit="1" customWidth="1"/>
    <col min="2409" max="2409" width="12.1796875" style="11" bestFit="1" customWidth="1"/>
    <col min="2410" max="2410" width="11" style="11" bestFit="1" customWidth="1"/>
    <col min="2411" max="2411" width="12.1796875" style="11" bestFit="1" customWidth="1"/>
    <col min="2412" max="2412" width="13.81640625" style="11" bestFit="1" customWidth="1"/>
    <col min="2413" max="2413" width="9.81640625" style="11" bestFit="1" customWidth="1"/>
    <col min="2414" max="2414" width="13.81640625" style="11" bestFit="1" customWidth="1"/>
    <col min="2415" max="2415" width="10.81640625" style="11" bestFit="1" customWidth="1"/>
    <col min="2416" max="2416" width="12.1796875" style="11" bestFit="1" customWidth="1"/>
    <col min="2417" max="2419" width="11" style="11" bestFit="1" customWidth="1"/>
    <col min="2420" max="2420" width="14.26953125" style="11" customWidth="1"/>
    <col min="2421" max="2424" width="10.81640625" style="11" customWidth="1"/>
    <col min="2425" max="2425" width="9.54296875" style="11" customWidth="1"/>
    <col min="2426" max="2427" width="6.7265625" style="11" customWidth="1"/>
    <col min="2428" max="2434" width="8.7265625" style="11" customWidth="1"/>
    <col min="2435" max="2435" width="9.7265625" style="11" bestFit="1" customWidth="1"/>
    <col min="2436" max="2436" width="38.54296875" style="11" bestFit="1" customWidth="1"/>
    <col min="2437" max="2437" width="8.7265625" style="11" bestFit="1" customWidth="1"/>
    <col min="2438" max="2438" width="11.1796875" style="11" bestFit="1" customWidth="1"/>
    <col min="2439" max="2439" width="7.7265625" style="11" bestFit="1" customWidth="1"/>
    <col min="2440" max="2440" width="9.453125" style="11" bestFit="1" customWidth="1"/>
    <col min="2441" max="2441" width="8.7265625" style="11" bestFit="1" customWidth="1"/>
    <col min="2442" max="2442" width="10.453125" style="11" bestFit="1" customWidth="1"/>
    <col min="2443" max="2443" width="9" style="11" bestFit="1" customWidth="1"/>
    <col min="2444" max="2444" width="9.54296875" style="11" bestFit="1" customWidth="1"/>
    <col min="2445" max="2445" width="10.54296875" style="11" bestFit="1" customWidth="1"/>
    <col min="2446" max="2446" width="8.54296875" style="11" bestFit="1" customWidth="1"/>
    <col min="2447" max="2447" width="10.54296875" style="11" bestFit="1" customWidth="1"/>
    <col min="2448" max="2448" width="11" style="11" bestFit="1" customWidth="1"/>
    <col min="2449" max="2449" width="16.54296875" style="11" bestFit="1" customWidth="1"/>
    <col min="2450" max="2450" width="11" style="11" bestFit="1" customWidth="1"/>
    <col min="2451" max="2451" width="10.26953125" style="11" bestFit="1" customWidth="1"/>
    <col min="2452" max="2452" width="12.453125" style="11" bestFit="1" customWidth="1"/>
    <col min="2453" max="2453" width="10.54296875" style="11" bestFit="1" customWidth="1"/>
    <col min="2454" max="2454" width="9" style="11" bestFit="1" customWidth="1"/>
    <col min="2455" max="2455" width="10.54296875" style="11" bestFit="1" customWidth="1"/>
    <col min="2456" max="2456" width="11.1796875" style="11" bestFit="1" customWidth="1"/>
    <col min="2457" max="2457" width="11.453125" style="11" bestFit="1" customWidth="1"/>
    <col min="2458" max="2458" width="12.7265625" style="11" bestFit="1" customWidth="1"/>
    <col min="2459" max="2459" width="13.453125" style="11" bestFit="1" customWidth="1"/>
    <col min="2460" max="2460" width="11.81640625" style="11" bestFit="1" customWidth="1"/>
    <col min="2461" max="2461" width="10.7265625" style="11" bestFit="1" customWidth="1"/>
    <col min="2462" max="2462" width="8.81640625" style="11" bestFit="1" customWidth="1"/>
    <col min="2463" max="2463" width="10" style="11" bestFit="1" customWidth="1"/>
    <col min="2464" max="2464" width="13.1796875" style="11" bestFit="1" customWidth="1"/>
    <col min="2465" max="2465" width="20.7265625" style="11" bestFit="1" customWidth="1"/>
    <col min="2466" max="2466" width="20.7265625" style="11" customWidth="1"/>
    <col min="2467" max="2467" width="9.453125" style="11" bestFit="1" customWidth="1"/>
    <col min="2468" max="2469" width="9.26953125" style="11" bestFit="1" customWidth="1"/>
    <col min="2470" max="2470" width="10.26953125" style="11" bestFit="1" customWidth="1"/>
    <col min="2471" max="2480" width="9.26953125" style="11" bestFit="1" customWidth="1"/>
    <col min="2481" max="2481" width="10.26953125" style="11" bestFit="1" customWidth="1"/>
    <col min="2482" max="2485" width="9.26953125" style="11" bestFit="1" customWidth="1"/>
    <col min="2486" max="2486" width="11.26953125" style="11" bestFit="1" customWidth="1"/>
    <col min="2487" max="2499" width="8.7265625" style="11" customWidth="1"/>
    <col min="2500" max="2500" width="11" style="11" bestFit="1" customWidth="1"/>
    <col min="2501" max="2501" width="4.7265625" style="11" customWidth="1"/>
    <col min="2502" max="2502" width="25.26953125" style="11" customWidth="1"/>
    <col min="2503" max="2503" width="23" style="11" customWidth="1"/>
    <col min="2504" max="2504" width="10.26953125" style="11" bestFit="1" customWidth="1"/>
    <col min="2505" max="2505" width="0" style="11" hidden="1" customWidth="1"/>
    <col min="2506" max="2506" width="31.7265625" style="11" customWidth="1"/>
    <col min="2507" max="2507" width="6" style="11" customWidth="1"/>
    <col min="2508" max="2509" width="10.26953125" style="11" bestFit="1" customWidth="1"/>
    <col min="2510" max="2517" width="8.7265625" style="11" customWidth="1"/>
    <col min="2518" max="2518" width="10.26953125" style="11" bestFit="1" customWidth="1"/>
    <col min="2519" max="2600" width="8.7265625" style="11" customWidth="1"/>
    <col min="2601" max="2601" width="9.1796875" style="11"/>
    <col min="2602" max="2602" width="4.7265625" style="11" customWidth="1"/>
    <col min="2603" max="2603" width="3.54296875" style="11" customWidth="1"/>
    <col min="2604" max="2604" width="5.54296875" style="11" customWidth="1"/>
    <col min="2605" max="2605" width="8.7265625" style="11" customWidth="1"/>
    <col min="2606" max="2606" width="7.453125" style="11" customWidth="1"/>
    <col min="2607" max="2607" width="11.81640625" style="11" customWidth="1"/>
    <col min="2608" max="2608" width="8.26953125" style="11" customWidth="1"/>
    <col min="2609" max="2609" width="4.7265625" style="11" customWidth="1"/>
    <col min="2610" max="2610" width="0" style="11" hidden="1" customWidth="1"/>
    <col min="2611" max="2611" width="3.26953125" style="11" customWidth="1"/>
    <col min="2612" max="2612" width="0" style="11" hidden="1" customWidth="1"/>
    <col min="2613" max="2613" width="12" style="11" customWidth="1"/>
    <col min="2614" max="2614" width="12.81640625" style="11" customWidth="1"/>
    <col min="2615" max="2615" width="37.7265625" style="11" customWidth="1"/>
    <col min="2616" max="2617" width="8.453125" style="11" customWidth="1"/>
    <col min="2618" max="2618" width="8.54296875" style="11" customWidth="1"/>
    <col min="2619" max="2619" width="8.26953125" style="11" customWidth="1"/>
    <col min="2620" max="2620" width="12.26953125" style="11" customWidth="1"/>
    <col min="2621" max="2623" width="5.453125" style="11" customWidth="1"/>
    <col min="2624" max="2624" width="6.1796875" style="11" customWidth="1"/>
    <col min="2625" max="2625" width="5.1796875" style="11" customWidth="1"/>
    <col min="2626" max="2626" width="6.26953125" style="11" customWidth="1"/>
    <col min="2627" max="2627" width="6.7265625" style="11" customWidth="1"/>
    <col min="2628" max="2628" width="6.1796875" style="11" customWidth="1"/>
    <col min="2629" max="2629" width="6.54296875" style="11" customWidth="1"/>
    <col min="2630" max="2630" width="6.7265625" style="11" customWidth="1"/>
    <col min="2631" max="2631" width="5.7265625" style="11" customWidth="1"/>
    <col min="2632" max="2632" width="6.1796875" style="11" customWidth="1"/>
    <col min="2633" max="2633" width="6" style="11" customWidth="1"/>
    <col min="2634" max="2634" width="6.26953125" style="11" customWidth="1"/>
    <col min="2635" max="2635" width="6.54296875" style="11" customWidth="1"/>
    <col min="2636" max="2636" width="6.1796875" style="11" customWidth="1"/>
    <col min="2637" max="2637" width="5.26953125" style="11" customWidth="1"/>
    <col min="2638" max="2638" width="6.453125" style="11" customWidth="1"/>
    <col min="2639" max="2640" width="6.1796875" style="11" customWidth="1"/>
    <col min="2641" max="2641" width="6.26953125" style="11" customWidth="1"/>
    <col min="2642" max="2642" width="5.26953125" style="11" customWidth="1"/>
    <col min="2643" max="2643" width="6.81640625" style="11" customWidth="1"/>
    <col min="2644" max="2644" width="6.54296875" style="11" customWidth="1"/>
    <col min="2645" max="2645" width="6" style="11" customWidth="1"/>
    <col min="2646" max="2646" width="7" style="11" customWidth="1"/>
    <col min="2647" max="2647" width="6.26953125" style="11" customWidth="1"/>
    <col min="2648" max="2648" width="6.54296875" style="11" customWidth="1"/>
    <col min="2649" max="2649" width="6.7265625" style="11" customWidth="1"/>
    <col min="2650" max="2650" width="5.26953125" style="11" customWidth="1"/>
    <col min="2651" max="2651" width="6" style="11" customWidth="1"/>
    <col min="2652" max="2652" width="5.7265625" style="11" customWidth="1"/>
    <col min="2653" max="2657" width="12.1796875" style="11" bestFit="1" customWidth="1"/>
    <col min="2658" max="2658" width="9.81640625" style="11" bestFit="1" customWidth="1"/>
    <col min="2659" max="2659" width="11" style="11" bestFit="1" customWidth="1"/>
    <col min="2660" max="2660" width="11.26953125" style="11" bestFit="1" customWidth="1"/>
    <col min="2661" max="2661" width="11" style="11" bestFit="1" customWidth="1"/>
    <col min="2662" max="2663" width="9.81640625" style="11" bestFit="1" customWidth="1"/>
    <col min="2664" max="2664" width="10.26953125" style="11" bestFit="1" customWidth="1"/>
    <col min="2665" max="2665" width="12.1796875" style="11" bestFit="1" customWidth="1"/>
    <col min="2666" max="2666" width="11" style="11" bestFit="1" customWidth="1"/>
    <col min="2667" max="2667" width="12.1796875" style="11" bestFit="1" customWidth="1"/>
    <col min="2668" max="2668" width="13.81640625" style="11" bestFit="1" customWidth="1"/>
    <col min="2669" max="2669" width="9.81640625" style="11" bestFit="1" customWidth="1"/>
    <col min="2670" max="2670" width="13.81640625" style="11" bestFit="1" customWidth="1"/>
    <col min="2671" max="2671" width="10.81640625" style="11" bestFit="1" customWidth="1"/>
    <col min="2672" max="2672" width="12.1796875" style="11" bestFit="1" customWidth="1"/>
    <col min="2673" max="2675" width="11" style="11" bestFit="1" customWidth="1"/>
    <col min="2676" max="2676" width="14.26953125" style="11" customWidth="1"/>
    <col min="2677" max="2680" width="10.81640625" style="11" customWidth="1"/>
    <col min="2681" max="2681" width="9.54296875" style="11" customWidth="1"/>
    <col min="2682" max="2683" width="6.7265625" style="11" customWidth="1"/>
    <col min="2684" max="2690" width="8.7265625" style="11" customWidth="1"/>
    <col min="2691" max="2691" width="9.7265625" style="11" bestFit="1" customWidth="1"/>
    <col min="2692" max="2692" width="38.54296875" style="11" bestFit="1" customWidth="1"/>
    <col min="2693" max="2693" width="8.7265625" style="11" bestFit="1" customWidth="1"/>
    <col min="2694" max="2694" width="11.1796875" style="11" bestFit="1" customWidth="1"/>
    <col min="2695" max="2695" width="7.7265625" style="11" bestFit="1" customWidth="1"/>
    <col min="2696" max="2696" width="9.453125" style="11" bestFit="1" customWidth="1"/>
    <col min="2697" max="2697" width="8.7265625" style="11" bestFit="1" customWidth="1"/>
    <col min="2698" max="2698" width="10.453125" style="11" bestFit="1" customWidth="1"/>
    <col min="2699" max="2699" width="9" style="11" bestFit="1" customWidth="1"/>
    <col min="2700" max="2700" width="9.54296875" style="11" bestFit="1" customWidth="1"/>
    <col min="2701" max="2701" width="10.54296875" style="11" bestFit="1" customWidth="1"/>
    <col min="2702" max="2702" width="8.54296875" style="11" bestFit="1" customWidth="1"/>
    <col min="2703" max="2703" width="10.54296875" style="11" bestFit="1" customWidth="1"/>
    <col min="2704" max="2704" width="11" style="11" bestFit="1" customWidth="1"/>
    <col min="2705" max="2705" width="16.54296875" style="11" bestFit="1" customWidth="1"/>
    <col min="2706" max="2706" width="11" style="11" bestFit="1" customWidth="1"/>
    <col min="2707" max="2707" width="10.26953125" style="11" bestFit="1" customWidth="1"/>
    <col min="2708" max="2708" width="12.453125" style="11" bestFit="1" customWidth="1"/>
    <col min="2709" max="2709" width="10.54296875" style="11" bestFit="1" customWidth="1"/>
    <col min="2710" max="2710" width="9" style="11" bestFit="1" customWidth="1"/>
    <col min="2711" max="2711" width="10.54296875" style="11" bestFit="1" customWidth="1"/>
    <col min="2712" max="2712" width="11.1796875" style="11" bestFit="1" customWidth="1"/>
    <col min="2713" max="2713" width="11.453125" style="11" bestFit="1" customWidth="1"/>
    <col min="2714" max="2714" width="12.7265625" style="11" bestFit="1" customWidth="1"/>
    <col min="2715" max="2715" width="13.453125" style="11" bestFit="1" customWidth="1"/>
    <col min="2716" max="2716" width="11.81640625" style="11" bestFit="1" customWidth="1"/>
    <col min="2717" max="2717" width="10.7265625" style="11" bestFit="1" customWidth="1"/>
    <col min="2718" max="2718" width="8.81640625" style="11" bestFit="1" customWidth="1"/>
    <col min="2719" max="2719" width="10" style="11" bestFit="1" customWidth="1"/>
    <col min="2720" max="2720" width="13.1796875" style="11" bestFit="1" customWidth="1"/>
    <col min="2721" max="2721" width="20.7265625" style="11" bestFit="1" customWidth="1"/>
    <col min="2722" max="2722" width="20.7265625" style="11" customWidth="1"/>
    <col min="2723" max="2723" width="9.453125" style="11" bestFit="1" customWidth="1"/>
    <col min="2724" max="2725" width="9.26953125" style="11" bestFit="1" customWidth="1"/>
    <col min="2726" max="2726" width="10.26953125" style="11" bestFit="1" customWidth="1"/>
    <col min="2727" max="2736" width="9.26953125" style="11" bestFit="1" customWidth="1"/>
    <col min="2737" max="2737" width="10.26953125" style="11" bestFit="1" customWidth="1"/>
    <col min="2738" max="2741" width="9.26953125" style="11" bestFit="1" customWidth="1"/>
    <col min="2742" max="2742" width="11.26953125" style="11" bestFit="1" customWidth="1"/>
    <col min="2743" max="2755" width="8.7265625" style="11" customWidth="1"/>
    <col min="2756" max="2756" width="11" style="11" bestFit="1" customWidth="1"/>
    <col min="2757" max="2757" width="4.7265625" style="11" customWidth="1"/>
    <col min="2758" max="2758" width="25.26953125" style="11" customWidth="1"/>
    <col min="2759" max="2759" width="23" style="11" customWidth="1"/>
    <col min="2760" max="2760" width="10.26953125" style="11" bestFit="1" customWidth="1"/>
    <col min="2761" max="2761" width="0" style="11" hidden="1" customWidth="1"/>
    <col min="2762" max="2762" width="31.7265625" style="11" customWidth="1"/>
    <col min="2763" max="2763" width="6" style="11" customWidth="1"/>
    <col min="2764" max="2765" width="10.26953125" style="11" bestFit="1" customWidth="1"/>
    <col min="2766" max="2773" width="8.7265625" style="11" customWidth="1"/>
    <col min="2774" max="2774" width="10.26953125" style="11" bestFit="1" customWidth="1"/>
    <col min="2775" max="2856" width="8.7265625" style="11" customWidth="1"/>
    <col min="2857" max="2857" width="9.1796875" style="11"/>
    <col min="2858" max="2858" width="4.7265625" style="11" customWidth="1"/>
    <col min="2859" max="2859" width="3.54296875" style="11" customWidth="1"/>
    <col min="2860" max="2860" width="5.54296875" style="11" customWidth="1"/>
    <col min="2861" max="2861" width="8.7265625" style="11" customWidth="1"/>
    <col min="2862" max="2862" width="7.453125" style="11" customWidth="1"/>
    <col min="2863" max="2863" width="11.81640625" style="11" customWidth="1"/>
    <col min="2864" max="2864" width="8.26953125" style="11" customWidth="1"/>
    <col min="2865" max="2865" width="4.7265625" style="11" customWidth="1"/>
    <col min="2866" max="2866" width="0" style="11" hidden="1" customWidth="1"/>
    <col min="2867" max="2867" width="3.26953125" style="11" customWidth="1"/>
    <col min="2868" max="2868" width="0" style="11" hidden="1" customWidth="1"/>
    <col min="2869" max="2869" width="12" style="11" customWidth="1"/>
    <col min="2870" max="2870" width="12.81640625" style="11" customWidth="1"/>
    <col min="2871" max="2871" width="37.7265625" style="11" customWidth="1"/>
    <col min="2872" max="2873" width="8.453125" style="11" customWidth="1"/>
    <col min="2874" max="2874" width="8.54296875" style="11" customWidth="1"/>
    <col min="2875" max="2875" width="8.26953125" style="11" customWidth="1"/>
    <col min="2876" max="2876" width="12.26953125" style="11" customWidth="1"/>
    <col min="2877" max="2879" width="5.453125" style="11" customWidth="1"/>
    <col min="2880" max="2880" width="6.1796875" style="11" customWidth="1"/>
    <col min="2881" max="2881" width="5.1796875" style="11" customWidth="1"/>
    <col min="2882" max="2882" width="6.26953125" style="11" customWidth="1"/>
    <col min="2883" max="2883" width="6.7265625" style="11" customWidth="1"/>
    <col min="2884" max="2884" width="6.1796875" style="11" customWidth="1"/>
    <col min="2885" max="2885" width="6.54296875" style="11" customWidth="1"/>
    <col min="2886" max="2886" width="6.7265625" style="11" customWidth="1"/>
    <col min="2887" max="2887" width="5.7265625" style="11" customWidth="1"/>
    <col min="2888" max="2888" width="6.1796875" style="11" customWidth="1"/>
    <col min="2889" max="2889" width="6" style="11" customWidth="1"/>
    <col min="2890" max="2890" width="6.26953125" style="11" customWidth="1"/>
    <col min="2891" max="2891" width="6.54296875" style="11" customWidth="1"/>
    <col min="2892" max="2892" width="6.1796875" style="11" customWidth="1"/>
    <col min="2893" max="2893" width="5.26953125" style="11" customWidth="1"/>
    <col min="2894" max="2894" width="6.453125" style="11" customWidth="1"/>
    <col min="2895" max="2896" width="6.1796875" style="11" customWidth="1"/>
    <col min="2897" max="2897" width="6.26953125" style="11" customWidth="1"/>
    <col min="2898" max="2898" width="5.26953125" style="11" customWidth="1"/>
    <col min="2899" max="2899" width="6.81640625" style="11" customWidth="1"/>
    <col min="2900" max="2900" width="6.54296875" style="11" customWidth="1"/>
    <col min="2901" max="2901" width="6" style="11" customWidth="1"/>
    <col min="2902" max="2902" width="7" style="11" customWidth="1"/>
    <col min="2903" max="2903" width="6.26953125" style="11" customWidth="1"/>
    <col min="2904" max="2904" width="6.54296875" style="11" customWidth="1"/>
    <col min="2905" max="2905" width="6.7265625" style="11" customWidth="1"/>
    <col min="2906" max="2906" width="5.26953125" style="11" customWidth="1"/>
    <col min="2907" max="2907" width="6" style="11" customWidth="1"/>
    <col min="2908" max="2908" width="5.7265625" style="11" customWidth="1"/>
    <col min="2909" max="2913" width="12.1796875" style="11" bestFit="1" customWidth="1"/>
    <col min="2914" max="2914" width="9.81640625" style="11" bestFit="1" customWidth="1"/>
    <col min="2915" max="2915" width="11" style="11" bestFit="1" customWidth="1"/>
    <col min="2916" max="2916" width="11.26953125" style="11" bestFit="1" customWidth="1"/>
    <col min="2917" max="2917" width="11" style="11" bestFit="1" customWidth="1"/>
    <col min="2918" max="2919" width="9.81640625" style="11" bestFit="1" customWidth="1"/>
    <col min="2920" max="2920" width="10.26953125" style="11" bestFit="1" customWidth="1"/>
    <col min="2921" max="2921" width="12.1796875" style="11" bestFit="1" customWidth="1"/>
    <col min="2922" max="2922" width="11" style="11" bestFit="1" customWidth="1"/>
    <col min="2923" max="2923" width="12.1796875" style="11" bestFit="1" customWidth="1"/>
    <col min="2924" max="2924" width="13.81640625" style="11" bestFit="1" customWidth="1"/>
    <col min="2925" max="2925" width="9.81640625" style="11" bestFit="1" customWidth="1"/>
    <col min="2926" max="2926" width="13.81640625" style="11" bestFit="1" customWidth="1"/>
    <col min="2927" max="2927" width="10.81640625" style="11" bestFit="1" customWidth="1"/>
    <col min="2928" max="2928" width="12.1796875" style="11" bestFit="1" customWidth="1"/>
    <col min="2929" max="2931" width="11" style="11" bestFit="1" customWidth="1"/>
    <col min="2932" max="2932" width="14.26953125" style="11" customWidth="1"/>
    <col min="2933" max="2936" width="10.81640625" style="11" customWidth="1"/>
    <col min="2937" max="2937" width="9.54296875" style="11" customWidth="1"/>
    <col min="2938" max="2939" width="6.7265625" style="11" customWidth="1"/>
    <col min="2940" max="2946" width="8.7265625" style="11" customWidth="1"/>
    <col min="2947" max="2947" width="9.7265625" style="11" bestFit="1" customWidth="1"/>
    <col min="2948" max="2948" width="38.54296875" style="11" bestFit="1" customWidth="1"/>
    <col min="2949" max="2949" width="8.7265625" style="11" bestFit="1" customWidth="1"/>
    <col min="2950" max="2950" width="11.1796875" style="11" bestFit="1" customWidth="1"/>
    <col min="2951" max="2951" width="7.7265625" style="11" bestFit="1" customWidth="1"/>
    <col min="2952" max="2952" width="9.453125" style="11" bestFit="1" customWidth="1"/>
    <col min="2953" max="2953" width="8.7265625" style="11" bestFit="1" customWidth="1"/>
    <col min="2954" max="2954" width="10.453125" style="11" bestFit="1" customWidth="1"/>
    <col min="2955" max="2955" width="9" style="11" bestFit="1" customWidth="1"/>
    <col min="2956" max="2956" width="9.54296875" style="11" bestFit="1" customWidth="1"/>
    <col min="2957" max="2957" width="10.54296875" style="11" bestFit="1" customWidth="1"/>
    <col min="2958" max="2958" width="8.54296875" style="11" bestFit="1" customWidth="1"/>
    <col min="2959" max="2959" width="10.54296875" style="11" bestFit="1" customWidth="1"/>
    <col min="2960" max="2960" width="11" style="11" bestFit="1" customWidth="1"/>
    <col min="2961" max="2961" width="16.54296875" style="11" bestFit="1" customWidth="1"/>
    <col min="2962" max="2962" width="11" style="11" bestFit="1" customWidth="1"/>
    <col min="2963" max="2963" width="10.26953125" style="11" bestFit="1" customWidth="1"/>
    <col min="2964" max="2964" width="12.453125" style="11" bestFit="1" customWidth="1"/>
    <col min="2965" max="2965" width="10.54296875" style="11" bestFit="1" customWidth="1"/>
    <col min="2966" max="2966" width="9" style="11" bestFit="1" customWidth="1"/>
    <col min="2967" max="2967" width="10.54296875" style="11" bestFit="1" customWidth="1"/>
    <col min="2968" max="2968" width="11.1796875" style="11" bestFit="1" customWidth="1"/>
    <col min="2969" max="2969" width="11.453125" style="11" bestFit="1" customWidth="1"/>
    <col min="2970" max="2970" width="12.7265625" style="11" bestFit="1" customWidth="1"/>
    <col min="2971" max="2971" width="13.453125" style="11" bestFit="1" customWidth="1"/>
    <col min="2972" max="2972" width="11.81640625" style="11" bestFit="1" customWidth="1"/>
    <col min="2973" max="2973" width="10.7265625" style="11" bestFit="1" customWidth="1"/>
    <col min="2974" max="2974" width="8.81640625" style="11" bestFit="1" customWidth="1"/>
    <col min="2975" max="2975" width="10" style="11" bestFit="1" customWidth="1"/>
    <col min="2976" max="2976" width="13.1796875" style="11" bestFit="1" customWidth="1"/>
    <col min="2977" max="2977" width="20.7265625" style="11" bestFit="1" customWidth="1"/>
    <col min="2978" max="2978" width="20.7265625" style="11" customWidth="1"/>
    <col min="2979" max="2979" width="9.453125" style="11" bestFit="1" customWidth="1"/>
    <col min="2980" max="2981" width="9.26953125" style="11" bestFit="1" customWidth="1"/>
    <col min="2982" max="2982" width="10.26953125" style="11" bestFit="1" customWidth="1"/>
    <col min="2983" max="2992" width="9.26953125" style="11" bestFit="1" customWidth="1"/>
    <col min="2993" max="2993" width="10.26953125" style="11" bestFit="1" customWidth="1"/>
    <col min="2994" max="2997" width="9.26953125" style="11" bestFit="1" customWidth="1"/>
    <col min="2998" max="2998" width="11.26953125" style="11" bestFit="1" customWidth="1"/>
    <col min="2999" max="3011" width="8.7265625" style="11" customWidth="1"/>
    <col min="3012" max="3012" width="11" style="11" bestFit="1" customWidth="1"/>
    <col min="3013" max="3013" width="4.7265625" style="11" customWidth="1"/>
    <col min="3014" max="3014" width="25.26953125" style="11" customWidth="1"/>
    <col min="3015" max="3015" width="23" style="11" customWidth="1"/>
    <col min="3016" max="3016" width="10.26953125" style="11" bestFit="1" customWidth="1"/>
    <col min="3017" max="3017" width="0" style="11" hidden="1" customWidth="1"/>
    <col min="3018" max="3018" width="31.7265625" style="11" customWidth="1"/>
    <col min="3019" max="3019" width="6" style="11" customWidth="1"/>
    <col min="3020" max="3021" width="10.26953125" style="11" bestFit="1" customWidth="1"/>
    <col min="3022" max="3029" width="8.7265625" style="11" customWidth="1"/>
    <col min="3030" max="3030" width="10.26953125" style="11" bestFit="1" customWidth="1"/>
    <col min="3031" max="3112" width="8.7265625" style="11" customWidth="1"/>
    <col min="3113" max="3113" width="9.1796875" style="11"/>
    <col min="3114" max="3114" width="4.7265625" style="11" customWidth="1"/>
    <col min="3115" max="3115" width="3.54296875" style="11" customWidth="1"/>
    <col min="3116" max="3116" width="5.54296875" style="11" customWidth="1"/>
    <col min="3117" max="3117" width="8.7265625" style="11" customWidth="1"/>
    <col min="3118" max="3118" width="7.453125" style="11" customWidth="1"/>
    <col min="3119" max="3119" width="11.81640625" style="11" customWidth="1"/>
    <col min="3120" max="3120" width="8.26953125" style="11" customWidth="1"/>
    <col min="3121" max="3121" width="4.7265625" style="11" customWidth="1"/>
    <col min="3122" max="3122" width="0" style="11" hidden="1" customWidth="1"/>
    <col min="3123" max="3123" width="3.26953125" style="11" customWidth="1"/>
    <col min="3124" max="3124" width="0" style="11" hidden="1" customWidth="1"/>
    <col min="3125" max="3125" width="12" style="11" customWidth="1"/>
    <col min="3126" max="3126" width="12.81640625" style="11" customWidth="1"/>
    <col min="3127" max="3127" width="37.7265625" style="11" customWidth="1"/>
    <col min="3128" max="3129" width="8.453125" style="11" customWidth="1"/>
    <col min="3130" max="3130" width="8.54296875" style="11" customWidth="1"/>
    <col min="3131" max="3131" width="8.26953125" style="11" customWidth="1"/>
    <col min="3132" max="3132" width="12.26953125" style="11" customWidth="1"/>
    <col min="3133" max="3135" width="5.453125" style="11" customWidth="1"/>
    <col min="3136" max="3136" width="6.1796875" style="11" customWidth="1"/>
    <col min="3137" max="3137" width="5.1796875" style="11" customWidth="1"/>
    <col min="3138" max="3138" width="6.26953125" style="11" customWidth="1"/>
    <col min="3139" max="3139" width="6.7265625" style="11" customWidth="1"/>
    <col min="3140" max="3140" width="6.1796875" style="11" customWidth="1"/>
    <col min="3141" max="3141" width="6.54296875" style="11" customWidth="1"/>
    <col min="3142" max="3142" width="6.7265625" style="11" customWidth="1"/>
    <col min="3143" max="3143" width="5.7265625" style="11" customWidth="1"/>
    <col min="3144" max="3144" width="6.1796875" style="11" customWidth="1"/>
    <col min="3145" max="3145" width="6" style="11" customWidth="1"/>
    <col min="3146" max="3146" width="6.26953125" style="11" customWidth="1"/>
    <col min="3147" max="3147" width="6.54296875" style="11" customWidth="1"/>
    <col min="3148" max="3148" width="6.1796875" style="11" customWidth="1"/>
    <col min="3149" max="3149" width="5.26953125" style="11" customWidth="1"/>
    <col min="3150" max="3150" width="6.453125" style="11" customWidth="1"/>
    <col min="3151" max="3152" width="6.1796875" style="11" customWidth="1"/>
    <col min="3153" max="3153" width="6.26953125" style="11" customWidth="1"/>
    <col min="3154" max="3154" width="5.26953125" style="11" customWidth="1"/>
    <col min="3155" max="3155" width="6.81640625" style="11" customWidth="1"/>
    <col min="3156" max="3156" width="6.54296875" style="11" customWidth="1"/>
    <col min="3157" max="3157" width="6" style="11" customWidth="1"/>
    <col min="3158" max="3158" width="7" style="11" customWidth="1"/>
    <col min="3159" max="3159" width="6.26953125" style="11" customWidth="1"/>
    <col min="3160" max="3160" width="6.54296875" style="11" customWidth="1"/>
    <col min="3161" max="3161" width="6.7265625" style="11" customWidth="1"/>
    <col min="3162" max="3162" width="5.26953125" style="11" customWidth="1"/>
    <col min="3163" max="3163" width="6" style="11" customWidth="1"/>
    <col min="3164" max="3164" width="5.7265625" style="11" customWidth="1"/>
    <col min="3165" max="3169" width="12.1796875" style="11" bestFit="1" customWidth="1"/>
    <col min="3170" max="3170" width="9.81640625" style="11" bestFit="1" customWidth="1"/>
    <col min="3171" max="3171" width="11" style="11" bestFit="1" customWidth="1"/>
    <col min="3172" max="3172" width="11.26953125" style="11" bestFit="1" customWidth="1"/>
    <col min="3173" max="3173" width="11" style="11" bestFit="1" customWidth="1"/>
    <col min="3174" max="3175" width="9.81640625" style="11" bestFit="1" customWidth="1"/>
    <col min="3176" max="3176" width="10.26953125" style="11" bestFit="1" customWidth="1"/>
    <col min="3177" max="3177" width="12.1796875" style="11" bestFit="1" customWidth="1"/>
    <col min="3178" max="3178" width="11" style="11" bestFit="1" customWidth="1"/>
    <col min="3179" max="3179" width="12.1796875" style="11" bestFit="1" customWidth="1"/>
    <col min="3180" max="3180" width="13.81640625" style="11" bestFit="1" customWidth="1"/>
    <col min="3181" max="3181" width="9.81640625" style="11" bestFit="1" customWidth="1"/>
    <col min="3182" max="3182" width="13.81640625" style="11" bestFit="1" customWidth="1"/>
    <col min="3183" max="3183" width="10.81640625" style="11" bestFit="1" customWidth="1"/>
    <col min="3184" max="3184" width="12.1796875" style="11" bestFit="1" customWidth="1"/>
    <col min="3185" max="3187" width="11" style="11" bestFit="1" customWidth="1"/>
    <col min="3188" max="3188" width="14.26953125" style="11" customWidth="1"/>
    <col min="3189" max="3192" width="10.81640625" style="11" customWidth="1"/>
    <col min="3193" max="3193" width="9.54296875" style="11" customWidth="1"/>
    <col min="3194" max="3195" width="6.7265625" style="11" customWidth="1"/>
    <col min="3196" max="3202" width="8.7265625" style="11" customWidth="1"/>
    <col min="3203" max="3203" width="9.7265625" style="11" bestFit="1" customWidth="1"/>
    <col min="3204" max="3204" width="38.54296875" style="11" bestFit="1" customWidth="1"/>
    <col min="3205" max="3205" width="8.7265625" style="11" bestFit="1" customWidth="1"/>
    <col min="3206" max="3206" width="11.1796875" style="11" bestFit="1" customWidth="1"/>
    <col min="3207" max="3207" width="7.7265625" style="11" bestFit="1" customWidth="1"/>
    <col min="3208" max="3208" width="9.453125" style="11" bestFit="1" customWidth="1"/>
    <col min="3209" max="3209" width="8.7265625" style="11" bestFit="1" customWidth="1"/>
    <col min="3210" max="3210" width="10.453125" style="11" bestFit="1" customWidth="1"/>
    <col min="3211" max="3211" width="9" style="11" bestFit="1" customWidth="1"/>
    <col min="3212" max="3212" width="9.54296875" style="11" bestFit="1" customWidth="1"/>
    <col min="3213" max="3213" width="10.54296875" style="11" bestFit="1" customWidth="1"/>
    <col min="3214" max="3214" width="8.54296875" style="11" bestFit="1" customWidth="1"/>
    <col min="3215" max="3215" width="10.54296875" style="11" bestFit="1" customWidth="1"/>
    <col min="3216" max="3216" width="11" style="11" bestFit="1" customWidth="1"/>
    <col min="3217" max="3217" width="16.54296875" style="11" bestFit="1" customWidth="1"/>
    <col min="3218" max="3218" width="11" style="11" bestFit="1" customWidth="1"/>
    <col min="3219" max="3219" width="10.26953125" style="11" bestFit="1" customWidth="1"/>
    <col min="3220" max="3220" width="12.453125" style="11" bestFit="1" customWidth="1"/>
    <col min="3221" max="3221" width="10.54296875" style="11" bestFit="1" customWidth="1"/>
    <col min="3222" max="3222" width="9" style="11" bestFit="1" customWidth="1"/>
    <col min="3223" max="3223" width="10.54296875" style="11" bestFit="1" customWidth="1"/>
    <col min="3224" max="3224" width="11.1796875" style="11" bestFit="1" customWidth="1"/>
    <col min="3225" max="3225" width="11.453125" style="11" bestFit="1" customWidth="1"/>
    <col min="3226" max="3226" width="12.7265625" style="11" bestFit="1" customWidth="1"/>
    <col min="3227" max="3227" width="13.453125" style="11" bestFit="1" customWidth="1"/>
    <col min="3228" max="3228" width="11.81640625" style="11" bestFit="1" customWidth="1"/>
    <col min="3229" max="3229" width="10.7265625" style="11" bestFit="1" customWidth="1"/>
    <col min="3230" max="3230" width="8.81640625" style="11" bestFit="1" customWidth="1"/>
    <col min="3231" max="3231" width="10" style="11" bestFit="1" customWidth="1"/>
    <col min="3232" max="3232" width="13.1796875" style="11" bestFit="1" customWidth="1"/>
    <col min="3233" max="3233" width="20.7265625" style="11" bestFit="1" customWidth="1"/>
    <col min="3234" max="3234" width="20.7265625" style="11" customWidth="1"/>
    <col min="3235" max="3235" width="9.453125" style="11" bestFit="1" customWidth="1"/>
    <col min="3236" max="3237" width="9.26953125" style="11" bestFit="1" customWidth="1"/>
    <col min="3238" max="3238" width="10.26953125" style="11" bestFit="1" customWidth="1"/>
    <col min="3239" max="3248" width="9.26953125" style="11" bestFit="1" customWidth="1"/>
    <col min="3249" max="3249" width="10.26953125" style="11" bestFit="1" customWidth="1"/>
    <col min="3250" max="3253" width="9.26953125" style="11" bestFit="1" customWidth="1"/>
    <col min="3254" max="3254" width="11.26953125" style="11" bestFit="1" customWidth="1"/>
    <col min="3255" max="3267" width="8.7265625" style="11" customWidth="1"/>
    <col min="3268" max="3268" width="11" style="11" bestFit="1" customWidth="1"/>
    <col min="3269" max="3269" width="4.7265625" style="11" customWidth="1"/>
    <col min="3270" max="3270" width="25.26953125" style="11" customWidth="1"/>
    <col min="3271" max="3271" width="23" style="11" customWidth="1"/>
    <col min="3272" max="3272" width="10.26953125" style="11" bestFit="1" customWidth="1"/>
    <col min="3273" max="3273" width="0" style="11" hidden="1" customWidth="1"/>
    <col min="3274" max="3274" width="31.7265625" style="11" customWidth="1"/>
    <col min="3275" max="3275" width="6" style="11" customWidth="1"/>
    <col min="3276" max="3277" width="10.26953125" style="11" bestFit="1" customWidth="1"/>
    <col min="3278" max="3285" width="8.7265625" style="11" customWidth="1"/>
    <col min="3286" max="3286" width="10.26953125" style="11" bestFit="1" customWidth="1"/>
    <col min="3287" max="3368" width="8.7265625" style="11" customWidth="1"/>
    <col min="3369" max="3369" width="9.1796875" style="11"/>
    <col min="3370" max="3370" width="4.7265625" style="11" customWidth="1"/>
    <col min="3371" max="3371" width="3.54296875" style="11" customWidth="1"/>
    <col min="3372" max="3372" width="5.54296875" style="11" customWidth="1"/>
    <col min="3373" max="3373" width="8.7265625" style="11" customWidth="1"/>
    <col min="3374" max="3374" width="7.453125" style="11" customWidth="1"/>
    <col min="3375" max="3375" width="11.81640625" style="11" customWidth="1"/>
    <col min="3376" max="3376" width="8.26953125" style="11" customWidth="1"/>
    <col min="3377" max="3377" width="4.7265625" style="11" customWidth="1"/>
    <col min="3378" max="3378" width="0" style="11" hidden="1" customWidth="1"/>
    <col min="3379" max="3379" width="3.26953125" style="11" customWidth="1"/>
    <col min="3380" max="3380" width="0" style="11" hidden="1" customWidth="1"/>
    <col min="3381" max="3381" width="12" style="11" customWidth="1"/>
    <col min="3382" max="3382" width="12.81640625" style="11" customWidth="1"/>
    <col min="3383" max="3383" width="37.7265625" style="11" customWidth="1"/>
    <col min="3384" max="3385" width="8.453125" style="11" customWidth="1"/>
    <col min="3386" max="3386" width="8.54296875" style="11" customWidth="1"/>
    <col min="3387" max="3387" width="8.26953125" style="11" customWidth="1"/>
    <col min="3388" max="3388" width="12.26953125" style="11" customWidth="1"/>
    <col min="3389" max="3391" width="5.453125" style="11" customWidth="1"/>
    <col min="3392" max="3392" width="6.1796875" style="11" customWidth="1"/>
    <col min="3393" max="3393" width="5.1796875" style="11" customWidth="1"/>
    <col min="3394" max="3394" width="6.26953125" style="11" customWidth="1"/>
    <col min="3395" max="3395" width="6.7265625" style="11" customWidth="1"/>
    <col min="3396" max="3396" width="6.1796875" style="11" customWidth="1"/>
    <col min="3397" max="3397" width="6.54296875" style="11" customWidth="1"/>
    <col min="3398" max="3398" width="6.7265625" style="11" customWidth="1"/>
    <col min="3399" max="3399" width="5.7265625" style="11" customWidth="1"/>
    <col min="3400" max="3400" width="6.1796875" style="11" customWidth="1"/>
    <col min="3401" max="3401" width="6" style="11" customWidth="1"/>
    <col min="3402" max="3402" width="6.26953125" style="11" customWidth="1"/>
    <col min="3403" max="3403" width="6.54296875" style="11" customWidth="1"/>
    <col min="3404" max="3404" width="6.1796875" style="11" customWidth="1"/>
    <col min="3405" max="3405" width="5.26953125" style="11" customWidth="1"/>
    <col min="3406" max="3406" width="6.453125" style="11" customWidth="1"/>
    <col min="3407" max="3408" width="6.1796875" style="11" customWidth="1"/>
    <col min="3409" max="3409" width="6.26953125" style="11" customWidth="1"/>
    <col min="3410" max="3410" width="5.26953125" style="11" customWidth="1"/>
    <col min="3411" max="3411" width="6.81640625" style="11" customWidth="1"/>
    <col min="3412" max="3412" width="6.54296875" style="11" customWidth="1"/>
    <col min="3413" max="3413" width="6" style="11" customWidth="1"/>
    <col min="3414" max="3414" width="7" style="11" customWidth="1"/>
    <col min="3415" max="3415" width="6.26953125" style="11" customWidth="1"/>
    <col min="3416" max="3416" width="6.54296875" style="11" customWidth="1"/>
    <col min="3417" max="3417" width="6.7265625" style="11" customWidth="1"/>
    <col min="3418" max="3418" width="5.26953125" style="11" customWidth="1"/>
    <col min="3419" max="3419" width="6" style="11" customWidth="1"/>
    <col min="3420" max="3420" width="5.7265625" style="11" customWidth="1"/>
    <col min="3421" max="3425" width="12.1796875" style="11" bestFit="1" customWidth="1"/>
    <col min="3426" max="3426" width="9.81640625" style="11" bestFit="1" customWidth="1"/>
    <col min="3427" max="3427" width="11" style="11" bestFit="1" customWidth="1"/>
    <col min="3428" max="3428" width="11.26953125" style="11" bestFit="1" customWidth="1"/>
    <col min="3429" max="3429" width="11" style="11" bestFit="1" customWidth="1"/>
    <col min="3430" max="3431" width="9.81640625" style="11" bestFit="1" customWidth="1"/>
    <col min="3432" max="3432" width="10.26953125" style="11" bestFit="1" customWidth="1"/>
    <col min="3433" max="3433" width="12.1796875" style="11" bestFit="1" customWidth="1"/>
    <col min="3434" max="3434" width="11" style="11" bestFit="1" customWidth="1"/>
    <col min="3435" max="3435" width="12.1796875" style="11" bestFit="1" customWidth="1"/>
    <col min="3436" max="3436" width="13.81640625" style="11" bestFit="1" customWidth="1"/>
    <col min="3437" max="3437" width="9.81640625" style="11" bestFit="1" customWidth="1"/>
    <col min="3438" max="3438" width="13.81640625" style="11" bestFit="1" customWidth="1"/>
    <col min="3439" max="3439" width="10.81640625" style="11" bestFit="1" customWidth="1"/>
    <col min="3440" max="3440" width="12.1796875" style="11" bestFit="1" customWidth="1"/>
    <col min="3441" max="3443" width="11" style="11" bestFit="1" customWidth="1"/>
    <col min="3444" max="3444" width="14.26953125" style="11" customWidth="1"/>
    <col min="3445" max="3448" width="10.81640625" style="11" customWidth="1"/>
    <col min="3449" max="3449" width="9.54296875" style="11" customWidth="1"/>
    <col min="3450" max="3451" width="6.7265625" style="11" customWidth="1"/>
    <col min="3452" max="3458" width="8.7265625" style="11" customWidth="1"/>
    <col min="3459" max="3459" width="9.7265625" style="11" bestFit="1" customWidth="1"/>
    <col min="3460" max="3460" width="38.54296875" style="11" bestFit="1" customWidth="1"/>
    <col min="3461" max="3461" width="8.7265625" style="11" bestFit="1" customWidth="1"/>
    <col min="3462" max="3462" width="11.1796875" style="11" bestFit="1" customWidth="1"/>
    <col min="3463" max="3463" width="7.7265625" style="11" bestFit="1" customWidth="1"/>
    <col min="3464" max="3464" width="9.453125" style="11" bestFit="1" customWidth="1"/>
    <col min="3465" max="3465" width="8.7265625" style="11" bestFit="1" customWidth="1"/>
    <col min="3466" max="3466" width="10.453125" style="11" bestFit="1" customWidth="1"/>
    <col min="3467" max="3467" width="9" style="11" bestFit="1" customWidth="1"/>
    <col min="3468" max="3468" width="9.54296875" style="11" bestFit="1" customWidth="1"/>
    <col min="3469" max="3469" width="10.54296875" style="11" bestFit="1" customWidth="1"/>
    <col min="3470" max="3470" width="8.54296875" style="11" bestFit="1" customWidth="1"/>
    <col min="3471" max="3471" width="10.54296875" style="11" bestFit="1" customWidth="1"/>
    <col min="3472" max="3472" width="11" style="11" bestFit="1" customWidth="1"/>
    <col min="3473" max="3473" width="16.54296875" style="11" bestFit="1" customWidth="1"/>
    <col min="3474" max="3474" width="11" style="11" bestFit="1" customWidth="1"/>
    <col min="3475" max="3475" width="10.26953125" style="11" bestFit="1" customWidth="1"/>
    <col min="3476" max="3476" width="12.453125" style="11" bestFit="1" customWidth="1"/>
    <col min="3477" max="3477" width="10.54296875" style="11" bestFit="1" customWidth="1"/>
    <col min="3478" max="3478" width="9" style="11" bestFit="1" customWidth="1"/>
    <col min="3479" max="3479" width="10.54296875" style="11" bestFit="1" customWidth="1"/>
    <col min="3480" max="3480" width="11.1796875" style="11" bestFit="1" customWidth="1"/>
    <col min="3481" max="3481" width="11.453125" style="11" bestFit="1" customWidth="1"/>
    <col min="3482" max="3482" width="12.7265625" style="11" bestFit="1" customWidth="1"/>
    <col min="3483" max="3483" width="13.453125" style="11" bestFit="1" customWidth="1"/>
    <col min="3484" max="3484" width="11.81640625" style="11" bestFit="1" customWidth="1"/>
    <col min="3485" max="3485" width="10.7265625" style="11" bestFit="1" customWidth="1"/>
    <col min="3486" max="3486" width="8.81640625" style="11" bestFit="1" customWidth="1"/>
    <col min="3487" max="3487" width="10" style="11" bestFit="1" customWidth="1"/>
    <col min="3488" max="3488" width="13.1796875" style="11" bestFit="1" customWidth="1"/>
    <col min="3489" max="3489" width="20.7265625" style="11" bestFit="1" customWidth="1"/>
    <col min="3490" max="3490" width="20.7265625" style="11" customWidth="1"/>
    <col min="3491" max="3491" width="9.453125" style="11" bestFit="1" customWidth="1"/>
    <col min="3492" max="3493" width="9.26953125" style="11" bestFit="1" customWidth="1"/>
    <col min="3494" max="3494" width="10.26953125" style="11" bestFit="1" customWidth="1"/>
    <col min="3495" max="3504" width="9.26953125" style="11" bestFit="1" customWidth="1"/>
    <col min="3505" max="3505" width="10.26953125" style="11" bestFit="1" customWidth="1"/>
    <col min="3506" max="3509" width="9.26953125" style="11" bestFit="1" customWidth="1"/>
    <col min="3510" max="3510" width="11.26953125" style="11" bestFit="1" customWidth="1"/>
    <col min="3511" max="3523" width="8.7265625" style="11" customWidth="1"/>
    <col min="3524" max="3524" width="11" style="11" bestFit="1" customWidth="1"/>
    <col min="3525" max="3525" width="4.7265625" style="11" customWidth="1"/>
    <col min="3526" max="3526" width="25.26953125" style="11" customWidth="1"/>
    <col min="3527" max="3527" width="23" style="11" customWidth="1"/>
    <col min="3528" max="3528" width="10.26953125" style="11" bestFit="1" customWidth="1"/>
    <col min="3529" max="3529" width="0" style="11" hidden="1" customWidth="1"/>
    <col min="3530" max="3530" width="31.7265625" style="11" customWidth="1"/>
    <col min="3531" max="3531" width="6" style="11" customWidth="1"/>
    <col min="3532" max="3533" width="10.26953125" style="11" bestFit="1" customWidth="1"/>
    <col min="3534" max="3541" width="8.7265625" style="11" customWidth="1"/>
    <col min="3542" max="3542" width="10.26953125" style="11" bestFit="1" customWidth="1"/>
    <col min="3543" max="3624" width="8.7265625" style="11" customWidth="1"/>
    <col min="3625" max="3625" width="9.1796875" style="11"/>
    <col min="3626" max="3626" width="4.7265625" style="11" customWidth="1"/>
    <col min="3627" max="3627" width="3.54296875" style="11" customWidth="1"/>
    <col min="3628" max="3628" width="5.54296875" style="11" customWidth="1"/>
    <col min="3629" max="3629" width="8.7265625" style="11" customWidth="1"/>
    <col min="3630" max="3630" width="7.453125" style="11" customWidth="1"/>
    <col min="3631" max="3631" width="11.81640625" style="11" customWidth="1"/>
    <col min="3632" max="3632" width="8.26953125" style="11" customWidth="1"/>
    <col min="3633" max="3633" width="4.7265625" style="11" customWidth="1"/>
    <col min="3634" max="3634" width="0" style="11" hidden="1" customWidth="1"/>
    <col min="3635" max="3635" width="3.26953125" style="11" customWidth="1"/>
    <col min="3636" max="3636" width="0" style="11" hidden="1" customWidth="1"/>
    <col min="3637" max="3637" width="12" style="11" customWidth="1"/>
    <col min="3638" max="3638" width="12.81640625" style="11" customWidth="1"/>
    <col min="3639" max="3639" width="37.7265625" style="11" customWidth="1"/>
    <col min="3640" max="3641" width="8.453125" style="11" customWidth="1"/>
    <col min="3642" max="3642" width="8.54296875" style="11" customWidth="1"/>
    <col min="3643" max="3643" width="8.26953125" style="11" customWidth="1"/>
    <col min="3644" max="3644" width="12.26953125" style="11" customWidth="1"/>
    <col min="3645" max="3647" width="5.453125" style="11" customWidth="1"/>
    <col min="3648" max="3648" width="6.1796875" style="11" customWidth="1"/>
    <col min="3649" max="3649" width="5.1796875" style="11" customWidth="1"/>
    <col min="3650" max="3650" width="6.26953125" style="11" customWidth="1"/>
    <col min="3651" max="3651" width="6.7265625" style="11" customWidth="1"/>
    <col min="3652" max="3652" width="6.1796875" style="11" customWidth="1"/>
    <col min="3653" max="3653" width="6.54296875" style="11" customWidth="1"/>
    <col min="3654" max="3654" width="6.7265625" style="11" customWidth="1"/>
    <col min="3655" max="3655" width="5.7265625" style="11" customWidth="1"/>
    <col min="3656" max="3656" width="6.1796875" style="11" customWidth="1"/>
    <col min="3657" max="3657" width="6" style="11" customWidth="1"/>
    <col min="3658" max="3658" width="6.26953125" style="11" customWidth="1"/>
    <col min="3659" max="3659" width="6.54296875" style="11" customWidth="1"/>
    <col min="3660" max="3660" width="6.1796875" style="11" customWidth="1"/>
    <col min="3661" max="3661" width="5.26953125" style="11" customWidth="1"/>
    <col min="3662" max="3662" width="6.453125" style="11" customWidth="1"/>
    <col min="3663" max="3664" width="6.1796875" style="11" customWidth="1"/>
    <col min="3665" max="3665" width="6.26953125" style="11" customWidth="1"/>
    <col min="3666" max="3666" width="5.26953125" style="11" customWidth="1"/>
    <col min="3667" max="3667" width="6.81640625" style="11" customWidth="1"/>
    <col min="3668" max="3668" width="6.54296875" style="11" customWidth="1"/>
    <col min="3669" max="3669" width="6" style="11" customWidth="1"/>
    <col min="3670" max="3670" width="7" style="11" customWidth="1"/>
    <col min="3671" max="3671" width="6.26953125" style="11" customWidth="1"/>
    <col min="3672" max="3672" width="6.54296875" style="11" customWidth="1"/>
    <col min="3673" max="3673" width="6.7265625" style="11" customWidth="1"/>
    <col min="3674" max="3674" width="5.26953125" style="11" customWidth="1"/>
    <col min="3675" max="3675" width="6" style="11" customWidth="1"/>
    <col min="3676" max="3676" width="5.7265625" style="11" customWidth="1"/>
    <col min="3677" max="3681" width="12.1796875" style="11" bestFit="1" customWidth="1"/>
    <col min="3682" max="3682" width="9.81640625" style="11" bestFit="1" customWidth="1"/>
    <col min="3683" max="3683" width="11" style="11" bestFit="1" customWidth="1"/>
    <col min="3684" max="3684" width="11.26953125" style="11" bestFit="1" customWidth="1"/>
    <col min="3685" max="3685" width="11" style="11" bestFit="1" customWidth="1"/>
    <col min="3686" max="3687" width="9.81640625" style="11" bestFit="1" customWidth="1"/>
    <col min="3688" max="3688" width="10.26953125" style="11" bestFit="1" customWidth="1"/>
    <col min="3689" max="3689" width="12.1796875" style="11" bestFit="1" customWidth="1"/>
    <col min="3690" max="3690" width="11" style="11" bestFit="1" customWidth="1"/>
    <col min="3691" max="3691" width="12.1796875" style="11" bestFit="1" customWidth="1"/>
    <col min="3692" max="3692" width="13.81640625" style="11" bestFit="1" customWidth="1"/>
    <col min="3693" max="3693" width="9.81640625" style="11" bestFit="1" customWidth="1"/>
    <col min="3694" max="3694" width="13.81640625" style="11" bestFit="1" customWidth="1"/>
    <col min="3695" max="3695" width="10.81640625" style="11" bestFit="1" customWidth="1"/>
    <col min="3696" max="3696" width="12.1796875" style="11" bestFit="1" customWidth="1"/>
    <col min="3697" max="3699" width="11" style="11" bestFit="1" customWidth="1"/>
    <col min="3700" max="3700" width="14.26953125" style="11" customWidth="1"/>
    <col min="3701" max="3704" width="10.81640625" style="11" customWidth="1"/>
    <col min="3705" max="3705" width="9.54296875" style="11" customWidth="1"/>
    <col min="3706" max="3707" width="6.7265625" style="11" customWidth="1"/>
    <col min="3708" max="3714" width="8.7265625" style="11" customWidth="1"/>
    <col min="3715" max="3715" width="9.7265625" style="11" bestFit="1" customWidth="1"/>
    <col min="3716" max="3716" width="38.54296875" style="11" bestFit="1" customWidth="1"/>
    <col min="3717" max="3717" width="8.7265625" style="11" bestFit="1" customWidth="1"/>
    <col min="3718" max="3718" width="11.1796875" style="11" bestFit="1" customWidth="1"/>
    <col min="3719" max="3719" width="7.7265625" style="11" bestFit="1" customWidth="1"/>
    <col min="3720" max="3720" width="9.453125" style="11" bestFit="1" customWidth="1"/>
    <col min="3721" max="3721" width="8.7265625" style="11" bestFit="1" customWidth="1"/>
    <col min="3722" max="3722" width="10.453125" style="11" bestFit="1" customWidth="1"/>
    <col min="3723" max="3723" width="9" style="11" bestFit="1" customWidth="1"/>
    <col min="3724" max="3724" width="9.54296875" style="11" bestFit="1" customWidth="1"/>
    <col min="3725" max="3725" width="10.54296875" style="11" bestFit="1" customWidth="1"/>
    <col min="3726" max="3726" width="8.54296875" style="11" bestFit="1" customWidth="1"/>
    <col min="3727" max="3727" width="10.54296875" style="11" bestFit="1" customWidth="1"/>
    <col min="3728" max="3728" width="11" style="11" bestFit="1" customWidth="1"/>
    <col min="3729" max="3729" width="16.54296875" style="11" bestFit="1" customWidth="1"/>
    <col min="3730" max="3730" width="11" style="11" bestFit="1" customWidth="1"/>
    <col min="3731" max="3731" width="10.26953125" style="11" bestFit="1" customWidth="1"/>
    <col min="3732" max="3732" width="12.453125" style="11" bestFit="1" customWidth="1"/>
    <col min="3733" max="3733" width="10.54296875" style="11" bestFit="1" customWidth="1"/>
    <col min="3734" max="3734" width="9" style="11" bestFit="1" customWidth="1"/>
    <col min="3735" max="3735" width="10.54296875" style="11" bestFit="1" customWidth="1"/>
    <col min="3736" max="3736" width="11.1796875" style="11" bestFit="1" customWidth="1"/>
    <col min="3737" max="3737" width="11.453125" style="11" bestFit="1" customWidth="1"/>
    <col min="3738" max="3738" width="12.7265625" style="11" bestFit="1" customWidth="1"/>
    <col min="3739" max="3739" width="13.453125" style="11" bestFit="1" customWidth="1"/>
    <col min="3740" max="3740" width="11.81640625" style="11" bestFit="1" customWidth="1"/>
    <col min="3741" max="3741" width="10.7265625" style="11" bestFit="1" customWidth="1"/>
    <col min="3742" max="3742" width="8.81640625" style="11" bestFit="1" customWidth="1"/>
    <col min="3743" max="3743" width="10" style="11" bestFit="1" customWidth="1"/>
    <col min="3744" max="3744" width="13.1796875" style="11" bestFit="1" customWidth="1"/>
    <col min="3745" max="3745" width="20.7265625" style="11" bestFit="1" customWidth="1"/>
    <col min="3746" max="3746" width="20.7265625" style="11" customWidth="1"/>
    <col min="3747" max="3747" width="9.453125" style="11" bestFit="1" customWidth="1"/>
    <col min="3748" max="3749" width="9.26953125" style="11" bestFit="1" customWidth="1"/>
    <col min="3750" max="3750" width="10.26953125" style="11" bestFit="1" customWidth="1"/>
    <col min="3751" max="3760" width="9.26953125" style="11" bestFit="1" customWidth="1"/>
    <col min="3761" max="3761" width="10.26953125" style="11" bestFit="1" customWidth="1"/>
    <col min="3762" max="3765" width="9.26953125" style="11" bestFit="1" customWidth="1"/>
    <col min="3766" max="3766" width="11.26953125" style="11" bestFit="1" customWidth="1"/>
    <col min="3767" max="3779" width="8.7265625" style="11" customWidth="1"/>
    <col min="3780" max="3780" width="11" style="11" bestFit="1" customWidth="1"/>
    <col min="3781" max="3781" width="4.7265625" style="11" customWidth="1"/>
    <col min="3782" max="3782" width="25.26953125" style="11" customWidth="1"/>
    <col min="3783" max="3783" width="23" style="11" customWidth="1"/>
    <col min="3784" max="3784" width="10.26953125" style="11" bestFit="1" customWidth="1"/>
    <col min="3785" max="3785" width="0" style="11" hidden="1" customWidth="1"/>
    <col min="3786" max="3786" width="31.7265625" style="11" customWidth="1"/>
    <col min="3787" max="3787" width="6" style="11" customWidth="1"/>
    <col min="3788" max="3789" width="10.26953125" style="11" bestFit="1" customWidth="1"/>
    <col min="3790" max="3797" width="8.7265625" style="11" customWidth="1"/>
    <col min="3798" max="3798" width="10.26953125" style="11" bestFit="1" customWidth="1"/>
    <col min="3799" max="3880" width="8.7265625" style="11" customWidth="1"/>
    <col min="3881" max="3881" width="9.1796875" style="11"/>
    <col min="3882" max="3882" width="4.7265625" style="11" customWidth="1"/>
    <col min="3883" max="3883" width="3.54296875" style="11" customWidth="1"/>
    <col min="3884" max="3884" width="5.54296875" style="11" customWidth="1"/>
    <col min="3885" max="3885" width="8.7265625" style="11" customWidth="1"/>
    <col min="3886" max="3886" width="7.453125" style="11" customWidth="1"/>
    <col min="3887" max="3887" width="11.81640625" style="11" customWidth="1"/>
    <col min="3888" max="3888" width="8.26953125" style="11" customWidth="1"/>
    <col min="3889" max="3889" width="4.7265625" style="11" customWidth="1"/>
    <col min="3890" max="3890" width="0" style="11" hidden="1" customWidth="1"/>
    <col min="3891" max="3891" width="3.26953125" style="11" customWidth="1"/>
    <col min="3892" max="3892" width="0" style="11" hidden="1" customWidth="1"/>
    <col min="3893" max="3893" width="12" style="11" customWidth="1"/>
    <col min="3894" max="3894" width="12.81640625" style="11" customWidth="1"/>
    <col min="3895" max="3895" width="37.7265625" style="11" customWidth="1"/>
    <col min="3896" max="3897" width="8.453125" style="11" customWidth="1"/>
    <col min="3898" max="3898" width="8.54296875" style="11" customWidth="1"/>
    <col min="3899" max="3899" width="8.26953125" style="11" customWidth="1"/>
    <col min="3900" max="3900" width="12.26953125" style="11" customWidth="1"/>
    <col min="3901" max="3903" width="5.453125" style="11" customWidth="1"/>
    <col min="3904" max="3904" width="6.1796875" style="11" customWidth="1"/>
    <col min="3905" max="3905" width="5.1796875" style="11" customWidth="1"/>
    <col min="3906" max="3906" width="6.26953125" style="11" customWidth="1"/>
    <col min="3907" max="3907" width="6.7265625" style="11" customWidth="1"/>
    <col min="3908" max="3908" width="6.1796875" style="11" customWidth="1"/>
    <col min="3909" max="3909" width="6.54296875" style="11" customWidth="1"/>
    <col min="3910" max="3910" width="6.7265625" style="11" customWidth="1"/>
    <col min="3911" max="3911" width="5.7265625" style="11" customWidth="1"/>
    <col min="3912" max="3912" width="6.1796875" style="11" customWidth="1"/>
    <col min="3913" max="3913" width="6" style="11" customWidth="1"/>
    <col min="3914" max="3914" width="6.26953125" style="11" customWidth="1"/>
    <col min="3915" max="3915" width="6.54296875" style="11" customWidth="1"/>
    <col min="3916" max="3916" width="6.1796875" style="11" customWidth="1"/>
    <col min="3917" max="3917" width="5.26953125" style="11" customWidth="1"/>
    <col min="3918" max="3918" width="6.453125" style="11" customWidth="1"/>
    <col min="3919" max="3920" width="6.1796875" style="11" customWidth="1"/>
    <col min="3921" max="3921" width="6.26953125" style="11" customWidth="1"/>
    <col min="3922" max="3922" width="5.26953125" style="11" customWidth="1"/>
    <col min="3923" max="3923" width="6.81640625" style="11" customWidth="1"/>
    <col min="3924" max="3924" width="6.54296875" style="11" customWidth="1"/>
    <col min="3925" max="3925" width="6" style="11" customWidth="1"/>
    <col min="3926" max="3926" width="7" style="11" customWidth="1"/>
    <col min="3927" max="3927" width="6.26953125" style="11" customWidth="1"/>
    <col min="3928" max="3928" width="6.54296875" style="11" customWidth="1"/>
    <col min="3929" max="3929" width="6.7265625" style="11" customWidth="1"/>
    <col min="3930" max="3930" width="5.26953125" style="11" customWidth="1"/>
    <col min="3931" max="3931" width="6" style="11" customWidth="1"/>
    <col min="3932" max="3932" width="5.7265625" style="11" customWidth="1"/>
    <col min="3933" max="3937" width="12.1796875" style="11" bestFit="1" customWidth="1"/>
    <col min="3938" max="3938" width="9.81640625" style="11" bestFit="1" customWidth="1"/>
    <col min="3939" max="3939" width="11" style="11" bestFit="1" customWidth="1"/>
    <col min="3940" max="3940" width="11.26953125" style="11" bestFit="1" customWidth="1"/>
    <col min="3941" max="3941" width="11" style="11" bestFit="1" customWidth="1"/>
    <col min="3942" max="3943" width="9.81640625" style="11" bestFit="1" customWidth="1"/>
    <col min="3944" max="3944" width="10.26953125" style="11" bestFit="1" customWidth="1"/>
    <col min="3945" max="3945" width="12.1796875" style="11" bestFit="1" customWidth="1"/>
    <col min="3946" max="3946" width="11" style="11" bestFit="1" customWidth="1"/>
    <col min="3947" max="3947" width="12.1796875" style="11" bestFit="1" customWidth="1"/>
    <col min="3948" max="3948" width="13.81640625" style="11" bestFit="1" customWidth="1"/>
    <col min="3949" max="3949" width="9.81640625" style="11" bestFit="1" customWidth="1"/>
    <col min="3950" max="3950" width="13.81640625" style="11" bestFit="1" customWidth="1"/>
    <col min="3951" max="3951" width="10.81640625" style="11" bestFit="1" customWidth="1"/>
    <col min="3952" max="3952" width="12.1796875" style="11" bestFit="1" customWidth="1"/>
    <col min="3953" max="3955" width="11" style="11" bestFit="1" customWidth="1"/>
    <col min="3956" max="3956" width="14.26953125" style="11" customWidth="1"/>
    <col min="3957" max="3960" width="10.81640625" style="11" customWidth="1"/>
    <col min="3961" max="3961" width="9.54296875" style="11" customWidth="1"/>
    <col min="3962" max="3963" width="6.7265625" style="11" customWidth="1"/>
    <col min="3964" max="3970" width="8.7265625" style="11" customWidth="1"/>
    <col min="3971" max="3971" width="9.7265625" style="11" bestFit="1" customWidth="1"/>
    <col min="3972" max="3972" width="38.54296875" style="11" bestFit="1" customWidth="1"/>
    <col min="3973" max="3973" width="8.7265625" style="11" bestFit="1" customWidth="1"/>
    <col min="3974" max="3974" width="11.1796875" style="11" bestFit="1" customWidth="1"/>
    <col min="3975" max="3975" width="7.7265625" style="11" bestFit="1" customWidth="1"/>
    <col min="3976" max="3976" width="9.453125" style="11" bestFit="1" customWidth="1"/>
    <col min="3977" max="3977" width="8.7265625" style="11" bestFit="1" customWidth="1"/>
    <col min="3978" max="3978" width="10.453125" style="11" bestFit="1" customWidth="1"/>
    <col min="3979" max="3979" width="9" style="11" bestFit="1" customWidth="1"/>
    <col min="3980" max="3980" width="9.54296875" style="11" bestFit="1" customWidth="1"/>
    <col min="3981" max="3981" width="10.54296875" style="11" bestFit="1" customWidth="1"/>
    <col min="3982" max="3982" width="8.54296875" style="11" bestFit="1" customWidth="1"/>
    <col min="3983" max="3983" width="10.54296875" style="11" bestFit="1" customWidth="1"/>
    <col min="3984" max="3984" width="11" style="11" bestFit="1" customWidth="1"/>
    <col min="3985" max="3985" width="16.54296875" style="11" bestFit="1" customWidth="1"/>
    <col min="3986" max="3986" width="11" style="11" bestFit="1" customWidth="1"/>
    <col min="3987" max="3987" width="10.26953125" style="11" bestFit="1" customWidth="1"/>
    <col min="3988" max="3988" width="12.453125" style="11" bestFit="1" customWidth="1"/>
    <col min="3989" max="3989" width="10.54296875" style="11" bestFit="1" customWidth="1"/>
    <col min="3990" max="3990" width="9" style="11" bestFit="1" customWidth="1"/>
    <col min="3991" max="3991" width="10.54296875" style="11" bestFit="1" customWidth="1"/>
    <col min="3992" max="3992" width="11.1796875" style="11" bestFit="1" customWidth="1"/>
    <col min="3993" max="3993" width="11.453125" style="11" bestFit="1" customWidth="1"/>
    <col min="3994" max="3994" width="12.7265625" style="11" bestFit="1" customWidth="1"/>
    <col min="3995" max="3995" width="13.453125" style="11" bestFit="1" customWidth="1"/>
    <col min="3996" max="3996" width="11.81640625" style="11" bestFit="1" customWidth="1"/>
    <col min="3997" max="3997" width="10.7265625" style="11" bestFit="1" customWidth="1"/>
    <col min="3998" max="3998" width="8.81640625" style="11" bestFit="1" customWidth="1"/>
    <col min="3999" max="3999" width="10" style="11" bestFit="1" customWidth="1"/>
    <col min="4000" max="4000" width="13.1796875" style="11" bestFit="1" customWidth="1"/>
    <col min="4001" max="4001" width="20.7265625" style="11" bestFit="1" customWidth="1"/>
    <col min="4002" max="4002" width="20.7265625" style="11" customWidth="1"/>
    <col min="4003" max="4003" width="9.453125" style="11" bestFit="1" customWidth="1"/>
    <col min="4004" max="4005" width="9.26953125" style="11" bestFit="1" customWidth="1"/>
    <col min="4006" max="4006" width="10.26953125" style="11" bestFit="1" customWidth="1"/>
    <col min="4007" max="4016" width="9.26953125" style="11" bestFit="1" customWidth="1"/>
    <col min="4017" max="4017" width="10.26953125" style="11" bestFit="1" customWidth="1"/>
    <col min="4018" max="4021" width="9.26953125" style="11" bestFit="1" customWidth="1"/>
    <col min="4022" max="4022" width="11.26953125" style="11" bestFit="1" customWidth="1"/>
    <col min="4023" max="4035" width="8.7265625" style="11" customWidth="1"/>
    <col min="4036" max="4036" width="11" style="11" bestFit="1" customWidth="1"/>
    <col min="4037" max="4037" width="4.7265625" style="11" customWidth="1"/>
    <col min="4038" max="4038" width="25.26953125" style="11" customWidth="1"/>
    <col min="4039" max="4039" width="23" style="11" customWidth="1"/>
    <col min="4040" max="4040" width="10.26953125" style="11" bestFit="1" customWidth="1"/>
    <col min="4041" max="4041" width="0" style="11" hidden="1" customWidth="1"/>
    <col min="4042" max="4042" width="31.7265625" style="11" customWidth="1"/>
    <col min="4043" max="4043" width="6" style="11" customWidth="1"/>
    <col min="4044" max="4045" width="10.26953125" style="11" bestFit="1" customWidth="1"/>
    <col min="4046" max="4053" width="8.7265625" style="11" customWidth="1"/>
    <col min="4054" max="4054" width="10.26953125" style="11" bestFit="1" customWidth="1"/>
    <col min="4055" max="4136" width="8.7265625" style="11" customWidth="1"/>
    <col min="4137" max="4137" width="9.1796875" style="11"/>
    <col min="4138" max="4138" width="4.7265625" style="11" customWidth="1"/>
    <col min="4139" max="4139" width="3.54296875" style="11" customWidth="1"/>
    <col min="4140" max="4140" width="5.54296875" style="11" customWidth="1"/>
    <col min="4141" max="4141" width="8.7265625" style="11" customWidth="1"/>
    <col min="4142" max="4142" width="7.453125" style="11" customWidth="1"/>
    <col min="4143" max="4143" width="11.81640625" style="11" customWidth="1"/>
    <col min="4144" max="4144" width="8.26953125" style="11" customWidth="1"/>
    <col min="4145" max="4145" width="4.7265625" style="11" customWidth="1"/>
    <col min="4146" max="4146" width="0" style="11" hidden="1" customWidth="1"/>
    <col min="4147" max="4147" width="3.26953125" style="11" customWidth="1"/>
    <col min="4148" max="4148" width="0" style="11" hidden="1" customWidth="1"/>
    <col min="4149" max="4149" width="12" style="11" customWidth="1"/>
    <col min="4150" max="4150" width="12.81640625" style="11" customWidth="1"/>
    <col min="4151" max="4151" width="37.7265625" style="11" customWidth="1"/>
    <col min="4152" max="4153" width="8.453125" style="11" customWidth="1"/>
    <col min="4154" max="4154" width="8.54296875" style="11" customWidth="1"/>
    <col min="4155" max="4155" width="8.26953125" style="11" customWidth="1"/>
    <col min="4156" max="4156" width="12.26953125" style="11" customWidth="1"/>
    <col min="4157" max="4159" width="5.453125" style="11" customWidth="1"/>
    <col min="4160" max="4160" width="6.1796875" style="11" customWidth="1"/>
    <col min="4161" max="4161" width="5.1796875" style="11" customWidth="1"/>
    <col min="4162" max="4162" width="6.26953125" style="11" customWidth="1"/>
    <col min="4163" max="4163" width="6.7265625" style="11" customWidth="1"/>
    <col min="4164" max="4164" width="6.1796875" style="11" customWidth="1"/>
    <col min="4165" max="4165" width="6.54296875" style="11" customWidth="1"/>
    <col min="4166" max="4166" width="6.7265625" style="11" customWidth="1"/>
    <col min="4167" max="4167" width="5.7265625" style="11" customWidth="1"/>
    <col min="4168" max="4168" width="6.1796875" style="11" customWidth="1"/>
    <col min="4169" max="4169" width="6" style="11" customWidth="1"/>
    <col min="4170" max="4170" width="6.26953125" style="11" customWidth="1"/>
    <col min="4171" max="4171" width="6.54296875" style="11" customWidth="1"/>
    <col min="4172" max="4172" width="6.1796875" style="11" customWidth="1"/>
    <col min="4173" max="4173" width="5.26953125" style="11" customWidth="1"/>
    <col min="4174" max="4174" width="6.453125" style="11" customWidth="1"/>
    <col min="4175" max="4176" width="6.1796875" style="11" customWidth="1"/>
    <col min="4177" max="4177" width="6.26953125" style="11" customWidth="1"/>
    <col min="4178" max="4178" width="5.26953125" style="11" customWidth="1"/>
    <col min="4179" max="4179" width="6.81640625" style="11" customWidth="1"/>
    <col min="4180" max="4180" width="6.54296875" style="11" customWidth="1"/>
    <col min="4181" max="4181" width="6" style="11" customWidth="1"/>
    <col min="4182" max="4182" width="7" style="11" customWidth="1"/>
    <col min="4183" max="4183" width="6.26953125" style="11" customWidth="1"/>
    <col min="4184" max="4184" width="6.54296875" style="11" customWidth="1"/>
    <col min="4185" max="4185" width="6.7265625" style="11" customWidth="1"/>
    <col min="4186" max="4186" width="5.26953125" style="11" customWidth="1"/>
    <col min="4187" max="4187" width="6" style="11" customWidth="1"/>
    <col min="4188" max="4188" width="5.7265625" style="11" customWidth="1"/>
    <col min="4189" max="4193" width="12.1796875" style="11" bestFit="1" customWidth="1"/>
    <col min="4194" max="4194" width="9.81640625" style="11" bestFit="1" customWidth="1"/>
    <col min="4195" max="4195" width="11" style="11" bestFit="1" customWidth="1"/>
    <col min="4196" max="4196" width="11.26953125" style="11" bestFit="1" customWidth="1"/>
    <col min="4197" max="4197" width="11" style="11" bestFit="1" customWidth="1"/>
    <col min="4198" max="4199" width="9.81640625" style="11" bestFit="1" customWidth="1"/>
    <col min="4200" max="4200" width="10.26953125" style="11" bestFit="1" customWidth="1"/>
    <col min="4201" max="4201" width="12.1796875" style="11" bestFit="1" customWidth="1"/>
    <col min="4202" max="4202" width="11" style="11" bestFit="1" customWidth="1"/>
    <col min="4203" max="4203" width="12.1796875" style="11" bestFit="1" customWidth="1"/>
    <col min="4204" max="4204" width="13.81640625" style="11" bestFit="1" customWidth="1"/>
    <col min="4205" max="4205" width="9.81640625" style="11" bestFit="1" customWidth="1"/>
    <col min="4206" max="4206" width="13.81640625" style="11" bestFit="1" customWidth="1"/>
    <col min="4207" max="4207" width="10.81640625" style="11" bestFit="1" customWidth="1"/>
    <col min="4208" max="4208" width="12.1796875" style="11" bestFit="1" customWidth="1"/>
    <col min="4209" max="4211" width="11" style="11" bestFit="1" customWidth="1"/>
    <col min="4212" max="4212" width="14.26953125" style="11" customWidth="1"/>
    <col min="4213" max="4216" width="10.81640625" style="11" customWidth="1"/>
    <col min="4217" max="4217" width="9.54296875" style="11" customWidth="1"/>
    <col min="4218" max="4219" width="6.7265625" style="11" customWidth="1"/>
    <col min="4220" max="4226" width="8.7265625" style="11" customWidth="1"/>
    <col min="4227" max="4227" width="9.7265625" style="11" bestFit="1" customWidth="1"/>
    <col min="4228" max="4228" width="38.54296875" style="11" bestFit="1" customWidth="1"/>
    <col min="4229" max="4229" width="8.7265625" style="11" bestFit="1" customWidth="1"/>
    <col min="4230" max="4230" width="11.1796875" style="11" bestFit="1" customWidth="1"/>
    <col min="4231" max="4231" width="7.7265625" style="11" bestFit="1" customWidth="1"/>
    <col min="4232" max="4232" width="9.453125" style="11" bestFit="1" customWidth="1"/>
    <col min="4233" max="4233" width="8.7265625" style="11" bestFit="1" customWidth="1"/>
    <col min="4234" max="4234" width="10.453125" style="11" bestFit="1" customWidth="1"/>
    <col min="4235" max="4235" width="9" style="11" bestFit="1" customWidth="1"/>
    <col min="4236" max="4236" width="9.54296875" style="11" bestFit="1" customWidth="1"/>
    <col min="4237" max="4237" width="10.54296875" style="11" bestFit="1" customWidth="1"/>
    <col min="4238" max="4238" width="8.54296875" style="11" bestFit="1" customWidth="1"/>
    <col min="4239" max="4239" width="10.54296875" style="11" bestFit="1" customWidth="1"/>
    <col min="4240" max="4240" width="11" style="11" bestFit="1" customWidth="1"/>
    <col min="4241" max="4241" width="16.54296875" style="11" bestFit="1" customWidth="1"/>
    <col min="4242" max="4242" width="11" style="11" bestFit="1" customWidth="1"/>
    <col min="4243" max="4243" width="10.26953125" style="11" bestFit="1" customWidth="1"/>
    <col min="4244" max="4244" width="12.453125" style="11" bestFit="1" customWidth="1"/>
    <col min="4245" max="4245" width="10.54296875" style="11" bestFit="1" customWidth="1"/>
    <col min="4246" max="4246" width="9" style="11" bestFit="1" customWidth="1"/>
    <col min="4247" max="4247" width="10.54296875" style="11" bestFit="1" customWidth="1"/>
    <col min="4248" max="4248" width="11.1796875" style="11" bestFit="1" customWidth="1"/>
    <col min="4249" max="4249" width="11.453125" style="11" bestFit="1" customWidth="1"/>
    <col min="4250" max="4250" width="12.7265625" style="11" bestFit="1" customWidth="1"/>
    <col min="4251" max="4251" width="13.453125" style="11" bestFit="1" customWidth="1"/>
    <col min="4252" max="4252" width="11.81640625" style="11" bestFit="1" customWidth="1"/>
    <col min="4253" max="4253" width="10.7265625" style="11" bestFit="1" customWidth="1"/>
    <col min="4254" max="4254" width="8.81640625" style="11" bestFit="1" customWidth="1"/>
    <col min="4255" max="4255" width="10" style="11" bestFit="1" customWidth="1"/>
    <col min="4256" max="4256" width="13.1796875" style="11" bestFit="1" customWidth="1"/>
    <col min="4257" max="4257" width="20.7265625" style="11" bestFit="1" customWidth="1"/>
    <col min="4258" max="4258" width="20.7265625" style="11" customWidth="1"/>
    <col min="4259" max="4259" width="9.453125" style="11" bestFit="1" customWidth="1"/>
    <col min="4260" max="4261" width="9.26953125" style="11" bestFit="1" customWidth="1"/>
    <col min="4262" max="4262" width="10.26953125" style="11" bestFit="1" customWidth="1"/>
    <col min="4263" max="4272" width="9.26953125" style="11" bestFit="1" customWidth="1"/>
    <col min="4273" max="4273" width="10.26953125" style="11" bestFit="1" customWidth="1"/>
    <col min="4274" max="4277" width="9.26953125" style="11" bestFit="1" customWidth="1"/>
    <col min="4278" max="4278" width="11.26953125" style="11" bestFit="1" customWidth="1"/>
    <col min="4279" max="4291" width="8.7265625" style="11" customWidth="1"/>
    <col min="4292" max="4292" width="11" style="11" bestFit="1" customWidth="1"/>
    <col min="4293" max="4293" width="4.7265625" style="11" customWidth="1"/>
    <col min="4294" max="4294" width="25.26953125" style="11" customWidth="1"/>
    <col min="4295" max="4295" width="23" style="11" customWidth="1"/>
    <col min="4296" max="4296" width="10.26953125" style="11" bestFit="1" customWidth="1"/>
    <col min="4297" max="4297" width="0" style="11" hidden="1" customWidth="1"/>
    <col min="4298" max="4298" width="31.7265625" style="11" customWidth="1"/>
    <col min="4299" max="4299" width="6" style="11" customWidth="1"/>
    <col min="4300" max="4301" width="10.26953125" style="11" bestFit="1" customWidth="1"/>
    <col min="4302" max="4309" width="8.7265625" style="11" customWidth="1"/>
    <col min="4310" max="4310" width="10.26953125" style="11" bestFit="1" customWidth="1"/>
    <col min="4311" max="4392" width="8.7265625" style="11" customWidth="1"/>
    <col min="4393" max="4393" width="9.1796875" style="11"/>
    <col min="4394" max="4394" width="4.7265625" style="11" customWidth="1"/>
    <col min="4395" max="4395" width="3.54296875" style="11" customWidth="1"/>
    <col min="4396" max="4396" width="5.54296875" style="11" customWidth="1"/>
    <col min="4397" max="4397" width="8.7265625" style="11" customWidth="1"/>
    <col min="4398" max="4398" width="7.453125" style="11" customWidth="1"/>
    <col min="4399" max="4399" width="11.81640625" style="11" customWidth="1"/>
    <col min="4400" max="4400" width="8.26953125" style="11" customWidth="1"/>
    <col min="4401" max="4401" width="4.7265625" style="11" customWidth="1"/>
    <col min="4402" max="4402" width="0" style="11" hidden="1" customWidth="1"/>
    <col min="4403" max="4403" width="3.26953125" style="11" customWidth="1"/>
    <col min="4404" max="4404" width="0" style="11" hidden="1" customWidth="1"/>
    <col min="4405" max="4405" width="12" style="11" customWidth="1"/>
    <col min="4406" max="4406" width="12.81640625" style="11" customWidth="1"/>
    <col min="4407" max="4407" width="37.7265625" style="11" customWidth="1"/>
    <col min="4408" max="4409" width="8.453125" style="11" customWidth="1"/>
    <col min="4410" max="4410" width="8.54296875" style="11" customWidth="1"/>
    <col min="4411" max="4411" width="8.26953125" style="11" customWidth="1"/>
    <col min="4412" max="4412" width="12.26953125" style="11" customWidth="1"/>
    <col min="4413" max="4415" width="5.453125" style="11" customWidth="1"/>
    <col min="4416" max="4416" width="6.1796875" style="11" customWidth="1"/>
    <col min="4417" max="4417" width="5.1796875" style="11" customWidth="1"/>
    <col min="4418" max="4418" width="6.26953125" style="11" customWidth="1"/>
    <col min="4419" max="4419" width="6.7265625" style="11" customWidth="1"/>
    <col min="4420" max="4420" width="6.1796875" style="11" customWidth="1"/>
    <col min="4421" max="4421" width="6.54296875" style="11" customWidth="1"/>
    <col min="4422" max="4422" width="6.7265625" style="11" customWidth="1"/>
    <col min="4423" max="4423" width="5.7265625" style="11" customWidth="1"/>
    <col min="4424" max="4424" width="6.1796875" style="11" customWidth="1"/>
    <col min="4425" max="4425" width="6" style="11" customWidth="1"/>
    <col min="4426" max="4426" width="6.26953125" style="11" customWidth="1"/>
    <col min="4427" max="4427" width="6.54296875" style="11" customWidth="1"/>
    <col min="4428" max="4428" width="6.1796875" style="11" customWidth="1"/>
    <col min="4429" max="4429" width="5.26953125" style="11" customWidth="1"/>
    <col min="4430" max="4430" width="6.453125" style="11" customWidth="1"/>
    <col min="4431" max="4432" width="6.1796875" style="11" customWidth="1"/>
    <col min="4433" max="4433" width="6.26953125" style="11" customWidth="1"/>
    <col min="4434" max="4434" width="5.26953125" style="11" customWidth="1"/>
    <col min="4435" max="4435" width="6.81640625" style="11" customWidth="1"/>
    <col min="4436" max="4436" width="6.54296875" style="11" customWidth="1"/>
    <col min="4437" max="4437" width="6" style="11" customWidth="1"/>
    <col min="4438" max="4438" width="7" style="11" customWidth="1"/>
    <col min="4439" max="4439" width="6.26953125" style="11" customWidth="1"/>
    <col min="4440" max="4440" width="6.54296875" style="11" customWidth="1"/>
    <col min="4441" max="4441" width="6.7265625" style="11" customWidth="1"/>
    <col min="4442" max="4442" width="5.26953125" style="11" customWidth="1"/>
    <col min="4443" max="4443" width="6" style="11" customWidth="1"/>
    <col min="4444" max="4444" width="5.7265625" style="11" customWidth="1"/>
    <col min="4445" max="4449" width="12.1796875" style="11" bestFit="1" customWidth="1"/>
    <col min="4450" max="4450" width="9.81640625" style="11" bestFit="1" customWidth="1"/>
    <col min="4451" max="4451" width="11" style="11" bestFit="1" customWidth="1"/>
    <col min="4452" max="4452" width="11.26953125" style="11" bestFit="1" customWidth="1"/>
    <col min="4453" max="4453" width="11" style="11" bestFit="1" customWidth="1"/>
    <col min="4454" max="4455" width="9.81640625" style="11" bestFit="1" customWidth="1"/>
    <col min="4456" max="4456" width="10.26953125" style="11" bestFit="1" customWidth="1"/>
    <col min="4457" max="4457" width="12.1796875" style="11" bestFit="1" customWidth="1"/>
    <col min="4458" max="4458" width="11" style="11" bestFit="1" customWidth="1"/>
    <col min="4459" max="4459" width="12.1796875" style="11" bestFit="1" customWidth="1"/>
    <col min="4460" max="4460" width="13.81640625" style="11" bestFit="1" customWidth="1"/>
    <col min="4461" max="4461" width="9.81640625" style="11" bestFit="1" customWidth="1"/>
    <col min="4462" max="4462" width="13.81640625" style="11" bestFit="1" customWidth="1"/>
    <col min="4463" max="4463" width="10.81640625" style="11" bestFit="1" customWidth="1"/>
    <col min="4464" max="4464" width="12.1796875" style="11" bestFit="1" customWidth="1"/>
    <col min="4465" max="4467" width="11" style="11" bestFit="1" customWidth="1"/>
    <col min="4468" max="4468" width="14.26953125" style="11" customWidth="1"/>
    <col min="4469" max="4472" width="10.81640625" style="11" customWidth="1"/>
    <col min="4473" max="4473" width="9.54296875" style="11" customWidth="1"/>
    <col min="4474" max="4475" width="6.7265625" style="11" customWidth="1"/>
    <col min="4476" max="4482" width="8.7265625" style="11" customWidth="1"/>
    <col min="4483" max="4483" width="9.7265625" style="11" bestFit="1" customWidth="1"/>
    <col min="4484" max="4484" width="38.54296875" style="11" bestFit="1" customWidth="1"/>
    <col min="4485" max="4485" width="8.7265625" style="11" bestFit="1" customWidth="1"/>
    <col min="4486" max="4486" width="11.1796875" style="11" bestFit="1" customWidth="1"/>
    <col min="4487" max="4487" width="7.7265625" style="11" bestFit="1" customWidth="1"/>
    <col min="4488" max="4488" width="9.453125" style="11" bestFit="1" customWidth="1"/>
    <col min="4489" max="4489" width="8.7265625" style="11" bestFit="1" customWidth="1"/>
    <col min="4490" max="4490" width="10.453125" style="11" bestFit="1" customWidth="1"/>
    <col min="4491" max="4491" width="9" style="11" bestFit="1" customWidth="1"/>
    <col min="4492" max="4492" width="9.54296875" style="11" bestFit="1" customWidth="1"/>
    <col min="4493" max="4493" width="10.54296875" style="11" bestFit="1" customWidth="1"/>
    <col min="4494" max="4494" width="8.54296875" style="11" bestFit="1" customWidth="1"/>
    <col min="4495" max="4495" width="10.54296875" style="11" bestFit="1" customWidth="1"/>
    <col min="4496" max="4496" width="11" style="11" bestFit="1" customWidth="1"/>
    <col min="4497" max="4497" width="16.54296875" style="11" bestFit="1" customWidth="1"/>
    <col min="4498" max="4498" width="11" style="11" bestFit="1" customWidth="1"/>
    <col min="4499" max="4499" width="10.26953125" style="11" bestFit="1" customWidth="1"/>
    <col min="4500" max="4500" width="12.453125" style="11" bestFit="1" customWidth="1"/>
    <col min="4501" max="4501" width="10.54296875" style="11" bestFit="1" customWidth="1"/>
    <col min="4502" max="4502" width="9" style="11" bestFit="1" customWidth="1"/>
    <col min="4503" max="4503" width="10.54296875" style="11" bestFit="1" customWidth="1"/>
    <col min="4504" max="4504" width="11.1796875" style="11" bestFit="1" customWidth="1"/>
    <col min="4505" max="4505" width="11.453125" style="11" bestFit="1" customWidth="1"/>
    <col min="4506" max="4506" width="12.7265625" style="11" bestFit="1" customWidth="1"/>
    <col min="4507" max="4507" width="13.453125" style="11" bestFit="1" customWidth="1"/>
    <col min="4508" max="4508" width="11.81640625" style="11" bestFit="1" customWidth="1"/>
    <col min="4509" max="4509" width="10.7265625" style="11" bestFit="1" customWidth="1"/>
    <col min="4510" max="4510" width="8.81640625" style="11" bestFit="1" customWidth="1"/>
    <col min="4511" max="4511" width="10" style="11" bestFit="1" customWidth="1"/>
    <col min="4512" max="4512" width="13.1796875" style="11" bestFit="1" customWidth="1"/>
    <col min="4513" max="4513" width="20.7265625" style="11" bestFit="1" customWidth="1"/>
    <col min="4514" max="4514" width="20.7265625" style="11" customWidth="1"/>
    <col min="4515" max="4515" width="9.453125" style="11" bestFit="1" customWidth="1"/>
    <col min="4516" max="4517" width="9.26953125" style="11" bestFit="1" customWidth="1"/>
    <col min="4518" max="4518" width="10.26953125" style="11" bestFit="1" customWidth="1"/>
    <col min="4519" max="4528" width="9.26953125" style="11" bestFit="1" customWidth="1"/>
    <col min="4529" max="4529" width="10.26953125" style="11" bestFit="1" customWidth="1"/>
    <col min="4530" max="4533" width="9.26953125" style="11" bestFit="1" customWidth="1"/>
    <col min="4534" max="4534" width="11.26953125" style="11" bestFit="1" customWidth="1"/>
    <col min="4535" max="4547" width="8.7265625" style="11" customWidth="1"/>
    <col min="4548" max="4548" width="11" style="11" bestFit="1" customWidth="1"/>
    <col min="4549" max="4549" width="4.7265625" style="11" customWidth="1"/>
    <col min="4550" max="4550" width="25.26953125" style="11" customWidth="1"/>
    <col min="4551" max="4551" width="23" style="11" customWidth="1"/>
    <col min="4552" max="4552" width="10.26953125" style="11" bestFit="1" customWidth="1"/>
    <col min="4553" max="4553" width="0" style="11" hidden="1" customWidth="1"/>
    <col min="4554" max="4554" width="31.7265625" style="11" customWidth="1"/>
    <col min="4555" max="4555" width="6" style="11" customWidth="1"/>
    <col min="4556" max="4557" width="10.26953125" style="11" bestFit="1" customWidth="1"/>
    <col min="4558" max="4565" width="8.7265625" style="11" customWidth="1"/>
    <col min="4566" max="4566" width="10.26953125" style="11" bestFit="1" customWidth="1"/>
    <col min="4567" max="4648" width="8.7265625" style="11" customWidth="1"/>
    <col min="4649" max="4649" width="9.1796875" style="11"/>
    <col min="4650" max="4650" width="4.7265625" style="11" customWidth="1"/>
    <col min="4651" max="4651" width="3.54296875" style="11" customWidth="1"/>
    <col min="4652" max="4652" width="5.54296875" style="11" customWidth="1"/>
    <col min="4653" max="4653" width="8.7265625" style="11" customWidth="1"/>
    <col min="4654" max="4654" width="7.453125" style="11" customWidth="1"/>
    <col min="4655" max="4655" width="11.81640625" style="11" customWidth="1"/>
    <col min="4656" max="4656" width="8.26953125" style="11" customWidth="1"/>
    <col min="4657" max="4657" width="4.7265625" style="11" customWidth="1"/>
    <col min="4658" max="4658" width="0" style="11" hidden="1" customWidth="1"/>
    <col min="4659" max="4659" width="3.26953125" style="11" customWidth="1"/>
    <col min="4660" max="4660" width="0" style="11" hidden="1" customWidth="1"/>
    <col min="4661" max="4661" width="12" style="11" customWidth="1"/>
    <col min="4662" max="4662" width="12.81640625" style="11" customWidth="1"/>
    <col min="4663" max="4663" width="37.7265625" style="11" customWidth="1"/>
    <col min="4664" max="4665" width="8.453125" style="11" customWidth="1"/>
    <col min="4666" max="4666" width="8.54296875" style="11" customWidth="1"/>
    <col min="4667" max="4667" width="8.26953125" style="11" customWidth="1"/>
    <col min="4668" max="4668" width="12.26953125" style="11" customWidth="1"/>
    <col min="4669" max="4671" width="5.453125" style="11" customWidth="1"/>
    <col min="4672" max="4672" width="6.1796875" style="11" customWidth="1"/>
    <col min="4673" max="4673" width="5.1796875" style="11" customWidth="1"/>
    <col min="4674" max="4674" width="6.26953125" style="11" customWidth="1"/>
    <col min="4675" max="4675" width="6.7265625" style="11" customWidth="1"/>
    <col min="4676" max="4676" width="6.1796875" style="11" customWidth="1"/>
    <col min="4677" max="4677" width="6.54296875" style="11" customWidth="1"/>
    <col min="4678" max="4678" width="6.7265625" style="11" customWidth="1"/>
    <col min="4679" max="4679" width="5.7265625" style="11" customWidth="1"/>
    <col min="4680" max="4680" width="6.1796875" style="11" customWidth="1"/>
    <col min="4681" max="4681" width="6" style="11" customWidth="1"/>
    <col min="4682" max="4682" width="6.26953125" style="11" customWidth="1"/>
    <col min="4683" max="4683" width="6.54296875" style="11" customWidth="1"/>
    <col min="4684" max="4684" width="6.1796875" style="11" customWidth="1"/>
    <col min="4685" max="4685" width="5.26953125" style="11" customWidth="1"/>
    <col min="4686" max="4686" width="6.453125" style="11" customWidth="1"/>
    <col min="4687" max="4688" width="6.1796875" style="11" customWidth="1"/>
    <col min="4689" max="4689" width="6.26953125" style="11" customWidth="1"/>
    <col min="4690" max="4690" width="5.26953125" style="11" customWidth="1"/>
    <col min="4691" max="4691" width="6.81640625" style="11" customWidth="1"/>
    <col min="4692" max="4692" width="6.54296875" style="11" customWidth="1"/>
    <col min="4693" max="4693" width="6" style="11" customWidth="1"/>
    <col min="4694" max="4694" width="7" style="11" customWidth="1"/>
    <col min="4695" max="4695" width="6.26953125" style="11" customWidth="1"/>
    <col min="4696" max="4696" width="6.54296875" style="11" customWidth="1"/>
    <col min="4697" max="4697" width="6.7265625" style="11" customWidth="1"/>
    <col min="4698" max="4698" width="5.26953125" style="11" customWidth="1"/>
    <col min="4699" max="4699" width="6" style="11" customWidth="1"/>
    <col min="4700" max="4700" width="5.7265625" style="11" customWidth="1"/>
    <col min="4701" max="4705" width="12.1796875" style="11" bestFit="1" customWidth="1"/>
    <col min="4706" max="4706" width="9.81640625" style="11" bestFit="1" customWidth="1"/>
    <col min="4707" max="4707" width="11" style="11" bestFit="1" customWidth="1"/>
    <col min="4708" max="4708" width="11.26953125" style="11" bestFit="1" customWidth="1"/>
    <col min="4709" max="4709" width="11" style="11" bestFit="1" customWidth="1"/>
    <col min="4710" max="4711" width="9.81640625" style="11" bestFit="1" customWidth="1"/>
    <col min="4712" max="4712" width="10.26953125" style="11" bestFit="1" customWidth="1"/>
    <col min="4713" max="4713" width="12.1796875" style="11" bestFit="1" customWidth="1"/>
    <col min="4714" max="4714" width="11" style="11" bestFit="1" customWidth="1"/>
    <col min="4715" max="4715" width="12.1796875" style="11" bestFit="1" customWidth="1"/>
    <col min="4716" max="4716" width="13.81640625" style="11" bestFit="1" customWidth="1"/>
    <col min="4717" max="4717" width="9.81640625" style="11" bestFit="1" customWidth="1"/>
    <col min="4718" max="4718" width="13.81640625" style="11" bestFit="1" customWidth="1"/>
    <col min="4719" max="4719" width="10.81640625" style="11" bestFit="1" customWidth="1"/>
    <col min="4720" max="4720" width="12.1796875" style="11" bestFit="1" customWidth="1"/>
    <col min="4721" max="4723" width="11" style="11" bestFit="1" customWidth="1"/>
    <col min="4724" max="4724" width="14.26953125" style="11" customWidth="1"/>
    <col min="4725" max="4728" width="10.81640625" style="11" customWidth="1"/>
    <col min="4729" max="4729" width="9.54296875" style="11" customWidth="1"/>
    <col min="4730" max="4731" width="6.7265625" style="11" customWidth="1"/>
    <col min="4732" max="4738" width="8.7265625" style="11" customWidth="1"/>
    <col min="4739" max="4739" width="9.7265625" style="11" bestFit="1" customWidth="1"/>
    <col min="4740" max="4740" width="38.54296875" style="11" bestFit="1" customWidth="1"/>
    <col min="4741" max="4741" width="8.7265625" style="11" bestFit="1" customWidth="1"/>
    <col min="4742" max="4742" width="11.1796875" style="11" bestFit="1" customWidth="1"/>
    <col min="4743" max="4743" width="7.7265625" style="11" bestFit="1" customWidth="1"/>
    <col min="4744" max="4744" width="9.453125" style="11" bestFit="1" customWidth="1"/>
    <col min="4745" max="4745" width="8.7265625" style="11" bestFit="1" customWidth="1"/>
    <col min="4746" max="4746" width="10.453125" style="11" bestFit="1" customWidth="1"/>
    <col min="4747" max="4747" width="9" style="11" bestFit="1" customWidth="1"/>
    <col min="4748" max="4748" width="9.54296875" style="11" bestFit="1" customWidth="1"/>
    <col min="4749" max="4749" width="10.54296875" style="11" bestFit="1" customWidth="1"/>
    <col min="4750" max="4750" width="8.54296875" style="11" bestFit="1" customWidth="1"/>
    <col min="4751" max="4751" width="10.54296875" style="11" bestFit="1" customWidth="1"/>
    <col min="4752" max="4752" width="11" style="11" bestFit="1" customWidth="1"/>
    <col min="4753" max="4753" width="16.54296875" style="11" bestFit="1" customWidth="1"/>
    <col min="4754" max="4754" width="11" style="11" bestFit="1" customWidth="1"/>
    <col min="4755" max="4755" width="10.26953125" style="11" bestFit="1" customWidth="1"/>
    <col min="4756" max="4756" width="12.453125" style="11" bestFit="1" customWidth="1"/>
    <col min="4757" max="4757" width="10.54296875" style="11" bestFit="1" customWidth="1"/>
    <col min="4758" max="4758" width="9" style="11" bestFit="1" customWidth="1"/>
    <col min="4759" max="4759" width="10.54296875" style="11" bestFit="1" customWidth="1"/>
    <col min="4760" max="4760" width="11.1796875" style="11" bestFit="1" customWidth="1"/>
    <col min="4761" max="4761" width="11.453125" style="11" bestFit="1" customWidth="1"/>
    <col min="4762" max="4762" width="12.7265625" style="11" bestFit="1" customWidth="1"/>
    <col min="4763" max="4763" width="13.453125" style="11" bestFit="1" customWidth="1"/>
    <col min="4764" max="4764" width="11.81640625" style="11" bestFit="1" customWidth="1"/>
    <col min="4765" max="4765" width="10.7265625" style="11" bestFit="1" customWidth="1"/>
    <col min="4766" max="4766" width="8.81640625" style="11" bestFit="1" customWidth="1"/>
    <col min="4767" max="4767" width="10" style="11" bestFit="1" customWidth="1"/>
    <col min="4768" max="4768" width="13.1796875" style="11" bestFit="1" customWidth="1"/>
    <col min="4769" max="4769" width="20.7265625" style="11" bestFit="1" customWidth="1"/>
    <col min="4770" max="4770" width="20.7265625" style="11" customWidth="1"/>
    <col min="4771" max="4771" width="9.453125" style="11" bestFit="1" customWidth="1"/>
    <col min="4772" max="4773" width="9.26953125" style="11" bestFit="1" customWidth="1"/>
    <col min="4774" max="4774" width="10.26953125" style="11" bestFit="1" customWidth="1"/>
    <col min="4775" max="4784" width="9.26953125" style="11" bestFit="1" customWidth="1"/>
    <col min="4785" max="4785" width="10.26953125" style="11" bestFit="1" customWidth="1"/>
    <col min="4786" max="4789" width="9.26953125" style="11" bestFit="1" customWidth="1"/>
    <col min="4790" max="4790" width="11.26953125" style="11" bestFit="1" customWidth="1"/>
    <col min="4791" max="4803" width="8.7265625" style="11" customWidth="1"/>
    <col min="4804" max="4804" width="11" style="11" bestFit="1" customWidth="1"/>
    <col min="4805" max="4805" width="4.7265625" style="11" customWidth="1"/>
    <col min="4806" max="4806" width="25.26953125" style="11" customWidth="1"/>
    <col min="4807" max="4807" width="23" style="11" customWidth="1"/>
    <col min="4808" max="4808" width="10.26953125" style="11" bestFit="1" customWidth="1"/>
    <col min="4809" max="4809" width="0" style="11" hidden="1" customWidth="1"/>
    <col min="4810" max="4810" width="31.7265625" style="11" customWidth="1"/>
    <col min="4811" max="4811" width="6" style="11" customWidth="1"/>
    <col min="4812" max="4813" width="10.26953125" style="11" bestFit="1" customWidth="1"/>
    <col min="4814" max="4821" width="8.7265625" style="11" customWidth="1"/>
    <col min="4822" max="4822" width="10.26953125" style="11" bestFit="1" customWidth="1"/>
    <col min="4823" max="4904" width="8.7265625" style="11" customWidth="1"/>
    <col min="4905" max="4905" width="9.1796875" style="11"/>
    <col min="4906" max="4906" width="4.7265625" style="11" customWidth="1"/>
    <col min="4907" max="4907" width="3.54296875" style="11" customWidth="1"/>
    <col min="4908" max="4908" width="5.54296875" style="11" customWidth="1"/>
    <col min="4909" max="4909" width="8.7265625" style="11" customWidth="1"/>
    <col min="4910" max="4910" width="7.453125" style="11" customWidth="1"/>
    <col min="4911" max="4911" width="11.81640625" style="11" customWidth="1"/>
    <col min="4912" max="4912" width="8.26953125" style="11" customWidth="1"/>
    <col min="4913" max="4913" width="4.7265625" style="11" customWidth="1"/>
    <col min="4914" max="4914" width="0" style="11" hidden="1" customWidth="1"/>
    <col min="4915" max="4915" width="3.26953125" style="11" customWidth="1"/>
    <col min="4916" max="4916" width="0" style="11" hidden="1" customWidth="1"/>
    <col min="4917" max="4917" width="12" style="11" customWidth="1"/>
    <col min="4918" max="4918" width="12.81640625" style="11" customWidth="1"/>
    <col min="4919" max="4919" width="37.7265625" style="11" customWidth="1"/>
    <col min="4920" max="4921" width="8.453125" style="11" customWidth="1"/>
    <col min="4922" max="4922" width="8.54296875" style="11" customWidth="1"/>
    <col min="4923" max="4923" width="8.26953125" style="11" customWidth="1"/>
    <col min="4924" max="4924" width="12.26953125" style="11" customWidth="1"/>
    <col min="4925" max="4927" width="5.453125" style="11" customWidth="1"/>
    <col min="4928" max="4928" width="6.1796875" style="11" customWidth="1"/>
    <col min="4929" max="4929" width="5.1796875" style="11" customWidth="1"/>
    <col min="4930" max="4930" width="6.26953125" style="11" customWidth="1"/>
    <col min="4931" max="4931" width="6.7265625" style="11" customWidth="1"/>
    <col min="4932" max="4932" width="6.1796875" style="11" customWidth="1"/>
    <col min="4933" max="4933" width="6.54296875" style="11" customWidth="1"/>
    <col min="4934" max="4934" width="6.7265625" style="11" customWidth="1"/>
    <col min="4935" max="4935" width="5.7265625" style="11" customWidth="1"/>
    <col min="4936" max="4936" width="6.1796875" style="11" customWidth="1"/>
    <col min="4937" max="4937" width="6" style="11" customWidth="1"/>
    <col min="4938" max="4938" width="6.26953125" style="11" customWidth="1"/>
    <col min="4939" max="4939" width="6.54296875" style="11" customWidth="1"/>
    <col min="4940" max="4940" width="6.1796875" style="11" customWidth="1"/>
    <col min="4941" max="4941" width="5.26953125" style="11" customWidth="1"/>
    <col min="4942" max="4942" width="6.453125" style="11" customWidth="1"/>
    <col min="4943" max="4944" width="6.1796875" style="11" customWidth="1"/>
    <col min="4945" max="4945" width="6.26953125" style="11" customWidth="1"/>
    <col min="4946" max="4946" width="5.26953125" style="11" customWidth="1"/>
    <col min="4947" max="4947" width="6.81640625" style="11" customWidth="1"/>
    <col min="4948" max="4948" width="6.54296875" style="11" customWidth="1"/>
    <col min="4949" max="4949" width="6" style="11" customWidth="1"/>
    <col min="4950" max="4950" width="7" style="11" customWidth="1"/>
    <col min="4951" max="4951" width="6.26953125" style="11" customWidth="1"/>
    <col min="4952" max="4952" width="6.54296875" style="11" customWidth="1"/>
    <col min="4953" max="4953" width="6.7265625" style="11" customWidth="1"/>
    <col min="4954" max="4954" width="5.26953125" style="11" customWidth="1"/>
    <col min="4955" max="4955" width="6" style="11" customWidth="1"/>
    <col min="4956" max="4956" width="5.7265625" style="11" customWidth="1"/>
    <col min="4957" max="4961" width="12.1796875" style="11" bestFit="1" customWidth="1"/>
    <col min="4962" max="4962" width="9.81640625" style="11" bestFit="1" customWidth="1"/>
    <col min="4963" max="4963" width="11" style="11" bestFit="1" customWidth="1"/>
    <col min="4964" max="4964" width="11.26953125" style="11" bestFit="1" customWidth="1"/>
    <col min="4965" max="4965" width="11" style="11" bestFit="1" customWidth="1"/>
    <col min="4966" max="4967" width="9.81640625" style="11" bestFit="1" customWidth="1"/>
    <col min="4968" max="4968" width="10.26953125" style="11" bestFit="1" customWidth="1"/>
    <col min="4969" max="4969" width="12.1796875" style="11" bestFit="1" customWidth="1"/>
    <col min="4970" max="4970" width="11" style="11" bestFit="1" customWidth="1"/>
    <col min="4971" max="4971" width="12.1796875" style="11" bestFit="1" customWidth="1"/>
    <col min="4972" max="4972" width="13.81640625" style="11" bestFit="1" customWidth="1"/>
    <col min="4973" max="4973" width="9.81640625" style="11" bestFit="1" customWidth="1"/>
    <col min="4974" max="4974" width="13.81640625" style="11" bestFit="1" customWidth="1"/>
    <col min="4975" max="4975" width="10.81640625" style="11" bestFit="1" customWidth="1"/>
    <col min="4976" max="4976" width="12.1796875" style="11" bestFit="1" customWidth="1"/>
    <col min="4977" max="4979" width="11" style="11" bestFit="1" customWidth="1"/>
    <col min="4980" max="4980" width="14.26953125" style="11" customWidth="1"/>
    <col min="4981" max="4984" width="10.81640625" style="11" customWidth="1"/>
    <col min="4985" max="4985" width="9.54296875" style="11" customWidth="1"/>
    <col min="4986" max="4987" width="6.7265625" style="11" customWidth="1"/>
    <col min="4988" max="4994" width="8.7265625" style="11" customWidth="1"/>
    <col min="4995" max="4995" width="9.7265625" style="11" bestFit="1" customWidth="1"/>
    <col min="4996" max="4996" width="38.54296875" style="11" bestFit="1" customWidth="1"/>
    <col min="4997" max="4997" width="8.7265625" style="11" bestFit="1" customWidth="1"/>
    <col min="4998" max="4998" width="11.1796875" style="11" bestFit="1" customWidth="1"/>
    <col min="4999" max="4999" width="7.7265625" style="11" bestFit="1" customWidth="1"/>
    <col min="5000" max="5000" width="9.453125" style="11" bestFit="1" customWidth="1"/>
    <col min="5001" max="5001" width="8.7265625" style="11" bestFit="1" customWidth="1"/>
    <col min="5002" max="5002" width="10.453125" style="11" bestFit="1" customWidth="1"/>
    <col min="5003" max="5003" width="9" style="11" bestFit="1" customWidth="1"/>
    <col min="5004" max="5004" width="9.54296875" style="11" bestFit="1" customWidth="1"/>
    <col min="5005" max="5005" width="10.54296875" style="11" bestFit="1" customWidth="1"/>
    <col min="5006" max="5006" width="8.54296875" style="11" bestFit="1" customWidth="1"/>
    <col min="5007" max="5007" width="10.54296875" style="11" bestFit="1" customWidth="1"/>
    <col min="5008" max="5008" width="11" style="11" bestFit="1" customWidth="1"/>
    <col min="5009" max="5009" width="16.54296875" style="11" bestFit="1" customWidth="1"/>
    <col min="5010" max="5010" width="11" style="11" bestFit="1" customWidth="1"/>
    <col min="5011" max="5011" width="10.26953125" style="11" bestFit="1" customWidth="1"/>
    <col min="5012" max="5012" width="12.453125" style="11" bestFit="1" customWidth="1"/>
    <col min="5013" max="5013" width="10.54296875" style="11" bestFit="1" customWidth="1"/>
    <col min="5014" max="5014" width="9" style="11" bestFit="1" customWidth="1"/>
    <col min="5015" max="5015" width="10.54296875" style="11" bestFit="1" customWidth="1"/>
    <col min="5016" max="5016" width="11.1796875" style="11" bestFit="1" customWidth="1"/>
    <col min="5017" max="5017" width="11.453125" style="11" bestFit="1" customWidth="1"/>
    <col min="5018" max="5018" width="12.7265625" style="11" bestFit="1" customWidth="1"/>
    <col min="5019" max="5019" width="13.453125" style="11" bestFit="1" customWidth="1"/>
    <col min="5020" max="5020" width="11.81640625" style="11" bestFit="1" customWidth="1"/>
    <col min="5021" max="5021" width="10.7265625" style="11" bestFit="1" customWidth="1"/>
    <col min="5022" max="5022" width="8.81640625" style="11" bestFit="1" customWidth="1"/>
    <col min="5023" max="5023" width="10" style="11" bestFit="1" customWidth="1"/>
    <col min="5024" max="5024" width="13.1796875" style="11" bestFit="1" customWidth="1"/>
    <col min="5025" max="5025" width="20.7265625" style="11" bestFit="1" customWidth="1"/>
    <col min="5026" max="5026" width="20.7265625" style="11" customWidth="1"/>
    <col min="5027" max="5027" width="9.453125" style="11" bestFit="1" customWidth="1"/>
    <col min="5028" max="5029" width="9.26953125" style="11" bestFit="1" customWidth="1"/>
    <col min="5030" max="5030" width="10.26953125" style="11" bestFit="1" customWidth="1"/>
    <col min="5031" max="5040" width="9.26953125" style="11" bestFit="1" customWidth="1"/>
    <col min="5041" max="5041" width="10.26953125" style="11" bestFit="1" customWidth="1"/>
    <col min="5042" max="5045" width="9.26953125" style="11" bestFit="1" customWidth="1"/>
    <col min="5046" max="5046" width="11.26953125" style="11" bestFit="1" customWidth="1"/>
    <col min="5047" max="5059" width="8.7265625" style="11" customWidth="1"/>
    <col min="5060" max="5060" width="11" style="11" bestFit="1" customWidth="1"/>
    <col min="5061" max="5061" width="4.7265625" style="11" customWidth="1"/>
    <col min="5062" max="5062" width="25.26953125" style="11" customWidth="1"/>
    <col min="5063" max="5063" width="23" style="11" customWidth="1"/>
    <col min="5064" max="5064" width="10.26953125" style="11" bestFit="1" customWidth="1"/>
    <col min="5065" max="5065" width="0" style="11" hidden="1" customWidth="1"/>
    <col min="5066" max="5066" width="31.7265625" style="11" customWidth="1"/>
    <col min="5067" max="5067" width="6" style="11" customWidth="1"/>
    <col min="5068" max="5069" width="10.26953125" style="11" bestFit="1" customWidth="1"/>
    <col min="5070" max="5077" width="8.7265625" style="11" customWidth="1"/>
    <col min="5078" max="5078" width="10.26953125" style="11" bestFit="1" customWidth="1"/>
    <col min="5079" max="5160" width="8.7265625" style="11" customWidth="1"/>
    <col min="5161" max="5161" width="9.1796875" style="11"/>
    <col min="5162" max="5162" width="4.7265625" style="11" customWidth="1"/>
    <col min="5163" max="5163" width="3.54296875" style="11" customWidth="1"/>
    <col min="5164" max="5164" width="5.54296875" style="11" customWidth="1"/>
    <col min="5165" max="5165" width="8.7265625" style="11" customWidth="1"/>
    <col min="5166" max="5166" width="7.453125" style="11" customWidth="1"/>
    <col min="5167" max="5167" width="11.81640625" style="11" customWidth="1"/>
    <col min="5168" max="5168" width="8.26953125" style="11" customWidth="1"/>
    <col min="5169" max="5169" width="4.7265625" style="11" customWidth="1"/>
    <col min="5170" max="5170" width="0" style="11" hidden="1" customWidth="1"/>
    <col min="5171" max="5171" width="3.26953125" style="11" customWidth="1"/>
    <col min="5172" max="5172" width="0" style="11" hidden="1" customWidth="1"/>
    <col min="5173" max="5173" width="12" style="11" customWidth="1"/>
    <col min="5174" max="5174" width="12.81640625" style="11" customWidth="1"/>
    <col min="5175" max="5175" width="37.7265625" style="11" customWidth="1"/>
    <col min="5176" max="5177" width="8.453125" style="11" customWidth="1"/>
    <col min="5178" max="5178" width="8.54296875" style="11" customWidth="1"/>
    <col min="5179" max="5179" width="8.26953125" style="11" customWidth="1"/>
    <col min="5180" max="5180" width="12.26953125" style="11" customWidth="1"/>
    <col min="5181" max="5183" width="5.453125" style="11" customWidth="1"/>
    <col min="5184" max="5184" width="6.1796875" style="11" customWidth="1"/>
    <col min="5185" max="5185" width="5.1796875" style="11" customWidth="1"/>
    <col min="5186" max="5186" width="6.26953125" style="11" customWidth="1"/>
    <col min="5187" max="5187" width="6.7265625" style="11" customWidth="1"/>
    <col min="5188" max="5188" width="6.1796875" style="11" customWidth="1"/>
    <col min="5189" max="5189" width="6.54296875" style="11" customWidth="1"/>
    <col min="5190" max="5190" width="6.7265625" style="11" customWidth="1"/>
    <col min="5191" max="5191" width="5.7265625" style="11" customWidth="1"/>
    <col min="5192" max="5192" width="6.1796875" style="11" customWidth="1"/>
    <col min="5193" max="5193" width="6" style="11" customWidth="1"/>
    <col min="5194" max="5194" width="6.26953125" style="11" customWidth="1"/>
    <col min="5195" max="5195" width="6.54296875" style="11" customWidth="1"/>
    <col min="5196" max="5196" width="6.1796875" style="11" customWidth="1"/>
    <col min="5197" max="5197" width="5.26953125" style="11" customWidth="1"/>
    <col min="5198" max="5198" width="6.453125" style="11" customWidth="1"/>
    <col min="5199" max="5200" width="6.1796875" style="11" customWidth="1"/>
    <col min="5201" max="5201" width="6.26953125" style="11" customWidth="1"/>
    <col min="5202" max="5202" width="5.26953125" style="11" customWidth="1"/>
    <col min="5203" max="5203" width="6.81640625" style="11" customWidth="1"/>
    <col min="5204" max="5204" width="6.54296875" style="11" customWidth="1"/>
    <col min="5205" max="5205" width="6" style="11" customWidth="1"/>
    <col min="5206" max="5206" width="7" style="11" customWidth="1"/>
    <col min="5207" max="5207" width="6.26953125" style="11" customWidth="1"/>
    <col min="5208" max="5208" width="6.54296875" style="11" customWidth="1"/>
    <col min="5209" max="5209" width="6.7265625" style="11" customWidth="1"/>
    <col min="5210" max="5210" width="5.26953125" style="11" customWidth="1"/>
    <col min="5211" max="5211" width="6" style="11" customWidth="1"/>
    <col min="5212" max="5212" width="5.7265625" style="11" customWidth="1"/>
    <col min="5213" max="5217" width="12.1796875" style="11" bestFit="1" customWidth="1"/>
    <col min="5218" max="5218" width="9.81640625" style="11" bestFit="1" customWidth="1"/>
    <col min="5219" max="5219" width="11" style="11" bestFit="1" customWidth="1"/>
    <col min="5220" max="5220" width="11.26953125" style="11" bestFit="1" customWidth="1"/>
    <col min="5221" max="5221" width="11" style="11" bestFit="1" customWidth="1"/>
    <col min="5222" max="5223" width="9.81640625" style="11" bestFit="1" customWidth="1"/>
    <col min="5224" max="5224" width="10.26953125" style="11" bestFit="1" customWidth="1"/>
    <col min="5225" max="5225" width="12.1796875" style="11" bestFit="1" customWidth="1"/>
    <col min="5226" max="5226" width="11" style="11" bestFit="1" customWidth="1"/>
    <col min="5227" max="5227" width="12.1796875" style="11" bestFit="1" customWidth="1"/>
    <col min="5228" max="5228" width="13.81640625" style="11" bestFit="1" customWidth="1"/>
    <col min="5229" max="5229" width="9.81640625" style="11" bestFit="1" customWidth="1"/>
    <col min="5230" max="5230" width="13.81640625" style="11" bestFit="1" customWidth="1"/>
    <col min="5231" max="5231" width="10.81640625" style="11" bestFit="1" customWidth="1"/>
    <col min="5232" max="5232" width="12.1796875" style="11" bestFit="1" customWidth="1"/>
    <col min="5233" max="5235" width="11" style="11" bestFit="1" customWidth="1"/>
    <col min="5236" max="5236" width="14.26953125" style="11" customWidth="1"/>
    <col min="5237" max="5240" width="10.81640625" style="11" customWidth="1"/>
    <col min="5241" max="5241" width="9.54296875" style="11" customWidth="1"/>
    <col min="5242" max="5243" width="6.7265625" style="11" customWidth="1"/>
    <col min="5244" max="5250" width="8.7265625" style="11" customWidth="1"/>
    <col min="5251" max="5251" width="9.7265625" style="11" bestFit="1" customWidth="1"/>
    <col min="5252" max="5252" width="38.54296875" style="11" bestFit="1" customWidth="1"/>
    <col min="5253" max="5253" width="8.7265625" style="11" bestFit="1" customWidth="1"/>
    <col min="5254" max="5254" width="11.1796875" style="11" bestFit="1" customWidth="1"/>
    <col min="5255" max="5255" width="7.7265625" style="11" bestFit="1" customWidth="1"/>
    <col min="5256" max="5256" width="9.453125" style="11" bestFit="1" customWidth="1"/>
    <col min="5257" max="5257" width="8.7265625" style="11" bestFit="1" customWidth="1"/>
    <col min="5258" max="5258" width="10.453125" style="11" bestFit="1" customWidth="1"/>
    <col min="5259" max="5259" width="9" style="11" bestFit="1" customWidth="1"/>
    <col min="5260" max="5260" width="9.54296875" style="11" bestFit="1" customWidth="1"/>
    <col min="5261" max="5261" width="10.54296875" style="11" bestFit="1" customWidth="1"/>
    <col min="5262" max="5262" width="8.54296875" style="11" bestFit="1" customWidth="1"/>
    <col min="5263" max="5263" width="10.54296875" style="11" bestFit="1" customWidth="1"/>
    <col min="5264" max="5264" width="11" style="11" bestFit="1" customWidth="1"/>
    <col min="5265" max="5265" width="16.54296875" style="11" bestFit="1" customWidth="1"/>
    <col min="5266" max="5266" width="11" style="11" bestFit="1" customWidth="1"/>
    <col min="5267" max="5267" width="10.26953125" style="11" bestFit="1" customWidth="1"/>
    <col min="5268" max="5268" width="12.453125" style="11" bestFit="1" customWidth="1"/>
    <col min="5269" max="5269" width="10.54296875" style="11" bestFit="1" customWidth="1"/>
    <col min="5270" max="5270" width="9" style="11" bestFit="1" customWidth="1"/>
    <col min="5271" max="5271" width="10.54296875" style="11" bestFit="1" customWidth="1"/>
    <col min="5272" max="5272" width="11.1796875" style="11" bestFit="1" customWidth="1"/>
    <col min="5273" max="5273" width="11.453125" style="11" bestFit="1" customWidth="1"/>
    <col min="5274" max="5274" width="12.7265625" style="11" bestFit="1" customWidth="1"/>
    <col min="5275" max="5275" width="13.453125" style="11" bestFit="1" customWidth="1"/>
    <col min="5276" max="5276" width="11.81640625" style="11" bestFit="1" customWidth="1"/>
    <col min="5277" max="5277" width="10.7265625" style="11" bestFit="1" customWidth="1"/>
    <col min="5278" max="5278" width="8.81640625" style="11" bestFit="1" customWidth="1"/>
    <col min="5279" max="5279" width="10" style="11" bestFit="1" customWidth="1"/>
    <col min="5280" max="5280" width="13.1796875" style="11" bestFit="1" customWidth="1"/>
    <col min="5281" max="5281" width="20.7265625" style="11" bestFit="1" customWidth="1"/>
    <col min="5282" max="5282" width="20.7265625" style="11" customWidth="1"/>
    <col min="5283" max="5283" width="9.453125" style="11" bestFit="1" customWidth="1"/>
    <col min="5284" max="5285" width="9.26953125" style="11" bestFit="1" customWidth="1"/>
    <col min="5286" max="5286" width="10.26953125" style="11" bestFit="1" customWidth="1"/>
    <col min="5287" max="5296" width="9.26953125" style="11" bestFit="1" customWidth="1"/>
    <col min="5297" max="5297" width="10.26953125" style="11" bestFit="1" customWidth="1"/>
    <col min="5298" max="5301" width="9.26953125" style="11" bestFit="1" customWidth="1"/>
    <col min="5302" max="5302" width="11.26953125" style="11" bestFit="1" customWidth="1"/>
    <col min="5303" max="5315" width="8.7265625" style="11" customWidth="1"/>
    <col min="5316" max="5316" width="11" style="11" bestFit="1" customWidth="1"/>
    <col min="5317" max="5317" width="4.7265625" style="11" customWidth="1"/>
    <col min="5318" max="5318" width="25.26953125" style="11" customWidth="1"/>
    <col min="5319" max="5319" width="23" style="11" customWidth="1"/>
    <col min="5320" max="5320" width="10.26953125" style="11" bestFit="1" customWidth="1"/>
    <col min="5321" max="5321" width="0" style="11" hidden="1" customWidth="1"/>
    <col min="5322" max="5322" width="31.7265625" style="11" customWidth="1"/>
    <col min="5323" max="5323" width="6" style="11" customWidth="1"/>
    <col min="5324" max="5325" width="10.26953125" style="11" bestFit="1" customWidth="1"/>
    <col min="5326" max="5333" width="8.7265625" style="11" customWidth="1"/>
    <col min="5334" max="5334" width="10.26953125" style="11" bestFit="1" customWidth="1"/>
    <col min="5335" max="5416" width="8.7265625" style="11" customWidth="1"/>
    <col min="5417" max="5417" width="9.1796875" style="11"/>
    <col min="5418" max="5418" width="4.7265625" style="11" customWidth="1"/>
    <col min="5419" max="5419" width="3.54296875" style="11" customWidth="1"/>
    <col min="5420" max="5420" width="5.54296875" style="11" customWidth="1"/>
    <col min="5421" max="5421" width="8.7265625" style="11" customWidth="1"/>
    <col min="5422" max="5422" width="7.453125" style="11" customWidth="1"/>
    <col min="5423" max="5423" width="11.81640625" style="11" customWidth="1"/>
    <col min="5424" max="5424" width="8.26953125" style="11" customWidth="1"/>
    <col min="5425" max="5425" width="4.7265625" style="11" customWidth="1"/>
    <col min="5426" max="5426" width="0" style="11" hidden="1" customWidth="1"/>
    <col min="5427" max="5427" width="3.26953125" style="11" customWidth="1"/>
    <col min="5428" max="5428" width="0" style="11" hidden="1" customWidth="1"/>
    <col min="5429" max="5429" width="12" style="11" customWidth="1"/>
    <col min="5430" max="5430" width="12.81640625" style="11" customWidth="1"/>
    <col min="5431" max="5431" width="37.7265625" style="11" customWidth="1"/>
    <col min="5432" max="5433" width="8.453125" style="11" customWidth="1"/>
    <col min="5434" max="5434" width="8.54296875" style="11" customWidth="1"/>
    <col min="5435" max="5435" width="8.26953125" style="11" customWidth="1"/>
    <col min="5436" max="5436" width="12.26953125" style="11" customWidth="1"/>
    <col min="5437" max="5439" width="5.453125" style="11" customWidth="1"/>
    <col min="5440" max="5440" width="6.1796875" style="11" customWidth="1"/>
    <col min="5441" max="5441" width="5.1796875" style="11" customWidth="1"/>
    <col min="5442" max="5442" width="6.26953125" style="11" customWidth="1"/>
    <col min="5443" max="5443" width="6.7265625" style="11" customWidth="1"/>
    <col min="5444" max="5444" width="6.1796875" style="11" customWidth="1"/>
    <col min="5445" max="5445" width="6.54296875" style="11" customWidth="1"/>
    <col min="5446" max="5446" width="6.7265625" style="11" customWidth="1"/>
    <col min="5447" max="5447" width="5.7265625" style="11" customWidth="1"/>
    <col min="5448" max="5448" width="6.1796875" style="11" customWidth="1"/>
    <col min="5449" max="5449" width="6" style="11" customWidth="1"/>
    <col min="5450" max="5450" width="6.26953125" style="11" customWidth="1"/>
    <col min="5451" max="5451" width="6.54296875" style="11" customWidth="1"/>
    <col min="5452" max="5452" width="6.1796875" style="11" customWidth="1"/>
    <col min="5453" max="5453" width="5.26953125" style="11" customWidth="1"/>
    <col min="5454" max="5454" width="6.453125" style="11" customWidth="1"/>
    <col min="5455" max="5456" width="6.1796875" style="11" customWidth="1"/>
    <col min="5457" max="5457" width="6.26953125" style="11" customWidth="1"/>
    <col min="5458" max="5458" width="5.26953125" style="11" customWidth="1"/>
    <col min="5459" max="5459" width="6.81640625" style="11" customWidth="1"/>
    <col min="5460" max="5460" width="6.54296875" style="11" customWidth="1"/>
    <col min="5461" max="5461" width="6" style="11" customWidth="1"/>
    <col min="5462" max="5462" width="7" style="11" customWidth="1"/>
    <col min="5463" max="5463" width="6.26953125" style="11" customWidth="1"/>
    <col min="5464" max="5464" width="6.54296875" style="11" customWidth="1"/>
    <col min="5465" max="5465" width="6.7265625" style="11" customWidth="1"/>
    <col min="5466" max="5466" width="5.26953125" style="11" customWidth="1"/>
    <col min="5467" max="5467" width="6" style="11" customWidth="1"/>
    <col min="5468" max="5468" width="5.7265625" style="11" customWidth="1"/>
    <col min="5469" max="5473" width="12.1796875" style="11" bestFit="1" customWidth="1"/>
    <col min="5474" max="5474" width="9.81640625" style="11" bestFit="1" customWidth="1"/>
    <col min="5475" max="5475" width="11" style="11" bestFit="1" customWidth="1"/>
    <col min="5476" max="5476" width="11.26953125" style="11" bestFit="1" customWidth="1"/>
    <col min="5477" max="5477" width="11" style="11" bestFit="1" customWidth="1"/>
    <col min="5478" max="5479" width="9.81640625" style="11" bestFit="1" customWidth="1"/>
    <col min="5480" max="5480" width="10.26953125" style="11" bestFit="1" customWidth="1"/>
    <col min="5481" max="5481" width="12.1796875" style="11" bestFit="1" customWidth="1"/>
    <col min="5482" max="5482" width="11" style="11" bestFit="1" customWidth="1"/>
    <col min="5483" max="5483" width="12.1796875" style="11" bestFit="1" customWidth="1"/>
    <col min="5484" max="5484" width="13.81640625" style="11" bestFit="1" customWidth="1"/>
    <col min="5485" max="5485" width="9.81640625" style="11" bestFit="1" customWidth="1"/>
    <col min="5486" max="5486" width="13.81640625" style="11" bestFit="1" customWidth="1"/>
    <col min="5487" max="5487" width="10.81640625" style="11" bestFit="1" customWidth="1"/>
    <col min="5488" max="5488" width="12.1796875" style="11" bestFit="1" customWidth="1"/>
    <col min="5489" max="5491" width="11" style="11" bestFit="1" customWidth="1"/>
    <col min="5492" max="5492" width="14.26953125" style="11" customWidth="1"/>
    <col min="5493" max="5496" width="10.81640625" style="11" customWidth="1"/>
    <col min="5497" max="5497" width="9.54296875" style="11" customWidth="1"/>
    <col min="5498" max="5499" width="6.7265625" style="11" customWidth="1"/>
    <col min="5500" max="5506" width="8.7265625" style="11" customWidth="1"/>
    <col min="5507" max="5507" width="9.7265625" style="11" bestFit="1" customWidth="1"/>
    <col min="5508" max="5508" width="38.54296875" style="11" bestFit="1" customWidth="1"/>
    <col min="5509" max="5509" width="8.7265625" style="11" bestFit="1" customWidth="1"/>
    <col min="5510" max="5510" width="11.1796875" style="11" bestFit="1" customWidth="1"/>
    <col min="5511" max="5511" width="7.7265625" style="11" bestFit="1" customWidth="1"/>
    <col min="5512" max="5512" width="9.453125" style="11" bestFit="1" customWidth="1"/>
    <col min="5513" max="5513" width="8.7265625" style="11" bestFit="1" customWidth="1"/>
    <col min="5514" max="5514" width="10.453125" style="11" bestFit="1" customWidth="1"/>
    <col min="5515" max="5515" width="9" style="11" bestFit="1" customWidth="1"/>
    <col min="5516" max="5516" width="9.54296875" style="11" bestFit="1" customWidth="1"/>
    <col min="5517" max="5517" width="10.54296875" style="11" bestFit="1" customWidth="1"/>
    <col min="5518" max="5518" width="8.54296875" style="11" bestFit="1" customWidth="1"/>
    <col min="5519" max="5519" width="10.54296875" style="11" bestFit="1" customWidth="1"/>
    <col min="5520" max="5520" width="11" style="11" bestFit="1" customWidth="1"/>
    <col min="5521" max="5521" width="16.54296875" style="11" bestFit="1" customWidth="1"/>
    <col min="5522" max="5522" width="11" style="11" bestFit="1" customWidth="1"/>
    <col min="5523" max="5523" width="10.26953125" style="11" bestFit="1" customWidth="1"/>
    <col min="5524" max="5524" width="12.453125" style="11" bestFit="1" customWidth="1"/>
    <col min="5525" max="5525" width="10.54296875" style="11" bestFit="1" customWidth="1"/>
    <col min="5526" max="5526" width="9" style="11" bestFit="1" customWidth="1"/>
    <col min="5527" max="5527" width="10.54296875" style="11" bestFit="1" customWidth="1"/>
    <col min="5528" max="5528" width="11.1796875" style="11" bestFit="1" customWidth="1"/>
    <col min="5529" max="5529" width="11.453125" style="11" bestFit="1" customWidth="1"/>
    <col min="5530" max="5530" width="12.7265625" style="11" bestFit="1" customWidth="1"/>
    <col min="5531" max="5531" width="13.453125" style="11" bestFit="1" customWidth="1"/>
    <col min="5532" max="5532" width="11.81640625" style="11" bestFit="1" customWidth="1"/>
    <col min="5533" max="5533" width="10.7265625" style="11" bestFit="1" customWidth="1"/>
    <col min="5534" max="5534" width="8.81640625" style="11" bestFit="1" customWidth="1"/>
    <col min="5535" max="5535" width="10" style="11" bestFit="1" customWidth="1"/>
    <col min="5536" max="5536" width="13.1796875" style="11" bestFit="1" customWidth="1"/>
    <col min="5537" max="5537" width="20.7265625" style="11" bestFit="1" customWidth="1"/>
    <col min="5538" max="5538" width="20.7265625" style="11" customWidth="1"/>
    <col min="5539" max="5539" width="9.453125" style="11" bestFit="1" customWidth="1"/>
    <col min="5540" max="5541" width="9.26953125" style="11" bestFit="1" customWidth="1"/>
    <col min="5542" max="5542" width="10.26953125" style="11" bestFit="1" customWidth="1"/>
    <col min="5543" max="5552" width="9.26953125" style="11" bestFit="1" customWidth="1"/>
    <col min="5553" max="5553" width="10.26953125" style="11" bestFit="1" customWidth="1"/>
    <col min="5554" max="5557" width="9.26953125" style="11" bestFit="1" customWidth="1"/>
    <col min="5558" max="5558" width="11.26953125" style="11" bestFit="1" customWidth="1"/>
    <col min="5559" max="5571" width="8.7265625" style="11" customWidth="1"/>
    <col min="5572" max="5572" width="11" style="11" bestFit="1" customWidth="1"/>
    <col min="5573" max="5573" width="4.7265625" style="11" customWidth="1"/>
    <col min="5574" max="5574" width="25.26953125" style="11" customWidth="1"/>
    <col min="5575" max="5575" width="23" style="11" customWidth="1"/>
    <col min="5576" max="5576" width="10.26953125" style="11" bestFit="1" customWidth="1"/>
    <col min="5577" max="5577" width="0" style="11" hidden="1" customWidth="1"/>
    <col min="5578" max="5578" width="31.7265625" style="11" customWidth="1"/>
    <col min="5579" max="5579" width="6" style="11" customWidth="1"/>
    <col min="5580" max="5581" width="10.26953125" style="11" bestFit="1" customWidth="1"/>
    <col min="5582" max="5589" width="8.7265625" style="11" customWidth="1"/>
    <col min="5590" max="5590" width="10.26953125" style="11" bestFit="1" customWidth="1"/>
    <col min="5591" max="5672" width="8.7265625" style="11" customWidth="1"/>
    <col min="5673" max="5673" width="9.1796875" style="11"/>
    <col min="5674" max="5674" width="4.7265625" style="11" customWidth="1"/>
    <col min="5675" max="5675" width="3.54296875" style="11" customWidth="1"/>
    <col min="5676" max="5676" width="5.54296875" style="11" customWidth="1"/>
    <col min="5677" max="5677" width="8.7265625" style="11" customWidth="1"/>
    <col min="5678" max="5678" width="7.453125" style="11" customWidth="1"/>
    <col min="5679" max="5679" width="11.81640625" style="11" customWidth="1"/>
    <col min="5680" max="5680" width="8.26953125" style="11" customWidth="1"/>
    <col min="5681" max="5681" width="4.7265625" style="11" customWidth="1"/>
    <col min="5682" max="5682" width="0" style="11" hidden="1" customWidth="1"/>
    <col min="5683" max="5683" width="3.26953125" style="11" customWidth="1"/>
    <col min="5684" max="5684" width="0" style="11" hidden="1" customWidth="1"/>
    <col min="5685" max="5685" width="12" style="11" customWidth="1"/>
    <col min="5686" max="5686" width="12.81640625" style="11" customWidth="1"/>
    <col min="5687" max="5687" width="37.7265625" style="11" customWidth="1"/>
    <col min="5688" max="5689" width="8.453125" style="11" customWidth="1"/>
    <col min="5690" max="5690" width="8.54296875" style="11" customWidth="1"/>
    <col min="5691" max="5691" width="8.26953125" style="11" customWidth="1"/>
    <col min="5692" max="5692" width="12.26953125" style="11" customWidth="1"/>
    <col min="5693" max="5695" width="5.453125" style="11" customWidth="1"/>
    <col min="5696" max="5696" width="6.1796875" style="11" customWidth="1"/>
    <col min="5697" max="5697" width="5.1796875" style="11" customWidth="1"/>
    <col min="5698" max="5698" width="6.26953125" style="11" customWidth="1"/>
    <col min="5699" max="5699" width="6.7265625" style="11" customWidth="1"/>
    <col min="5700" max="5700" width="6.1796875" style="11" customWidth="1"/>
    <col min="5701" max="5701" width="6.54296875" style="11" customWidth="1"/>
    <col min="5702" max="5702" width="6.7265625" style="11" customWidth="1"/>
    <col min="5703" max="5703" width="5.7265625" style="11" customWidth="1"/>
    <col min="5704" max="5704" width="6.1796875" style="11" customWidth="1"/>
    <col min="5705" max="5705" width="6" style="11" customWidth="1"/>
    <col min="5706" max="5706" width="6.26953125" style="11" customWidth="1"/>
    <col min="5707" max="5707" width="6.54296875" style="11" customWidth="1"/>
    <col min="5708" max="5708" width="6.1796875" style="11" customWidth="1"/>
    <col min="5709" max="5709" width="5.26953125" style="11" customWidth="1"/>
    <col min="5710" max="5710" width="6.453125" style="11" customWidth="1"/>
    <col min="5711" max="5712" width="6.1796875" style="11" customWidth="1"/>
    <col min="5713" max="5713" width="6.26953125" style="11" customWidth="1"/>
    <col min="5714" max="5714" width="5.26953125" style="11" customWidth="1"/>
    <col min="5715" max="5715" width="6.81640625" style="11" customWidth="1"/>
    <col min="5716" max="5716" width="6.54296875" style="11" customWidth="1"/>
    <col min="5717" max="5717" width="6" style="11" customWidth="1"/>
    <col min="5718" max="5718" width="7" style="11" customWidth="1"/>
    <col min="5719" max="5719" width="6.26953125" style="11" customWidth="1"/>
    <col min="5720" max="5720" width="6.54296875" style="11" customWidth="1"/>
    <col min="5721" max="5721" width="6.7265625" style="11" customWidth="1"/>
    <col min="5722" max="5722" width="5.26953125" style="11" customWidth="1"/>
    <col min="5723" max="5723" width="6" style="11" customWidth="1"/>
    <col min="5724" max="5724" width="5.7265625" style="11" customWidth="1"/>
    <col min="5725" max="5729" width="12.1796875" style="11" bestFit="1" customWidth="1"/>
    <col min="5730" max="5730" width="9.81640625" style="11" bestFit="1" customWidth="1"/>
    <col min="5731" max="5731" width="11" style="11" bestFit="1" customWidth="1"/>
    <col min="5732" max="5732" width="11.26953125" style="11" bestFit="1" customWidth="1"/>
    <col min="5733" max="5733" width="11" style="11" bestFit="1" customWidth="1"/>
    <col min="5734" max="5735" width="9.81640625" style="11" bestFit="1" customWidth="1"/>
    <col min="5736" max="5736" width="10.26953125" style="11" bestFit="1" customWidth="1"/>
    <col min="5737" max="5737" width="12.1796875" style="11" bestFit="1" customWidth="1"/>
    <col min="5738" max="5738" width="11" style="11" bestFit="1" customWidth="1"/>
    <col min="5739" max="5739" width="12.1796875" style="11" bestFit="1" customWidth="1"/>
    <col min="5740" max="5740" width="13.81640625" style="11" bestFit="1" customWidth="1"/>
    <col min="5741" max="5741" width="9.81640625" style="11" bestFit="1" customWidth="1"/>
    <col min="5742" max="5742" width="13.81640625" style="11" bestFit="1" customWidth="1"/>
    <col min="5743" max="5743" width="10.81640625" style="11" bestFit="1" customWidth="1"/>
    <col min="5744" max="5744" width="12.1796875" style="11" bestFit="1" customWidth="1"/>
    <col min="5745" max="5747" width="11" style="11" bestFit="1" customWidth="1"/>
    <col min="5748" max="5748" width="14.26953125" style="11" customWidth="1"/>
    <col min="5749" max="5752" width="10.81640625" style="11" customWidth="1"/>
    <col min="5753" max="5753" width="9.54296875" style="11" customWidth="1"/>
    <col min="5754" max="5755" width="6.7265625" style="11" customWidth="1"/>
    <col min="5756" max="5762" width="8.7265625" style="11" customWidth="1"/>
    <col min="5763" max="5763" width="9.7265625" style="11" bestFit="1" customWidth="1"/>
    <col min="5764" max="5764" width="38.54296875" style="11" bestFit="1" customWidth="1"/>
    <col min="5765" max="5765" width="8.7265625" style="11" bestFit="1" customWidth="1"/>
    <col min="5766" max="5766" width="11.1796875" style="11" bestFit="1" customWidth="1"/>
    <col min="5767" max="5767" width="7.7265625" style="11" bestFit="1" customWidth="1"/>
    <col min="5768" max="5768" width="9.453125" style="11" bestFit="1" customWidth="1"/>
    <col min="5769" max="5769" width="8.7265625" style="11" bestFit="1" customWidth="1"/>
    <col min="5770" max="5770" width="10.453125" style="11" bestFit="1" customWidth="1"/>
    <col min="5771" max="5771" width="9" style="11" bestFit="1" customWidth="1"/>
    <col min="5772" max="5772" width="9.54296875" style="11" bestFit="1" customWidth="1"/>
    <col min="5773" max="5773" width="10.54296875" style="11" bestFit="1" customWidth="1"/>
    <col min="5774" max="5774" width="8.54296875" style="11" bestFit="1" customWidth="1"/>
    <col min="5775" max="5775" width="10.54296875" style="11" bestFit="1" customWidth="1"/>
    <col min="5776" max="5776" width="11" style="11" bestFit="1" customWidth="1"/>
    <col min="5777" max="5777" width="16.54296875" style="11" bestFit="1" customWidth="1"/>
    <col min="5778" max="5778" width="11" style="11" bestFit="1" customWidth="1"/>
    <col min="5779" max="5779" width="10.26953125" style="11" bestFit="1" customWidth="1"/>
    <col min="5780" max="5780" width="12.453125" style="11" bestFit="1" customWidth="1"/>
    <col min="5781" max="5781" width="10.54296875" style="11" bestFit="1" customWidth="1"/>
    <col min="5782" max="5782" width="9" style="11" bestFit="1" customWidth="1"/>
    <col min="5783" max="5783" width="10.54296875" style="11" bestFit="1" customWidth="1"/>
    <col min="5784" max="5784" width="11.1796875" style="11" bestFit="1" customWidth="1"/>
    <col min="5785" max="5785" width="11.453125" style="11" bestFit="1" customWidth="1"/>
    <col min="5786" max="5786" width="12.7265625" style="11" bestFit="1" customWidth="1"/>
    <col min="5787" max="5787" width="13.453125" style="11" bestFit="1" customWidth="1"/>
    <col min="5788" max="5788" width="11.81640625" style="11" bestFit="1" customWidth="1"/>
    <col min="5789" max="5789" width="10.7265625" style="11" bestFit="1" customWidth="1"/>
    <col min="5790" max="5790" width="8.81640625" style="11" bestFit="1" customWidth="1"/>
    <col min="5791" max="5791" width="10" style="11" bestFit="1" customWidth="1"/>
    <col min="5792" max="5792" width="13.1796875" style="11" bestFit="1" customWidth="1"/>
    <col min="5793" max="5793" width="20.7265625" style="11" bestFit="1" customWidth="1"/>
    <col min="5794" max="5794" width="20.7265625" style="11" customWidth="1"/>
    <col min="5795" max="5795" width="9.453125" style="11" bestFit="1" customWidth="1"/>
    <col min="5796" max="5797" width="9.26953125" style="11" bestFit="1" customWidth="1"/>
    <col min="5798" max="5798" width="10.26953125" style="11" bestFit="1" customWidth="1"/>
    <col min="5799" max="5808" width="9.26953125" style="11" bestFit="1" customWidth="1"/>
    <col min="5809" max="5809" width="10.26953125" style="11" bestFit="1" customWidth="1"/>
    <col min="5810" max="5813" width="9.26953125" style="11" bestFit="1" customWidth="1"/>
    <col min="5814" max="5814" width="11.26953125" style="11" bestFit="1" customWidth="1"/>
    <col min="5815" max="5827" width="8.7265625" style="11" customWidth="1"/>
    <col min="5828" max="5828" width="11" style="11" bestFit="1" customWidth="1"/>
    <col min="5829" max="5829" width="4.7265625" style="11" customWidth="1"/>
    <col min="5830" max="5830" width="25.26953125" style="11" customWidth="1"/>
    <col min="5831" max="5831" width="23" style="11" customWidth="1"/>
    <col min="5832" max="5832" width="10.26953125" style="11" bestFit="1" customWidth="1"/>
    <col min="5833" max="5833" width="0" style="11" hidden="1" customWidth="1"/>
    <col min="5834" max="5834" width="31.7265625" style="11" customWidth="1"/>
    <col min="5835" max="5835" width="6" style="11" customWidth="1"/>
    <col min="5836" max="5837" width="10.26953125" style="11" bestFit="1" customWidth="1"/>
    <col min="5838" max="5845" width="8.7265625" style="11" customWidth="1"/>
    <col min="5846" max="5846" width="10.26953125" style="11" bestFit="1" customWidth="1"/>
    <col min="5847" max="5928" width="8.7265625" style="11" customWidth="1"/>
    <col min="5929" max="5929" width="9.1796875" style="11"/>
    <col min="5930" max="5930" width="4.7265625" style="11" customWidth="1"/>
    <col min="5931" max="5931" width="3.54296875" style="11" customWidth="1"/>
    <col min="5932" max="5932" width="5.54296875" style="11" customWidth="1"/>
    <col min="5933" max="5933" width="8.7265625" style="11" customWidth="1"/>
    <col min="5934" max="5934" width="7.453125" style="11" customWidth="1"/>
    <col min="5935" max="5935" width="11.81640625" style="11" customWidth="1"/>
    <col min="5936" max="5936" width="8.26953125" style="11" customWidth="1"/>
    <col min="5937" max="5937" width="4.7265625" style="11" customWidth="1"/>
    <col min="5938" max="5938" width="0" style="11" hidden="1" customWidth="1"/>
    <col min="5939" max="5939" width="3.26953125" style="11" customWidth="1"/>
    <col min="5940" max="5940" width="0" style="11" hidden="1" customWidth="1"/>
    <col min="5941" max="5941" width="12" style="11" customWidth="1"/>
    <col min="5942" max="5942" width="12.81640625" style="11" customWidth="1"/>
    <col min="5943" max="5943" width="37.7265625" style="11" customWidth="1"/>
    <col min="5944" max="5945" width="8.453125" style="11" customWidth="1"/>
    <col min="5946" max="5946" width="8.54296875" style="11" customWidth="1"/>
    <col min="5947" max="5947" width="8.26953125" style="11" customWidth="1"/>
    <col min="5948" max="5948" width="12.26953125" style="11" customWidth="1"/>
    <col min="5949" max="5951" width="5.453125" style="11" customWidth="1"/>
    <col min="5952" max="5952" width="6.1796875" style="11" customWidth="1"/>
    <col min="5953" max="5953" width="5.1796875" style="11" customWidth="1"/>
    <col min="5954" max="5954" width="6.26953125" style="11" customWidth="1"/>
    <col min="5955" max="5955" width="6.7265625" style="11" customWidth="1"/>
    <col min="5956" max="5956" width="6.1796875" style="11" customWidth="1"/>
    <col min="5957" max="5957" width="6.54296875" style="11" customWidth="1"/>
    <col min="5958" max="5958" width="6.7265625" style="11" customWidth="1"/>
    <col min="5959" max="5959" width="5.7265625" style="11" customWidth="1"/>
    <col min="5960" max="5960" width="6.1796875" style="11" customWidth="1"/>
    <col min="5961" max="5961" width="6" style="11" customWidth="1"/>
    <col min="5962" max="5962" width="6.26953125" style="11" customWidth="1"/>
    <col min="5963" max="5963" width="6.54296875" style="11" customWidth="1"/>
    <col min="5964" max="5964" width="6.1796875" style="11" customWidth="1"/>
    <col min="5965" max="5965" width="5.26953125" style="11" customWidth="1"/>
    <col min="5966" max="5966" width="6.453125" style="11" customWidth="1"/>
    <col min="5967" max="5968" width="6.1796875" style="11" customWidth="1"/>
    <col min="5969" max="5969" width="6.26953125" style="11" customWidth="1"/>
    <col min="5970" max="5970" width="5.26953125" style="11" customWidth="1"/>
    <col min="5971" max="5971" width="6.81640625" style="11" customWidth="1"/>
    <col min="5972" max="5972" width="6.54296875" style="11" customWidth="1"/>
    <col min="5973" max="5973" width="6" style="11" customWidth="1"/>
    <col min="5974" max="5974" width="7" style="11" customWidth="1"/>
    <col min="5975" max="5975" width="6.26953125" style="11" customWidth="1"/>
    <col min="5976" max="5976" width="6.54296875" style="11" customWidth="1"/>
    <col min="5977" max="5977" width="6.7265625" style="11" customWidth="1"/>
    <col min="5978" max="5978" width="5.26953125" style="11" customWidth="1"/>
    <col min="5979" max="5979" width="6" style="11" customWidth="1"/>
    <col min="5980" max="5980" width="5.7265625" style="11" customWidth="1"/>
    <col min="5981" max="5985" width="12.1796875" style="11" bestFit="1" customWidth="1"/>
    <col min="5986" max="5986" width="9.81640625" style="11" bestFit="1" customWidth="1"/>
    <col min="5987" max="5987" width="11" style="11" bestFit="1" customWidth="1"/>
    <col min="5988" max="5988" width="11.26953125" style="11" bestFit="1" customWidth="1"/>
    <col min="5989" max="5989" width="11" style="11" bestFit="1" customWidth="1"/>
    <col min="5990" max="5991" width="9.81640625" style="11" bestFit="1" customWidth="1"/>
    <col min="5992" max="5992" width="10.26953125" style="11" bestFit="1" customWidth="1"/>
    <col min="5993" max="5993" width="12.1796875" style="11" bestFit="1" customWidth="1"/>
    <col min="5994" max="5994" width="11" style="11" bestFit="1" customWidth="1"/>
    <col min="5995" max="5995" width="12.1796875" style="11" bestFit="1" customWidth="1"/>
    <col min="5996" max="5996" width="13.81640625" style="11" bestFit="1" customWidth="1"/>
    <col min="5997" max="5997" width="9.81640625" style="11" bestFit="1" customWidth="1"/>
    <col min="5998" max="5998" width="13.81640625" style="11" bestFit="1" customWidth="1"/>
    <col min="5999" max="5999" width="10.81640625" style="11" bestFit="1" customWidth="1"/>
    <col min="6000" max="6000" width="12.1796875" style="11" bestFit="1" customWidth="1"/>
    <col min="6001" max="6003" width="11" style="11" bestFit="1" customWidth="1"/>
    <col min="6004" max="6004" width="14.26953125" style="11" customWidth="1"/>
    <col min="6005" max="6008" width="10.81640625" style="11" customWidth="1"/>
    <col min="6009" max="6009" width="9.54296875" style="11" customWidth="1"/>
    <col min="6010" max="6011" width="6.7265625" style="11" customWidth="1"/>
    <col min="6012" max="6018" width="8.7265625" style="11" customWidth="1"/>
    <col min="6019" max="6019" width="9.7265625" style="11" bestFit="1" customWidth="1"/>
    <col min="6020" max="6020" width="38.54296875" style="11" bestFit="1" customWidth="1"/>
    <col min="6021" max="6021" width="8.7265625" style="11" bestFit="1" customWidth="1"/>
    <col min="6022" max="6022" width="11.1796875" style="11" bestFit="1" customWidth="1"/>
    <col min="6023" max="6023" width="7.7265625" style="11" bestFit="1" customWidth="1"/>
    <col min="6024" max="6024" width="9.453125" style="11" bestFit="1" customWidth="1"/>
    <col min="6025" max="6025" width="8.7265625" style="11" bestFit="1" customWidth="1"/>
    <col min="6026" max="6026" width="10.453125" style="11" bestFit="1" customWidth="1"/>
    <col min="6027" max="6027" width="9" style="11" bestFit="1" customWidth="1"/>
    <col min="6028" max="6028" width="9.54296875" style="11" bestFit="1" customWidth="1"/>
    <col min="6029" max="6029" width="10.54296875" style="11" bestFit="1" customWidth="1"/>
    <col min="6030" max="6030" width="8.54296875" style="11" bestFit="1" customWidth="1"/>
    <col min="6031" max="6031" width="10.54296875" style="11" bestFit="1" customWidth="1"/>
    <col min="6032" max="6032" width="11" style="11" bestFit="1" customWidth="1"/>
    <col min="6033" max="6033" width="16.54296875" style="11" bestFit="1" customWidth="1"/>
    <col min="6034" max="6034" width="11" style="11" bestFit="1" customWidth="1"/>
    <col min="6035" max="6035" width="10.26953125" style="11" bestFit="1" customWidth="1"/>
    <col min="6036" max="6036" width="12.453125" style="11" bestFit="1" customWidth="1"/>
    <col min="6037" max="6037" width="10.54296875" style="11" bestFit="1" customWidth="1"/>
    <col min="6038" max="6038" width="9" style="11" bestFit="1" customWidth="1"/>
    <col min="6039" max="6039" width="10.54296875" style="11" bestFit="1" customWidth="1"/>
    <col min="6040" max="6040" width="11.1796875" style="11" bestFit="1" customWidth="1"/>
    <col min="6041" max="6041" width="11.453125" style="11" bestFit="1" customWidth="1"/>
    <col min="6042" max="6042" width="12.7265625" style="11" bestFit="1" customWidth="1"/>
    <col min="6043" max="6043" width="13.453125" style="11" bestFit="1" customWidth="1"/>
    <col min="6044" max="6044" width="11.81640625" style="11" bestFit="1" customWidth="1"/>
    <col min="6045" max="6045" width="10.7265625" style="11" bestFit="1" customWidth="1"/>
    <col min="6046" max="6046" width="8.81640625" style="11" bestFit="1" customWidth="1"/>
    <col min="6047" max="6047" width="10" style="11" bestFit="1" customWidth="1"/>
    <col min="6048" max="6048" width="13.1796875" style="11" bestFit="1" customWidth="1"/>
    <col min="6049" max="6049" width="20.7265625" style="11" bestFit="1" customWidth="1"/>
    <col min="6050" max="6050" width="20.7265625" style="11" customWidth="1"/>
    <col min="6051" max="6051" width="9.453125" style="11" bestFit="1" customWidth="1"/>
    <col min="6052" max="6053" width="9.26953125" style="11" bestFit="1" customWidth="1"/>
    <col min="6054" max="6054" width="10.26953125" style="11" bestFit="1" customWidth="1"/>
    <col min="6055" max="6064" width="9.26953125" style="11" bestFit="1" customWidth="1"/>
    <col min="6065" max="6065" width="10.26953125" style="11" bestFit="1" customWidth="1"/>
    <col min="6066" max="6069" width="9.26953125" style="11" bestFit="1" customWidth="1"/>
    <col min="6070" max="6070" width="11.26953125" style="11" bestFit="1" customWidth="1"/>
    <col min="6071" max="6083" width="8.7265625" style="11" customWidth="1"/>
    <col min="6084" max="6084" width="11" style="11" bestFit="1" customWidth="1"/>
    <col min="6085" max="6085" width="4.7265625" style="11" customWidth="1"/>
    <col min="6086" max="6086" width="25.26953125" style="11" customWidth="1"/>
    <col min="6087" max="6087" width="23" style="11" customWidth="1"/>
    <col min="6088" max="6088" width="10.26953125" style="11" bestFit="1" customWidth="1"/>
    <col min="6089" max="6089" width="0" style="11" hidden="1" customWidth="1"/>
    <col min="6090" max="6090" width="31.7265625" style="11" customWidth="1"/>
    <col min="6091" max="6091" width="6" style="11" customWidth="1"/>
    <col min="6092" max="6093" width="10.26953125" style="11" bestFit="1" customWidth="1"/>
    <col min="6094" max="6101" width="8.7265625" style="11" customWidth="1"/>
    <col min="6102" max="6102" width="10.26953125" style="11" bestFit="1" customWidth="1"/>
    <col min="6103" max="6184" width="8.7265625" style="11" customWidth="1"/>
    <col min="6185" max="6185" width="9.1796875" style="11"/>
    <col min="6186" max="6186" width="4.7265625" style="11" customWidth="1"/>
    <col min="6187" max="6187" width="3.54296875" style="11" customWidth="1"/>
    <col min="6188" max="6188" width="5.54296875" style="11" customWidth="1"/>
    <col min="6189" max="6189" width="8.7265625" style="11" customWidth="1"/>
    <col min="6190" max="6190" width="7.453125" style="11" customWidth="1"/>
    <col min="6191" max="6191" width="11.81640625" style="11" customWidth="1"/>
    <col min="6192" max="6192" width="8.26953125" style="11" customWidth="1"/>
    <col min="6193" max="6193" width="4.7265625" style="11" customWidth="1"/>
    <col min="6194" max="6194" width="0" style="11" hidden="1" customWidth="1"/>
    <col min="6195" max="6195" width="3.26953125" style="11" customWidth="1"/>
    <col min="6196" max="6196" width="0" style="11" hidden="1" customWidth="1"/>
    <col min="6197" max="6197" width="12" style="11" customWidth="1"/>
    <col min="6198" max="6198" width="12.81640625" style="11" customWidth="1"/>
    <col min="6199" max="6199" width="37.7265625" style="11" customWidth="1"/>
    <col min="6200" max="6201" width="8.453125" style="11" customWidth="1"/>
    <col min="6202" max="6202" width="8.54296875" style="11" customWidth="1"/>
    <col min="6203" max="6203" width="8.26953125" style="11" customWidth="1"/>
    <col min="6204" max="6204" width="12.26953125" style="11" customWidth="1"/>
    <col min="6205" max="6207" width="5.453125" style="11" customWidth="1"/>
    <col min="6208" max="6208" width="6.1796875" style="11" customWidth="1"/>
    <col min="6209" max="6209" width="5.1796875" style="11" customWidth="1"/>
    <col min="6210" max="6210" width="6.26953125" style="11" customWidth="1"/>
    <col min="6211" max="6211" width="6.7265625" style="11" customWidth="1"/>
    <col min="6212" max="6212" width="6.1796875" style="11" customWidth="1"/>
    <col min="6213" max="6213" width="6.54296875" style="11" customWidth="1"/>
    <col min="6214" max="6214" width="6.7265625" style="11" customWidth="1"/>
    <col min="6215" max="6215" width="5.7265625" style="11" customWidth="1"/>
    <col min="6216" max="6216" width="6.1796875" style="11" customWidth="1"/>
    <col min="6217" max="6217" width="6" style="11" customWidth="1"/>
    <col min="6218" max="6218" width="6.26953125" style="11" customWidth="1"/>
    <col min="6219" max="6219" width="6.54296875" style="11" customWidth="1"/>
    <col min="6220" max="6220" width="6.1796875" style="11" customWidth="1"/>
    <col min="6221" max="6221" width="5.26953125" style="11" customWidth="1"/>
    <col min="6222" max="6222" width="6.453125" style="11" customWidth="1"/>
    <col min="6223" max="6224" width="6.1796875" style="11" customWidth="1"/>
    <col min="6225" max="6225" width="6.26953125" style="11" customWidth="1"/>
    <col min="6226" max="6226" width="5.26953125" style="11" customWidth="1"/>
    <col min="6227" max="6227" width="6.81640625" style="11" customWidth="1"/>
    <col min="6228" max="6228" width="6.54296875" style="11" customWidth="1"/>
    <col min="6229" max="6229" width="6" style="11" customWidth="1"/>
    <col min="6230" max="6230" width="7" style="11" customWidth="1"/>
    <col min="6231" max="6231" width="6.26953125" style="11" customWidth="1"/>
    <col min="6232" max="6232" width="6.54296875" style="11" customWidth="1"/>
    <col min="6233" max="6233" width="6.7265625" style="11" customWidth="1"/>
    <col min="6234" max="6234" width="5.26953125" style="11" customWidth="1"/>
    <col min="6235" max="6235" width="6" style="11" customWidth="1"/>
    <col min="6236" max="6236" width="5.7265625" style="11" customWidth="1"/>
    <col min="6237" max="6241" width="12.1796875" style="11" bestFit="1" customWidth="1"/>
    <col min="6242" max="6242" width="9.81640625" style="11" bestFit="1" customWidth="1"/>
    <col min="6243" max="6243" width="11" style="11" bestFit="1" customWidth="1"/>
    <col min="6244" max="6244" width="11.26953125" style="11" bestFit="1" customWidth="1"/>
    <col min="6245" max="6245" width="11" style="11" bestFit="1" customWidth="1"/>
    <col min="6246" max="6247" width="9.81640625" style="11" bestFit="1" customWidth="1"/>
    <col min="6248" max="6248" width="10.26953125" style="11" bestFit="1" customWidth="1"/>
    <col min="6249" max="6249" width="12.1796875" style="11" bestFit="1" customWidth="1"/>
    <col min="6250" max="6250" width="11" style="11" bestFit="1" customWidth="1"/>
    <col min="6251" max="6251" width="12.1796875" style="11" bestFit="1" customWidth="1"/>
    <col min="6252" max="6252" width="13.81640625" style="11" bestFit="1" customWidth="1"/>
    <col min="6253" max="6253" width="9.81640625" style="11" bestFit="1" customWidth="1"/>
    <col min="6254" max="6254" width="13.81640625" style="11" bestFit="1" customWidth="1"/>
    <col min="6255" max="6255" width="10.81640625" style="11" bestFit="1" customWidth="1"/>
    <col min="6256" max="6256" width="12.1796875" style="11" bestFit="1" customWidth="1"/>
    <col min="6257" max="6259" width="11" style="11" bestFit="1" customWidth="1"/>
    <col min="6260" max="6260" width="14.26953125" style="11" customWidth="1"/>
    <col min="6261" max="6264" width="10.81640625" style="11" customWidth="1"/>
    <col min="6265" max="6265" width="9.54296875" style="11" customWidth="1"/>
    <col min="6266" max="6267" width="6.7265625" style="11" customWidth="1"/>
    <col min="6268" max="6274" width="8.7265625" style="11" customWidth="1"/>
    <col min="6275" max="6275" width="9.7265625" style="11" bestFit="1" customWidth="1"/>
    <col min="6276" max="6276" width="38.54296875" style="11" bestFit="1" customWidth="1"/>
    <col min="6277" max="6277" width="8.7265625" style="11" bestFit="1" customWidth="1"/>
    <col min="6278" max="6278" width="11.1796875" style="11" bestFit="1" customWidth="1"/>
    <col min="6279" max="6279" width="7.7265625" style="11" bestFit="1" customWidth="1"/>
    <col min="6280" max="6280" width="9.453125" style="11" bestFit="1" customWidth="1"/>
    <col min="6281" max="6281" width="8.7265625" style="11" bestFit="1" customWidth="1"/>
    <col min="6282" max="6282" width="10.453125" style="11" bestFit="1" customWidth="1"/>
    <col min="6283" max="6283" width="9" style="11" bestFit="1" customWidth="1"/>
    <col min="6284" max="6284" width="9.54296875" style="11" bestFit="1" customWidth="1"/>
    <col min="6285" max="6285" width="10.54296875" style="11" bestFit="1" customWidth="1"/>
    <col min="6286" max="6286" width="8.54296875" style="11" bestFit="1" customWidth="1"/>
    <col min="6287" max="6287" width="10.54296875" style="11" bestFit="1" customWidth="1"/>
    <col min="6288" max="6288" width="11" style="11" bestFit="1" customWidth="1"/>
    <col min="6289" max="6289" width="16.54296875" style="11" bestFit="1" customWidth="1"/>
    <col min="6290" max="6290" width="11" style="11" bestFit="1" customWidth="1"/>
    <col min="6291" max="6291" width="10.26953125" style="11" bestFit="1" customWidth="1"/>
    <col min="6292" max="6292" width="12.453125" style="11" bestFit="1" customWidth="1"/>
    <col min="6293" max="6293" width="10.54296875" style="11" bestFit="1" customWidth="1"/>
    <col min="6294" max="6294" width="9" style="11" bestFit="1" customWidth="1"/>
    <col min="6295" max="6295" width="10.54296875" style="11" bestFit="1" customWidth="1"/>
    <col min="6296" max="6296" width="11.1796875" style="11" bestFit="1" customWidth="1"/>
    <col min="6297" max="6297" width="11.453125" style="11" bestFit="1" customWidth="1"/>
    <col min="6298" max="6298" width="12.7265625" style="11" bestFit="1" customWidth="1"/>
    <col min="6299" max="6299" width="13.453125" style="11" bestFit="1" customWidth="1"/>
    <col min="6300" max="6300" width="11.81640625" style="11" bestFit="1" customWidth="1"/>
    <col min="6301" max="6301" width="10.7265625" style="11" bestFit="1" customWidth="1"/>
    <col min="6302" max="6302" width="8.81640625" style="11" bestFit="1" customWidth="1"/>
    <col min="6303" max="6303" width="10" style="11" bestFit="1" customWidth="1"/>
    <col min="6304" max="6304" width="13.1796875" style="11" bestFit="1" customWidth="1"/>
    <col min="6305" max="6305" width="20.7265625" style="11" bestFit="1" customWidth="1"/>
    <col min="6306" max="6306" width="20.7265625" style="11" customWidth="1"/>
    <col min="6307" max="6307" width="9.453125" style="11" bestFit="1" customWidth="1"/>
    <col min="6308" max="6309" width="9.26953125" style="11" bestFit="1" customWidth="1"/>
    <col min="6310" max="6310" width="10.26953125" style="11" bestFit="1" customWidth="1"/>
    <col min="6311" max="6320" width="9.26953125" style="11" bestFit="1" customWidth="1"/>
    <col min="6321" max="6321" width="10.26953125" style="11" bestFit="1" customWidth="1"/>
    <col min="6322" max="6325" width="9.26953125" style="11" bestFit="1" customWidth="1"/>
    <col min="6326" max="6326" width="11.26953125" style="11" bestFit="1" customWidth="1"/>
    <col min="6327" max="6339" width="8.7265625" style="11" customWidth="1"/>
    <col min="6340" max="6340" width="11" style="11" bestFit="1" customWidth="1"/>
    <col min="6341" max="6341" width="4.7265625" style="11" customWidth="1"/>
    <col min="6342" max="6342" width="25.26953125" style="11" customWidth="1"/>
    <col min="6343" max="6343" width="23" style="11" customWidth="1"/>
    <col min="6344" max="6344" width="10.26953125" style="11" bestFit="1" customWidth="1"/>
    <col min="6345" max="6345" width="0" style="11" hidden="1" customWidth="1"/>
    <col min="6346" max="6346" width="31.7265625" style="11" customWidth="1"/>
    <col min="6347" max="6347" width="6" style="11" customWidth="1"/>
    <col min="6348" max="6349" width="10.26953125" style="11" bestFit="1" customWidth="1"/>
    <col min="6350" max="6357" width="8.7265625" style="11" customWidth="1"/>
    <col min="6358" max="6358" width="10.26953125" style="11" bestFit="1" customWidth="1"/>
    <col min="6359" max="6440" width="8.7265625" style="11" customWidth="1"/>
    <col min="6441" max="6441" width="9.1796875" style="11"/>
    <col min="6442" max="6442" width="4.7265625" style="11" customWidth="1"/>
    <col min="6443" max="6443" width="3.54296875" style="11" customWidth="1"/>
    <col min="6444" max="6444" width="5.54296875" style="11" customWidth="1"/>
    <col min="6445" max="6445" width="8.7265625" style="11" customWidth="1"/>
    <col min="6446" max="6446" width="7.453125" style="11" customWidth="1"/>
    <col min="6447" max="6447" width="11.81640625" style="11" customWidth="1"/>
    <col min="6448" max="6448" width="8.26953125" style="11" customWidth="1"/>
    <col min="6449" max="6449" width="4.7265625" style="11" customWidth="1"/>
    <col min="6450" max="6450" width="0" style="11" hidden="1" customWidth="1"/>
    <col min="6451" max="6451" width="3.26953125" style="11" customWidth="1"/>
    <col min="6452" max="6452" width="0" style="11" hidden="1" customWidth="1"/>
    <col min="6453" max="6453" width="12" style="11" customWidth="1"/>
    <col min="6454" max="6454" width="12.81640625" style="11" customWidth="1"/>
    <col min="6455" max="6455" width="37.7265625" style="11" customWidth="1"/>
    <col min="6456" max="6457" width="8.453125" style="11" customWidth="1"/>
    <col min="6458" max="6458" width="8.54296875" style="11" customWidth="1"/>
    <col min="6459" max="6459" width="8.26953125" style="11" customWidth="1"/>
    <col min="6460" max="6460" width="12.26953125" style="11" customWidth="1"/>
    <col min="6461" max="6463" width="5.453125" style="11" customWidth="1"/>
    <col min="6464" max="6464" width="6.1796875" style="11" customWidth="1"/>
    <col min="6465" max="6465" width="5.1796875" style="11" customWidth="1"/>
    <col min="6466" max="6466" width="6.26953125" style="11" customWidth="1"/>
    <col min="6467" max="6467" width="6.7265625" style="11" customWidth="1"/>
    <col min="6468" max="6468" width="6.1796875" style="11" customWidth="1"/>
    <col min="6469" max="6469" width="6.54296875" style="11" customWidth="1"/>
    <col min="6470" max="6470" width="6.7265625" style="11" customWidth="1"/>
    <col min="6471" max="6471" width="5.7265625" style="11" customWidth="1"/>
    <col min="6472" max="6472" width="6.1796875" style="11" customWidth="1"/>
    <col min="6473" max="6473" width="6" style="11" customWidth="1"/>
    <col min="6474" max="6474" width="6.26953125" style="11" customWidth="1"/>
    <col min="6475" max="6475" width="6.54296875" style="11" customWidth="1"/>
    <col min="6476" max="6476" width="6.1796875" style="11" customWidth="1"/>
    <col min="6477" max="6477" width="5.26953125" style="11" customWidth="1"/>
    <col min="6478" max="6478" width="6.453125" style="11" customWidth="1"/>
    <col min="6479" max="6480" width="6.1796875" style="11" customWidth="1"/>
    <col min="6481" max="6481" width="6.26953125" style="11" customWidth="1"/>
    <col min="6482" max="6482" width="5.26953125" style="11" customWidth="1"/>
    <col min="6483" max="6483" width="6.81640625" style="11" customWidth="1"/>
    <col min="6484" max="6484" width="6.54296875" style="11" customWidth="1"/>
    <col min="6485" max="6485" width="6" style="11" customWidth="1"/>
    <col min="6486" max="6486" width="7" style="11" customWidth="1"/>
    <col min="6487" max="6487" width="6.26953125" style="11" customWidth="1"/>
    <col min="6488" max="6488" width="6.54296875" style="11" customWidth="1"/>
    <col min="6489" max="6489" width="6.7265625" style="11" customWidth="1"/>
    <col min="6490" max="6490" width="5.26953125" style="11" customWidth="1"/>
    <col min="6491" max="6491" width="6" style="11" customWidth="1"/>
    <col min="6492" max="6492" width="5.7265625" style="11" customWidth="1"/>
    <col min="6493" max="6497" width="12.1796875" style="11" bestFit="1" customWidth="1"/>
    <col min="6498" max="6498" width="9.81640625" style="11" bestFit="1" customWidth="1"/>
    <col min="6499" max="6499" width="11" style="11" bestFit="1" customWidth="1"/>
    <col min="6500" max="6500" width="11.26953125" style="11" bestFit="1" customWidth="1"/>
    <col min="6501" max="6501" width="11" style="11" bestFit="1" customWidth="1"/>
    <col min="6502" max="6503" width="9.81640625" style="11" bestFit="1" customWidth="1"/>
    <col min="6504" max="6504" width="10.26953125" style="11" bestFit="1" customWidth="1"/>
    <col min="6505" max="6505" width="12.1796875" style="11" bestFit="1" customWidth="1"/>
    <col min="6506" max="6506" width="11" style="11" bestFit="1" customWidth="1"/>
    <col min="6507" max="6507" width="12.1796875" style="11" bestFit="1" customWidth="1"/>
    <col min="6508" max="6508" width="13.81640625" style="11" bestFit="1" customWidth="1"/>
    <col min="6509" max="6509" width="9.81640625" style="11" bestFit="1" customWidth="1"/>
    <col min="6510" max="6510" width="13.81640625" style="11" bestFit="1" customWidth="1"/>
    <col min="6511" max="6511" width="10.81640625" style="11" bestFit="1" customWidth="1"/>
    <col min="6512" max="6512" width="12.1796875" style="11" bestFit="1" customWidth="1"/>
    <col min="6513" max="6515" width="11" style="11" bestFit="1" customWidth="1"/>
    <col min="6516" max="6516" width="14.26953125" style="11" customWidth="1"/>
    <col min="6517" max="6520" width="10.81640625" style="11" customWidth="1"/>
    <col min="6521" max="6521" width="9.54296875" style="11" customWidth="1"/>
    <col min="6522" max="6523" width="6.7265625" style="11" customWidth="1"/>
    <col min="6524" max="6530" width="8.7265625" style="11" customWidth="1"/>
    <col min="6531" max="6531" width="9.7265625" style="11" bestFit="1" customWidth="1"/>
    <col min="6532" max="6532" width="38.54296875" style="11" bestFit="1" customWidth="1"/>
    <col min="6533" max="6533" width="8.7265625" style="11" bestFit="1" customWidth="1"/>
    <col min="6534" max="6534" width="11.1796875" style="11" bestFit="1" customWidth="1"/>
    <col min="6535" max="6535" width="7.7265625" style="11" bestFit="1" customWidth="1"/>
    <col min="6536" max="6536" width="9.453125" style="11" bestFit="1" customWidth="1"/>
    <col min="6537" max="6537" width="8.7265625" style="11" bestFit="1" customWidth="1"/>
    <col min="6538" max="6538" width="10.453125" style="11" bestFit="1" customWidth="1"/>
    <col min="6539" max="6539" width="9" style="11" bestFit="1" customWidth="1"/>
    <col min="6540" max="6540" width="9.54296875" style="11" bestFit="1" customWidth="1"/>
    <col min="6541" max="6541" width="10.54296875" style="11" bestFit="1" customWidth="1"/>
    <col min="6542" max="6542" width="8.54296875" style="11" bestFit="1" customWidth="1"/>
    <col min="6543" max="6543" width="10.54296875" style="11" bestFit="1" customWidth="1"/>
    <col min="6544" max="6544" width="11" style="11" bestFit="1" customWidth="1"/>
    <col min="6545" max="6545" width="16.54296875" style="11" bestFit="1" customWidth="1"/>
    <col min="6546" max="6546" width="11" style="11" bestFit="1" customWidth="1"/>
    <col min="6547" max="6547" width="10.26953125" style="11" bestFit="1" customWidth="1"/>
    <col min="6548" max="6548" width="12.453125" style="11" bestFit="1" customWidth="1"/>
    <col min="6549" max="6549" width="10.54296875" style="11" bestFit="1" customWidth="1"/>
    <col min="6550" max="6550" width="9" style="11" bestFit="1" customWidth="1"/>
    <col min="6551" max="6551" width="10.54296875" style="11" bestFit="1" customWidth="1"/>
    <col min="6552" max="6552" width="11.1796875" style="11" bestFit="1" customWidth="1"/>
    <col min="6553" max="6553" width="11.453125" style="11" bestFit="1" customWidth="1"/>
    <col min="6554" max="6554" width="12.7265625" style="11" bestFit="1" customWidth="1"/>
    <col min="6555" max="6555" width="13.453125" style="11" bestFit="1" customWidth="1"/>
    <col min="6556" max="6556" width="11.81640625" style="11" bestFit="1" customWidth="1"/>
    <col min="6557" max="6557" width="10.7265625" style="11" bestFit="1" customWidth="1"/>
    <col min="6558" max="6558" width="8.81640625" style="11" bestFit="1" customWidth="1"/>
    <col min="6559" max="6559" width="10" style="11" bestFit="1" customWidth="1"/>
    <col min="6560" max="6560" width="13.1796875" style="11" bestFit="1" customWidth="1"/>
    <col min="6561" max="6561" width="20.7265625" style="11" bestFit="1" customWidth="1"/>
    <col min="6562" max="6562" width="20.7265625" style="11" customWidth="1"/>
    <col min="6563" max="6563" width="9.453125" style="11" bestFit="1" customWidth="1"/>
    <col min="6564" max="6565" width="9.26953125" style="11" bestFit="1" customWidth="1"/>
    <col min="6566" max="6566" width="10.26953125" style="11" bestFit="1" customWidth="1"/>
    <col min="6567" max="6576" width="9.26953125" style="11" bestFit="1" customWidth="1"/>
    <col min="6577" max="6577" width="10.26953125" style="11" bestFit="1" customWidth="1"/>
    <col min="6578" max="6581" width="9.26953125" style="11" bestFit="1" customWidth="1"/>
    <col min="6582" max="6582" width="11.26953125" style="11" bestFit="1" customWidth="1"/>
    <col min="6583" max="6595" width="8.7265625" style="11" customWidth="1"/>
    <col min="6596" max="6596" width="11" style="11" bestFit="1" customWidth="1"/>
    <col min="6597" max="6597" width="4.7265625" style="11" customWidth="1"/>
    <col min="6598" max="6598" width="25.26953125" style="11" customWidth="1"/>
    <col min="6599" max="6599" width="23" style="11" customWidth="1"/>
    <col min="6600" max="6600" width="10.26953125" style="11" bestFit="1" customWidth="1"/>
    <col min="6601" max="6601" width="0" style="11" hidden="1" customWidth="1"/>
    <col min="6602" max="6602" width="31.7265625" style="11" customWidth="1"/>
    <col min="6603" max="6603" width="6" style="11" customWidth="1"/>
    <col min="6604" max="6605" width="10.26953125" style="11" bestFit="1" customWidth="1"/>
    <col min="6606" max="6613" width="8.7265625" style="11" customWidth="1"/>
    <col min="6614" max="6614" width="10.26953125" style="11" bestFit="1" customWidth="1"/>
    <col min="6615" max="6696" width="8.7265625" style="11" customWidth="1"/>
    <col min="6697" max="6697" width="9.1796875" style="11"/>
    <col min="6698" max="6698" width="4.7265625" style="11" customWidth="1"/>
    <col min="6699" max="6699" width="3.54296875" style="11" customWidth="1"/>
    <col min="6700" max="6700" width="5.54296875" style="11" customWidth="1"/>
    <col min="6701" max="6701" width="8.7265625" style="11" customWidth="1"/>
    <col min="6702" max="6702" width="7.453125" style="11" customWidth="1"/>
    <col min="6703" max="6703" width="11.81640625" style="11" customWidth="1"/>
    <col min="6704" max="6704" width="8.26953125" style="11" customWidth="1"/>
    <col min="6705" max="6705" width="4.7265625" style="11" customWidth="1"/>
    <col min="6706" max="6706" width="0" style="11" hidden="1" customWidth="1"/>
    <col min="6707" max="6707" width="3.26953125" style="11" customWidth="1"/>
    <col min="6708" max="6708" width="0" style="11" hidden="1" customWidth="1"/>
    <col min="6709" max="6709" width="12" style="11" customWidth="1"/>
    <col min="6710" max="6710" width="12.81640625" style="11" customWidth="1"/>
    <col min="6711" max="6711" width="37.7265625" style="11" customWidth="1"/>
    <col min="6712" max="6713" width="8.453125" style="11" customWidth="1"/>
    <col min="6714" max="6714" width="8.54296875" style="11" customWidth="1"/>
    <col min="6715" max="6715" width="8.26953125" style="11" customWidth="1"/>
    <col min="6716" max="6716" width="12.26953125" style="11" customWidth="1"/>
    <col min="6717" max="6719" width="5.453125" style="11" customWidth="1"/>
    <col min="6720" max="6720" width="6.1796875" style="11" customWidth="1"/>
    <col min="6721" max="6721" width="5.1796875" style="11" customWidth="1"/>
    <col min="6722" max="6722" width="6.26953125" style="11" customWidth="1"/>
    <col min="6723" max="6723" width="6.7265625" style="11" customWidth="1"/>
    <col min="6724" max="6724" width="6.1796875" style="11" customWidth="1"/>
    <col min="6725" max="6725" width="6.54296875" style="11" customWidth="1"/>
    <col min="6726" max="6726" width="6.7265625" style="11" customWidth="1"/>
    <col min="6727" max="6727" width="5.7265625" style="11" customWidth="1"/>
    <col min="6728" max="6728" width="6.1796875" style="11" customWidth="1"/>
    <col min="6729" max="6729" width="6" style="11" customWidth="1"/>
    <col min="6730" max="6730" width="6.26953125" style="11" customWidth="1"/>
    <col min="6731" max="6731" width="6.54296875" style="11" customWidth="1"/>
    <col min="6732" max="6732" width="6.1796875" style="11" customWidth="1"/>
    <col min="6733" max="6733" width="5.26953125" style="11" customWidth="1"/>
    <col min="6734" max="6734" width="6.453125" style="11" customWidth="1"/>
    <col min="6735" max="6736" width="6.1796875" style="11" customWidth="1"/>
    <col min="6737" max="6737" width="6.26953125" style="11" customWidth="1"/>
    <col min="6738" max="6738" width="5.26953125" style="11" customWidth="1"/>
    <col min="6739" max="6739" width="6.81640625" style="11" customWidth="1"/>
    <col min="6740" max="6740" width="6.54296875" style="11" customWidth="1"/>
    <col min="6741" max="6741" width="6" style="11" customWidth="1"/>
    <col min="6742" max="6742" width="7" style="11" customWidth="1"/>
    <col min="6743" max="6743" width="6.26953125" style="11" customWidth="1"/>
    <col min="6744" max="6744" width="6.54296875" style="11" customWidth="1"/>
    <col min="6745" max="6745" width="6.7265625" style="11" customWidth="1"/>
    <col min="6746" max="6746" width="5.26953125" style="11" customWidth="1"/>
    <col min="6747" max="6747" width="6" style="11" customWidth="1"/>
    <col min="6748" max="6748" width="5.7265625" style="11" customWidth="1"/>
    <col min="6749" max="6753" width="12.1796875" style="11" bestFit="1" customWidth="1"/>
    <col min="6754" max="6754" width="9.81640625" style="11" bestFit="1" customWidth="1"/>
    <col min="6755" max="6755" width="11" style="11" bestFit="1" customWidth="1"/>
    <col min="6756" max="6756" width="11.26953125" style="11" bestFit="1" customWidth="1"/>
    <col min="6757" max="6757" width="11" style="11" bestFit="1" customWidth="1"/>
    <col min="6758" max="6759" width="9.81640625" style="11" bestFit="1" customWidth="1"/>
    <col min="6760" max="6760" width="10.26953125" style="11" bestFit="1" customWidth="1"/>
    <col min="6761" max="6761" width="12.1796875" style="11" bestFit="1" customWidth="1"/>
    <col min="6762" max="6762" width="11" style="11" bestFit="1" customWidth="1"/>
    <col min="6763" max="6763" width="12.1796875" style="11" bestFit="1" customWidth="1"/>
    <col min="6764" max="6764" width="13.81640625" style="11" bestFit="1" customWidth="1"/>
    <col min="6765" max="6765" width="9.81640625" style="11" bestFit="1" customWidth="1"/>
    <col min="6766" max="6766" width="13.81640625" style="11" bestFit="1" customWidth="1"/>
    <col min="6767" max="6767" width="10.81640625" style="11" bestFit="1" customWidth="1"/>
    <col min="6768" max="6768" width="12.1796875" style="11" bestFit="1" customWidth="1"/>
    <col min="6769" max="6771" width="11" style="11" bestFit="1" customWidth="1"/>
    <col min="6772" max="6772" width="14.26953125" style="11" customWidth="1"/>
    <col min="6773" max="6776" width="10.81640625" style="11" customWidth="1"/>
    <col min="6777" max="6777" width="9.54296875" style="11" customWidth="1"/>
    <col min="6778" max="6779" width="6.7265625" style="11" customWidth="1"/>
    <col min="6780" max="6786" width="8.7265625" style="11" customWidth="1"/>
    <col min="6787" max="6787" width="9.7265625" style="11" bestFit="1" customWidth="1"/>
    <col min="6788" max="6788" width="38.54296875" style="11" bestFit="1" customWidth="1"/>
    <col min="6789" max="6789" width="8.7265625" style="11" bestFit="1" customWidth="1"/>
    <col min="6790" max="6790" width="11.1796875" style="11" bestFit="1" customWidth="1"/>
    <col min="6791" max="6791" width="7.7265625" style="11" bestFit="1" customWidth="1"/>
    <col min="6792" max="6792" width="9.453125" style="11" bestFit="1" customWidth="1"/>
    <col min="6793" max="6793" width="8.7265625" style="11" bestFit="1" customWidth="1"/>
    <col min="6794" max="6794" width="10.453125" style="11" bestFit="1" customWidth="1"/>
    <col min="6795" max="6795" width="9" style="11" bestFit="1" customWidth="1"/>
    <col min="6796" max="6796" width="9.54296875" style="11" bestFit="1" customWidth="1"/>
    <col min="6797" max="6797" width="10.54296875" style="11" bestFit="1" customWidth="1"/>
    <col min="6798" max="6798" width="8.54296875" style="11" bestFit="1" customWidth="1"/>
    <col min="6799" max="6799" width="10.54296875" style="11" bestFit="1" customWidth="1"/>
    <col min="6800" max="6800" width="11" style="11" bestFit="1" customWidth="1"/>
    <col min="6801" max="6801" width="16.54296875" style="11" bestFit="1" customWidth="1"/>
    <col min="6802" max="6802" width="11" style="11" bestFit="1" customWidth="1"/>
    <col min="6803" max="6803" width="10.26953125" style="11" bestFit="1" customWidth="1"/>
    <col min="6804" max="6804" width="12.453125" style="11" bestFit="1" customWidth="1"/>
    <col min="6805" max="6805" width="10.54296875" style="11" bestFit="1" customWidth="1"/>
    <col min="6806" max="6806" width="9" style="11" bestFit="1" customWidth="1"/>
    <col min="6807" max="6807" width="10.54296875" style="11" bestFit="1" customWidth="1"/>
    <col min="6808" max="6808" width="11.1796875" style="11" bestFit="1" customWidth="1"/>
    <col min="6809" max="6809" width="11.453125" style="11" bestFit="1" customWidth="1"/>
    <col min="6810" max="6810" width="12.7265625" style="11" bestFit="1" customWidth="1"/>
    <col min="6811" max="6811" width="13.453125" style="11" bestFit="1" customWidth="1"/>
    <col min="6812" max="6812" width="11.81640625" style="11" bestFit="1" customWidth="1"/>
    <col min="6813" max="6813" width="10.7265625" style="11" bestFit="1" customWidth="1"/>
    <col min="6814" max="6814" width="8.81640625" style="11" bestFit="1" customWidth="1"/>
    <col min="6815" max="6815" width="10" style="11" bestFit="1" customWidth="1"/>
    <col min="6816" max="6816" width="13.1796875" style="11" bestFit="1" customWidth="1"/>
    <col min="6817" max="6817" width="20.7265625" style="11" bestFit="1" customWidth="1"/>
    <col min="6818" max="6818" width="20.7265625" style="11" customWidth="1"/>
    <col min="6819" max="6819" width="9.453125" style="11" bestFit="1" customWidth="1"/>
    <col min="6820" max="6821" width="9.26953125" style="11" bestFit="1" customWidth="1"/>
    <col min="6822" max="6822" width="10.26953125" style="11" bestFit="1" customWidth="1"/>
    <col min="6823" max="6832" width="9.26953125" style="11" bestFit="1" customWidth="1"/>
    <col min="6833" max="6833" width="10.26953125" style="11" bestFit="1" customWidth="1"/>
    <col min="6834" max="6837" width="9.26953125" style="11" bestFit="1" customWidth="1"/>
    <col min="6838" max="6838" width="11.26953125" style="11" bestFit="1" customWidth="1"/>
    <col min="6839" max="6851" width="8.7265625" style="11" customWidth="1"/>
    <col min="6852" max="6852" width="11" style="11" bestFit="1" customWidth="1"/>
    <col min="6853" max="6853" width="4.7265625" style="11" customWidth="1"/>
    <col min="6854" max="6854" width="25.26953125" style="11" customWidth="1"/>
    <col min="6855" max="6855" width="23" style="11" customWidth="1"/>
    <col min="6856" max="6856" width="10.26953125" style="11" bestFit="1" customWidth="1"/>
    <col min="6857" max="6857" width="0" style="11" hidden="1" customWidth="1"/>
    <col min="6858" max="6858" width="31.7265625" style="11" customWidth="1"/>
    <col min="6859" max="6859" width="6" style="11" customWidth="1"/>
    <col min="6860" max="6861" width="10.26953125" style="11" bestFit="1" customWidth="1"/>
    <col min="6862" max="6869" width="8.7265625" style="11" customWidth="1"/>
    <col min="6870" max="6870" width="10.26953125" style="11" bestFit="1" customWidth="1"/>
    <col min="6871" max="6952" width="8.7265625" style="11" customWidth="1"/>
    <col min="6953" max="6953" width="9.1796875" style="11"/>
    <col min="6954" max="6954" width="4.7265625" style="11" customWidth="1"/>
    <col min="6955" max="6955" width="3.54296875" style="11" customWidth="1"/>
    <col min="6956" max="6956" width="5.54296875" style="11" customWidth="1"/>
    <col min="6957" max="6957" width="8.7265625" style="11" customWidth="1"/>
    <col min="6958" max="6958" width="7.453125" style="11" customWidth="1"/>
    <col min="6959" max="6959" width="11.81640625" style="11" customWidth="1"/>
    <col min="6960" max="6960" width="8.26953125" style="11" customWidth="1"/>
    <col min="6961" max="6961" width="4.7265625" style="11" customWidth="1"/>
    <col min="6962" max="6962" width="0" style="11" hidden="1" customWidth="1"/>
    <col min="6963" max="6963" width="3.26953125" style="11" customWidth="1"/>
    <col min="6964" max="6964" width="0" style="11" hidden="1" customWidth="1"/>
    <col min="6965" max="6965" width="12" style="11" customWidth="1"/>
    <col min="6966" max="6966" width="12.81640625" style="11" customWidth="1"/>
    <col min="6967" max="6967" width="37.7265625" style="11" customWidth="1"/>
    <col min="6968" max="6969" width="8.453125" style="11" customWidth="1"/>
    <col min="6970" max="6970" width="8.54296875" style="11" customWidth="1"/>
    <col min="6971" max="6971" width="8.26953125" style="11" customWidth="1"/>
    <col min="6972" max="6972" width="12.26953125" style="11" customWidth="1"/>
    <col min="6973" max="6975" width="5.453125" style="11" customWidth="1"/>
    <col min="6976" max="6976" width="6.1796875" style="11" customWidth="1"/>
    <col min="6977" max="6977" width="5.1796875" style="11" customWidth="1"/>
    <col min="6978" max="6978" width="6.26953125" style="11" customWidth="1"/>
    <col min="6979" max="6979" width="6.7265625" style="11" customWidth="1"/>
    <col min="6980" max="6980" width="6.1796875" style="11" customWidth="1"/>
    <col min="6981" max="6981" width="6.54296875" style="11" customWidth="1"/>
    <col min="6982" max="6982" width="6.7265625" style="11" customWidth="1"/>
    <col min="6983" max="6983" width="5.7265625" style="11" customWidth="1"/>
    <col min="6984" max="6984" width="6.1796875" style="11" customWidth="1"/>
    <col min="6985" max="6985" width="6" style="11" customWidth="1"/>
    <col min="6986" max="6986" width="6.26953125" style="11" customWidth="1"/>
    <col min="6987" max="6987" width="6.54296875" style="11" customWidth="1"/>
    <col min="6988" max="6988" width="6.1796875" style="11" customWidth="1"/>
    <col min="6989" max="6989" width="5.26953125" style="11" customWidth="1"/>
    <col min="6990" max="6990" width="6.453125" style="11" customWidth="1"/>
    <col min="6991" max="6992" width="6.1796875" style="11" customWidth="1"/>
    <col min="6993" max="6993" width="6.26953125" style="11" customWidth="1"/>
    <col min="6994" max="6994" width="5.26953125" style="11" customWidth="1"/>
    <col min="6995" max="6995" width="6.81640625" style="11" customWidth="1"/>
    <col min="6996" max="6996" width="6.54296875" style="11" customWidth="1"/>
    <col min="6997" max="6997" width="6" style="11" customWidth="1"/>
    <col min="6998" max="6998" width="7" style="11" customWidth="1"/>
    <col min="6999" max="6999" width="6.26953125" style="11" customWidth="1"/>
    <col min="7000" max="7000" width="6.54296875" style="11" customWidth="1"/>
    <col min="7001" max="7001" width="6.7265625" style="11" customWidth="1"/>
    <col min="7002" max="7002" width="5.26953125" style="11" customWidth="1"/>
    <col min="7003" max="7003" width="6" style="11" customWidth="1"/>
    <col min="7004" max="7004" width="5.7265625" style="11" customWidth="1"/>
    <col min="7005" max="7009" width="12.1796875" style="11" bestFit="1" customWidth="1"/>
    <col min="7010" max="7010" width="9.81640625" style="11" bestFit="1" customWidth="1"/>
    <col min="7011" max="7011" width="11" style="11" bestFit="1" customWidth="1"/>
    <col min="7012" max="7012" width="11.26953125" style="11" bestFit="1" customWidth="1"/>
    <col min="7013" max="7013" width="11" style="11" bestFit="1" customWidth="1"/>
    <col min="7014" max="7015" width="9.81640625" style="11" bestFit="1" customWidth="1"/>
    <col min="7016" max="7016" width="10.26953125" style="11" bestFit="1" customWidth="1"/>
    <col min="7017" max="7017" width="12.1796875" style="11" bestFit="1" customWidth="1"/>
    <col min="7018" max="7018" width="11" style="11" bestFit="1" customWidth="1"/>
    <col min="7019" max="7019" width="12.1796875" style="11" bestFit="1" customWidth="1"/>
    <col min="7020" max="7020" width="13.81640625" style="11" bestFit="1" customWidth="1"/>
    <col min="7021" max="7021" width="9.81640625" style="11" bestFit="1" customWidth="1"/>
    <col min="7022" max="7022" width="13.81640625" style="11" bestFit="1" customWidth="1"/>
    <col min="7023" max="7023" width="10.81640625" style="11" bestFit="1" customWidth="1"/>
    <col min="7024" max="7024" width="12.1796875" style="11" bestFit="1" customWidth="1"/>
    <col min="7025" max="7027" width="11" style="11" bestFit="1" customWidth="1"/>
    <col min="7028" max="7028" width="14.26953125" style="11" customWidth="1"/>
    <col min="7029" max="7032" width="10.81640625" style="11" customWidth="1"/>
    <col min="7033" max="7033" width="9.54296875" style="11" customWidth="1"/>
    <col min="7034" max="7035" width="6.7265625" style="11" customWidth="1"/>
    <col min="7036" max="7042" width="8.7265625" style="11" customWidth="1"/>
    <col min="7043" max="7043" width="9.7265625" style="11" bestFit="1" customWidth="1"/>
    <col min="7044" max="7044" width="38.54296875" style="11" bestFit="1" customWidth="1"/>
    <col min="7045" max="7045" width="8.7265625" style="11" bestFit="1" customWidth="1"/>
    <col min="7046" max="7046" width="11.1796875" style="11" bestFit="1" customWidth="1"/>
    <col min="7047" max="7047" width="7.7265625" style="11" bestFit="1" customWidth="1"/>
    <col min="7048" max="7048" width="9.453125" style="11" bestFit="1" customWidth="1"/>
    <col min="7049" max="7049" width="8.7265625" style="11" bestFit="1" customWidth="1"/>
    <col min="7050" max="7050" width="10.453125" style="11" bestFit="1" customWidth="1"/>
    <col min="7051" max="7051" width="9" style="11" bestFit="1" customWidth="1"/>
    <col min="7052" max="7052" width="9.54296875" style="11" bestFit="1" customWidth="1"/>
    <col min="7053" max="7053" width="10.54296875" style="11" bestFit="1" customWidth="1"/>
    <col min="7054" max="7054" width="8.54296875" style="11" bestFit="1" customWidth="1"/>
    <col min="7055" max="7055" width="10.54296875" style="11" bestFit="1" customWidth="1"/>
    <col min="7056" max="7056" width="11" style="11" bestFit="1" customWidth="1"/>
    <col min="7057" max="7057" width="16.54296875" style="11" bestFit="1" customWidth="1"/>
    <col min="7058" max="7058" width="11" style="11" bestFit="1" customWidth="1"/>
    <col min="7059" max="7059" width="10.26953125" style="11" bestFit="1" customWidth="1"/>
    <col min="7060" max="7060" width="12.453125" style="11" bestFit="1" customWidth="1"/>
    <col min="7061" max="7061" width="10.54296875" style="11" bestFit="1" customWidth="1"/>
    <col min="7062" max="7062" width="9" style="11" bestFit="1" customWidth="1"/>
    <col min="7063" max="7063" width="10.54296875" style="11" bestFit="1" customWidth="1"/>
    <col min="7064" max="7064" width="11.1796875" style="11" bestFit="1" customWidth="1"/>
    <col min="7065" max="7065" width="11.453125" style="11" bestFit="1" customWidth="1"/>
    <col min="7066" max="7066" width="12.7265625" style="11" bestFit="1" customWidth="1"/>
    <col min="7067" max="7067" width="13.453125" style="11" bestFit="1" customWidth="1"/>
    <col min="7068" max="7068" width="11.81640625" style="11" bestFit="1" customWidth="1"/>
    <col min="7069" max="7069" width="10.7265625" style="11" bestFit="1" customWidth="1"/>
    <col min="7070" max="7070" width="8.81640625" style="11" bestFit="1" customWidth="1"/>
    <col min="7071" max="7071" width="10" style="11" bestFit="1" customWidth="1"/>
    <col min="7072" max="7072" width="13.1796875" style="11" bestFit="1" customWidth="1"/>
    <col min="7073" max="7073" width="20.7265625" style="11" bestFit="1" customWidth="1"/>
    <col min="7074" max="7074" width="20.7265625" style="11" customWidth="1"/>
    <col min="7075" max="7075" width="9.453125" style="11" bestFit="1" customWidth="1"/>
    <col min="7076" max="7077" width="9.26953125" style="11" bestFit="1" customWidth="1"/>
    <col min="7078" max="7078" width="10.26953125" style="11" bestFit="1" customWidth="1"/>
    <col min="7079" max="7088" width="9.26953125" style="11" bestFit="1" customWidth="1"/>
    <col min="7089" max="7089" width="10.26953125" style="11" bestFit="1" customWidth="1"/>
    <col min="7090" max="7093" width="9.26953125" style="11" bestFit="1" customWidth="1"/>
    <col min="7094" max="7094" width="11.26953125" style="11" bestFit="1" customWidth="1"/>
    <col min="7095" max="7107" width="8.7265625" style="11" customWidth="1"/>
    <col min="7108" max="7108" width="11" style="11" bestFit="1" customWidth="1"/>
    <col min="7109" max="7109" width="4.7265625" style="11" customWidth="1"/>
    <col min="7110" max="7110" width="25.26953125" style="11" customWidth="1"/>
    <col min="7111" max="7111" width="23" style="11" customWidth="1"/>
    <col min="7112" max="7112" width="10.26953125" style="11" bestFit="1" customWidth="1"/>
    <col min="7113" max="7113" width="0" style="11" hidden="1" customWidth="1"/>
    <col min="7114" max="7114" width="31.7265625" style="11" customWidth="1"/>
    <col min="7115" max="7115" width="6" style="11" customWidth="1"/>
    <col min="7116" max="7117" width="10.26953125" style="11" bestFit="1" customWidth="1"/>
    <col min="7118" max="7125" width="8.7265625" style="11" customWidth="1"/>
    <col min="7126" max="7126" width="10.26953125" style="11" bestFit="1" customWidth="1"/>
    <col min="7127" max="7208" width="8.7265625" style="11" customWidth="1"/>
    <col min="7209" max="7209" width="9.1796875" style="11"/>
    <col min="7210" max="7210" width="4.7265625" style="11" customWidth="1"/>
    <col min="7211" max="7211" width="3.54296875" style="11" customWidth="1"/>
    <col min="7212" max="7212" width="5.54296875" style="11" customWidth="1"/>
    <col min="7213" max="7213" width="8.7265625" style="11" customWidth="1"/>
    <col min="7214" max="7214" width="7.453125" style="11" customWidth="1"/>
    <col min="7215" max="7215" width="11.81640625" style="11" customWidth="1"/>
    <col min="7216" max="7216" width="8.26953125" style="11" customWidth="1"/>
    <col min="7217" max="7217" width="4.7265625" style="11" customWidth="1"/>
    <col min="7218" max="7218" width="0" style="11" hidden="1" customWidth="1"/>
    <col min="7219" max="7219" width="3.26953125" style="11" customWidth="1"/>
    <col min="7220" max="7220" width="0" style="11" hidden="1" customWidth="1"/>
    <col min="7221" max="7221" width="12" style="11" customWidth="1"/>
    <col min="7222" max="7222" width="12.81640625" style="11" customWidth="1"/>
    <col min="7223" max="7223" width="37.7265625" style="11" customWidth="1"/>
    <col min="7224" max="7225" width="8.453125" style="11" customWidth="1"/>
    <col min="7226" max="7226" width="8.54296875" style="11" customWidth="1"/>
    <col min="7227" max="7227" width="8.26953125" style="11" customWidth="1"/>
    <col min="7228" max="7228" width="12.26953125" style="11" customWidth="1"/>
    <col min="7229" max="7231" width="5.453125" style="11" customWidth="1"/>
    <col min="7232" max="7232" width="6.1796875" style="11" customWidth="1"/>
    <col min="7233" max="7233" width="5.1796875" style="11" customWidth="1"/>
    <col min="7234" max="7234" width="6.26953125" style="11" customWidth="1"/>
    <col min="7235" max="7235" width="6.7265625" style="11" customWidth="1"/>
    <col min="7236" max="7236" width="6.1796875" style="11" customWidth="1"/>
    <col min="7237" max="7237" width="6.54296875" style="11" customWidth="1"/>
    <col min="7238" max="7238" width="6.7265625" style="11" customWidth="1"/>
    <col min="7239" max="7239" width="5.7265625" style="11" customWidth="1"/>
    <col min="7240" max="7240" width="6.1796875" style="11" customWidth="1"/>
    <col min="7241" max="7241" width="6" style="11" customWidth="1"/>
    <col min="7242" max="7242" width="6.26953125" style="11" customWidth="1"/>
    <col min="7243" max="7243" width="6.54296875" style="11" customWidth="1"/>
    <col min="7244" max="7244" width="6.1796875" style="11" customWidth="1"/>
    <col min="7245" max="7245" width="5.26953125" style="11" customWidth="1"/>
    <col min="7246" max="7246" width="6.453125" style="11" customWidth="1"/>
    <col min="7247" max="7248" width="6.1796875" style="11" customWidth="1"/>
    <col min="7249" max="7249" width="6.26953125" style="11" customWidth="1"/>
    <col min="7250" max="7250" width="5.26953125" style="11" customWidth="1"/>
    <col min="7251" max="7251" width="6.81640625" style="11" customWidth="1"/>
    <col min="7252" max="7252" width="6.54296875" style="11" customWidth="1"/>
    <col min="7253" max="7253" width="6" style="11" customWidth="1"/>
    <col min="7254" max="7254" width="7" style="11" customWidth="1"/>
    <col min="7255" max="7255" width="6.26953125" style="11" customWidth="1"/>
    <col min="7256" max="7256" width="6.54296875" style="11" customWidth="1"/>
    <col min="7257" max="7257" width="6.7265625" style="11" customWidth="1"/>
    <col min="7258" max="7258" width="5.26953125" style="11" customWidth="1"/>
    <col min="7259" max="7259" width="6" style="11" customWidth="1"/>
    <col min="7260" max="7260" width="5.7265625" style="11" customWidth="1"/>
    <col min="7261" max="7265" width="12.1796875" style="11" bestFit="1" customWidth="1"/>
    <col min="7266" max="7266" width="9.81640625" style="11" bestFit="1" customWidth="1"/>
    <col min="7267" max="7267" width="11" style="11" bestFit="1" customWidth="1"/>
    <col min="7268" max="7268" width="11.26953125" style="11" bestFit="1" customWidth="1"/>
    <col min="7269" max="7269" width="11" style="11" bestFit="1" customWidth="1"/>
    <col min="7270" max="7271" width="9.81640625" style="11" bestFit="1" customWidth="1"/>
    <col min="7272" max="7272" width="10.26953125" style="11" bestFit="1" customWidth="1"/>
    <col min="7273" max="7273" width="12.1796875" style="11" bestFit="1" customWidth="1"/>
    <col min="7274" max="7274" width="11" style="11" bestFit="1" customWidth="1"/>
    <col min="7275" max="7275" width="12.1796875" style="11" bestFit="1" customWidth="1"/>
    <col min="7276" max="7276" width="13.81640625" style="11" bestFit="1" customWidth="1"/>
    <col min="7277" max="7277" width="9.81640625" style="11" bestFit="1" customWidth="1"/>
    <col min="7278" max="7278" width="13.81640625" style="11" bestFit="1" customWidth="1"/>
    <col min="7279" max="7279" width="10.81640625" style="11" bestFit="1" customWidth="1"/>
    <col min="7280" max="7280" width="12.1796875" style="11" bestFit="1" customWidth="1"/>
    <col min="7281" max="7283" width="11" style="11" bestFit="1" customWidth="1"/>
    <col min="7284" max="7284" width="14.26953125" style="11" customWidth="1"/>
    <col min="7285" max="7288" width="10.81640625" style="11" customWidth="1"/>
    <col min="7289" max="7289" width="9.54296875" style="11" customWidth="1"/>
    <col min="7290" max="7291" width="6.7265625" style="11" customWidth="1"/>
    <col min="7292" max="7298" width="8.7265625" style="11" customWidth="1"/>
    <col min="7299" max="7299" width="9.7265625" style="11" bestFit="1" customWidth="1"/>
    <col min="7300" max="7300" width="38.54296875" style="11" bestFit="1" customWidth="1"/>
    <col min="7301" max="7301" width="8.7265625" style="11" bestFit="1" customWidth="1"/>
    <col min="7302" max="7302" width="11.1796875" style="11" bestFit="1" customWidth="1"/>
    <col min="7303" max="7303" width="7.7265625" style="11" bestFit="1" customWidth="1"/>
    <col min="7304" max="7304" width="9.453125" style="11" bestFit="1" customWidth="1"/>
    <col min="7305" max="7305" width="8.7265625" style="11" bestFit="1" customWidth="1"/>
    <col min="7306" max="7306" width="10.453125" style="11" bestFit="1" customWidth="1"/>
    <col min="7307" max="7307" width="9" style="11" bestFit="1" customWidth="1"/>
    <col min="7308" max="7308" width="9.54296875" style="11" bestFit="1" customWidth="1"/>
    <col min="7309" max="7309" width="10.54296875" style="11" bestFit="1" customWidth="1"/>
    <col min="7310" max="7310" width="8.54296875" style="11" bestFit="1" customWidth="1"/>
    <col min="7311" max="7311" width="10.54296875" style="11" bestFit="1" customWidth="1"/>
    <col min="7312" max="7312" width="11" style="11" bestFit="1" customWidth="1"/>
    <col min="7313" max="7313" width="16.54296875" style="11" bestFit="1" customWidth="1"/>
    <col min="7314" max="7314" width="11" style="11" bestFit="1" customWidth="1"/>
    <col min="7315" max="7315" width="10.26953125" style="11" bestFit="1" customWidth="1"/>
    <col min="7316" max="7316" width="12.453125" style="11" bestFit="1" customWidth="1"/>
    <col min="7317" max="7317" width="10.54296875" style="11" bestFit="1" customWidth="1"/>
    <col min="7318" max="7318" width="9" style="11" bestFit="1" customWidth="1"/>
    <col min="7319" max="7319" width="10.54296875" style="11" bestFit="1" customWidth="1"/>
    <col min="7320" max="7320" width="11.1796875" style="11" bestFit="1" customWidth="1"/>
    <col min="7321" max="7321" width="11.453125" style="11" bestFit="1" customWidth="1"/>
    <col min="7322" max="7322" width="12.7265625" style="11" bestFit="1" customWidth="1"/>
    <col min="7323" max="7323" width="13.453125" style="11" bestFit="1" customWidth="1"/>
    <col min="7324" max="7324" width="11.81640625" style="11" bestFit="1" customWidth="1"/>
    <col min="7325" max="7325" width="10.7265625" style="11" bestFit="1" customWidth="1"/>
    <col min="7326" max="7326" width="8.81640625" style="11" bestFit="1" customWidth="1"/>
    <col min="7327" max="7327" width="10" style="11" bestFit="1" customWidth="1"/>
    <col min="7328" max="7328" width="13.1796875" style="11" bestFit="1" customWidth="1"/>
    <col min="7329" max="7329" width="20.7265625" style="11" bestFit="1" customWidth="1"/>
    <col min="7330" max="7330" width="20.7265625" style="11" customWidth="1"/>
    <col min="7331" max="7331" width="9.453125" style="11" bestFit="1" customWidth="1"/>
    <col min="7332" max="7333" width="9.26953125" style="11" bestFit="1" customWidth="1"/>
    <col min="7334" max="7334" width="10.26953125" style="11" bestFit="1" customWidth="1"/>
    <col min="7335" max="7344" width="9.26953125" style="11" bestFit="1" customWidth="1"/>
    <col min="7345" max="7345" width="10.26953125" style="11" bestFit="1" customWidth="1"/>
    <col min="7346" max="7349" width="9.26953125" style="11" bestFit="1" customWidth="1"/>
    <col min="7350" max="7350" width="11.26953125" style="11" bestFit="1" customWidth="1"/>
    <col min="7351" max="7363" width="8.7265625" style="11" customWidth="1"/>
    <col min="7364" max="7364" width="11" style="11" bestFit="1" customWidth="1"/>
    <col min="7365" max="7365" width="4.7265625" style="11" customWidth="1"/>
    <col min="7366" max="7366" width="25.26953125" style="11" customWidth="1"/>
    <col min="7367" max="7367" width="23" style="11" customWidth="1"/>
    <col min="7368" max="7368" width="10.26953125" style="11" bestFit="1" customWidth="1"/>
    <col min="7369" max="7369" width="0" style="11" hidden="1" customWidth="1"/>
    <col min="7370" max="7370" width="31.7265625" style="11" customWidth="1"/>
    <col min="7371" max="7371" width="6" style="11" customWidth="1"/>
    <col min="7372" max="7373" width="10.26953125" style="11" bestFit="1" customWidth="1"/>
    <col min="7374" max="7381" width="8.7265625" style="11" customWidth="1"/>
    <col min="7382" max="7382" width="10.26953125" style="11" bestFit="1" customWidth="1"/>
    <col min="7383" max="7464" width="8.7265625" style="11" customWidth="1"/>
    <col min="7465" max="7465" width="9.1796875" style="11"/>
    <col min="7466" max="7466" width="4.7265625" style="11" customWidth="1"/>
    <col min="7467" max="7467" width="3.54296875" style="11" customWidth="1"/>
    <col min="7468" max="7468" width="5.54296875" style="11" customWidth="1"/>
    <col min="7469" max="7469" width="8.7265625" style="11" customWidth="1"/>
    <col min="7470" max="7470" width="7.453125" style="11" customWidth="1"/>
    <col min="7471" max="7471" width="11.81640625" style="11" customWidth="1"/>
    <col min="7472" max="7472" width="8.26953125" style="11" customWidth="1"/>
    <col min="7473" max="7473" width="4.7265625" style="11" customWidth="1"/>
    <col min="7474" max="7474" width="0" style="11" hidden="1" customWidth="1"/>
    <col min="7475" max="7475" width="3.26953125" style="11" customWidth="1"/>
    <col min="7476" max="7476" width="0" style="11" hidden="1" customWidth="1"/>
    <col min="7477" max="7477" width="12" style="11" customWidth="1"/>
    <col min="7478" max="7478" width="12.81640625" style="11" customWidth="1"/>
    <col min="7479" max="7479" width="37.7265625" style="11" customWidth="1"/>
    <col min="7480" max="7481" width="8.453125" style="11" customWidth="1"/>
    <col min="7482" max="7482" width="8.54296875" style="11" customWidth="1"/>
    <col min="7483" max="7483" width="8.26953125" style="11" customWidth="1"/>
    <col min="7484" max="7484" width="12.26953125" style="11" customWidth="1"/>
    <col min="7485" max="7487" width="5.453125" style="11" customWidth="1"/>
    <col min="7488" max="7488" width="6.1796875" style="11" customWidth="1"/>
    <col min="7489" max="7489" width="5.1796875" style="11" customWidth="1"/>
    <col min="7490" max="7490" width="6.26953125" style="11" customWidth="1"/>
    <col min="7491" max="7491" width="6.7265625" style="11" customWidth="1"/>
    <col min="7492" max="7492" width="6.1796875" style="11" customWidth="1"/>
    <col min="7493" max="7493" width="6.54296875" style="11" customWidth="1"/>
    <col min="7494" max="7494" width="6.7265625" style="11" customWidth="1"/>
    <col min="7495" max="7495" width="5.7265625" style="11" customWidth="1"/>
    <col min="7496" max="7496" width="6.1796875" style="11" customWidth="1"/>
    <col min="7497" max="7497" width="6" style="11" customWidth="1"/>
    <col min="7498" max="7498" width="6.26953125" style="11" customWidth="1"/>
    <col min="7499" max="7499" width="6.54296875" style="11" customWidth="1"/>
    <col min="7500" max="7500" width="6.1796875" style="11" customWidth="1"/>
    <col min="7501" max="7501" width="5.26953125" style="11" customWidth="1"/>
    <col min="7502" max="7502" width="6.453125" style="11" customWidth="1"/>
    <col min="7503" max="7504" width="6.1796875" style="11" customWidth="1"/>
    <col min="7505" max="7505" width="6.26953125" style="11" customWidth="1"/>
    <col min="7506" max="7506" width="5.26953125" style="11" customWidth="1"/>
    <col min="7507" max="7507" width="6.81640625" style="11" customWidth="1"/>
    <col min="7508" max="7508" width="6.54296875" style="11" customWidth="1"/>
    <col min="7509" max="7509" width="6" style="11" customWidth="1"/>
    <col min="7510" max="7510" width="7" style="11" customWidth="1"/>
    <col min="7511" max="7511" width="6.26953125" style="11" customWidth="1"/>
    <col min="7512" max="7512" width="6.54296875" style="11" customWidth="1"/>
    <col min="7513" max="7513" width="6.7265625" style="11" customWidth="1"/>
    <col min="7514" max="7514" width="5.26953125" style="11" customWidth="1"/>
    <col min="7515" max="7515" width="6" style="11" customWidth="1"/>
    <col min="7516" max="7516" width="5.7265625" style="11" customWidth="1"/>
    <col min="7517" max="7521" width="12.1796875" style="11" bestFit="1" customWidth="1"/>
    <col min="7522" max="7522" width="9.81640625" style="11" bestFit="1" customWidth="1"/>
    <col min="7523" max="7523" width="11" style="11" bestFit="1" customWidth="1"/>
    <col min="7524" max="7524" width="11.26953125" style="11" bestFit="1" customWidth="1"/>
    <col min="7525" max="7525" width="11" style="11" bestFit="1" customWidth="1"/>
    <col min="7526" max="7527" width="9.81640625" style="11" bestFit="1" customWidth="1"/>
    <col min="7528" max="7528" width="10.26953125" style="11" bestFit="1" customWidth="1"/>
    <col min="7529" max="7529" width="12.1796875" style="11" bestFit="1" customWidth="1"/>
    <col min="7530" max="7530" width="11" style="11" bestFit="1" customWidth="1"/>
    <col min="7531" max="7531" width="12.1796875" style="11" bestFit="1" customWidth="1"/>
    <col min="7532" max="7532" width="13.81640625" style="11" bestFit="1" customWidth="1"/>
    <col min="7533" max="7533" width="9.81640625" style="11" bestFit="1" customWidth="1"/>
    <col min="7534" max="7534" width="13.81640625" style="11" bestFit="1" customWidth="1"/>
    <col min="7535" max="7535" width="10.81640625" style="11" bestFit="1" customWidth="1"/>
    <col min="7536" max="7536" width="12.1796875" style="11" bestFit="1" customWidth="1"/>
    <col min="7537" max="7539" width="11" style="11" bestFit="1" customWidth="1"/>
    <col min="7540" max="7540" width="14.26953125" style="11" customWidth="1"/>
    <col min="7541" max="7544" width="10.81640625" style="11" customWidth="1"/>
    <col min="7545" max="7545" width="9.54296875" style="11" customWidth="1"/>
    <col min="7546" max="7547" width="6.7265625" style="11" customWidth="1"/>
    <col min="7548" max="7554" width="8.7265625" style="11" customWidth="1"/>
    <col min="7555" max="7555" width="9.7265625" style="11" bestFit="1" customWidth="1"/>
    <col min="7556" max="7556" width="38.54296875" style="11" bestFit="1" customWidth="1"/>
    <col min="7557" max="7557" width="8.7265625" style="11" bestFit="1" customWidth="1"/>
    <col min="7558" max="7558" width="11.1796875" style="11" bestFit="1" customWidth="1"/>
    <col min="7559" max="7559" width="7.7265625" style="11" bestFit="1" customWidth="1"/>
    <col min="7560" max="7560" width="9.453125" style="11" bestFit="1" customWidth="1"/>
    <col min="7561" max="7561" width="8.7265625" style="11" bestFit="1" customWidth="1"/>
    <col min="7562" max="7562" width="10.453125" style="11" bestFit="1" customWidth="1"/>
    <col min="7563" max="7563" width="9" style="11" bestFit="1" customWidth="1"/>
    <col min="7564" max="7564" width="9.54296875" style="11" bestFit="1" customWidth="1"/>
    <col min="7565" max="7565" width="10.54296875" style="11" bestFit="1" customWidth="1"/>
    <col min="7566" max="7566" width="8.54296875" style="11" bestFit="1" customWidth="1"/>
    <col min="7567" max="7567" width="10.54296875" style="11" bestFit="1" customWidth="1"/>
    <col min="7568" max="7568" width="11" style="11" bestFit="1" customWidth="1"/>
    <col min="7569" max="7569" width="16.54296875" style="11" bestFit="1" customWidth="1"/>
    <col min="7570" max="7570" width="11" style="11" bestFit="1" customWidth="1"/>
    <col min="7571" max="7571" width="10.26953125" style="11" bestFit="1" customWidth="1"/>
    <col min="7572" max="7572" width="12.453125" style="11" bestFit="1" customWidth="1"/>
    <col min="7573" max="7573" width="10.54296875" style="11" bestFit="1" customWidth="1"/>
    <col min="7574" max="7574" width="9" style="11" bestFit="1" customWidth="1"/>
    <col min="7575" max="7575" width="10.54296875" style="11" bestFit="1" customWidth="1"/>
    <col min="7576" max="7576" width="11.1796875" style="11" bestFit="1" customWidth="1"/>
    <col min="7577" max="7577" width="11.453125" style="11" bestFit="1" customWidth="1"/>
    <col min="7578" max="7578" width="12.7265625" style="11" bestFit="1" customWidth="1"/>
    <col min="7579" max="7579" width="13.453125" style="11" bestFit="1" customWidth="1"/>
    <col min="7580" max="7580" width="11.81640625" style="11" bestFit="1" customWidth="1"/>
    <col min="7581" max="7581" width="10.7265625" style="11" bestFit="1" customWidth="1"/>
    <col min="7582" max="7582" width="8.81640625" style="11" bestFit="1" customWidth="1"/>
    <col min="7583" max="7583" width="10" style="11" bestFit="1" customWidth="1"/>
    <col min="7584" max="7584" width="13.1796875" style="11" bestFit="1" customWidth="1"/>
    <col min="7585" max="7585" width="20.7265625" style="11" bestFit="1" customWidth="1"/>
    <col min="7586" max="7586" width="20.7265625" style="11" customWidth="1"/>
    <col min="7587" max="7587" width="9.453125" style="11" bestFit="1" customWidth="1"/>
    <col min="7588" max="7589" width="9.26953125" style="11" bestFit="1" customWidth="1"/>
    <col min="7590" max="7590" width="10.26953125" style="11" bestFit="1" customWidth="1"/>
    <col min="7591" max="7600" width="9.26953125" style="11" bestFit="1" customWidth="1"/>
    <col min="7601" max="7601" width="10.26953125" style="11" bestFit="1" customWidth="1"/>
    <col min="7602" max="7605" width="9.26953125" style="11" bestFit="1" customWidth="1"/>
    <col min="7606" max="7606" width="11.26953125" style="11" bestFit="1" customWidth="1"/>
    <col min="7607" max="7619" width="8.7265625" style="11" customWidth="1"/>
    <col min="7620" max="7620" width="11" style="11" bestFit="1" customWidth="1"/>
    <col min="7621" max="7621" width="4.7265625" style="11" customWidth="1"/>
    <col min="7622" max="7622" width="25.26953125" style="11" customWidth="1"/>
    <col min="7623" max="7623" width="23" style="11" customWidth="1"/>
    <col min="7624" max="7624" width="10.26953125" style="11" bestFit="1" customWidth="1"/>
    <col min="7625" max="7625" width="0" style="11" hidden="1" customWidth="1"/>
    <col min="7626" max="7626" width="31.7265625" style="11" customWidth="1"/>
    <col min="7627" max="7627" width="6" style="11" customWidth="1"/>
    <col min="7628" max="7629" width="10.26953125" style="11" bestFit="1" customWidth="1"/>
    <col min="7630" max="7637" width="8.7265625" style="11" customWidth="1"/>
    <col min="7638" max="7638" width="10.26953125" style="11" bestFit="1" customWidth="1"/>
    <col min="7639" max="7720" width="8.7265625" style="11" customWidth="1"/>
    <col min="7721" max="7721" width="9.1796875" style="11"/>
    <col min="7722" max="7722" width="4.7265625" style="11" customWidth="1"/>
    <col min="7723" max="7723" width="3.54296875" style="11" customWidth="1"/>
    <col min="7724" max="7724" width="5.54296875" style="11" customWidth="1"/>
    <col min="7725" max="7725" width="8.7265625" style="11" customWidth="1"/>
    <col min="7726" max="7726" width="7.453125" style="11" customWidth="1"/>
    <col min="7727" max="7727" width="11.81640625" style="11" customWidth="1"/>
    <col min="7728" max="7728" width="8.26953125" style="11" customWidth="1"/>
    <col min="7729" max="7729" width="4.7265625" style="11" customWidth="1"/>
    <col min="7730" max="7730" width="0" style="11" hidden="1" customWidth="1"/>
    <col min="7731" max="7731" width="3.26953125" style="11" customWidth="1"/>
    <col min="7732" max="7732" width="0" style="11" hidden="1" customWidth="1"/>
    <col min="7733" max="7733" width="12" style="11" customWidth="1"/>
    <col min="7734" max="7734" width="12.81640625" style="11" customWidth="1"/>
    <col min="7735" max="7735" width="37.7265625" style="11" customWidth="1"/>
    <col min="7736" max="7737" width="8.453125" style="11" customWidth="1"/>
    <col min="7738" max="7738" width="8.54296875" style="11" customWidth="1"/>
    <col min="7739" max="7739" width="8.26953125" style="11" customWidth="1"/>
    <col min="7740" max="7740" width="12.26953125" style="11" customWidth="1"/>
    <col min="7741" max="7743" width="5.453125" style="11" customWidth="1"/>
    <col min="7744" max="7744" width="6.1796875" style="11" customWidth="1"/>
    <col min="7745" max="7745" width="5.1796875" style="11" customWidth="1"/>
    <col min="7746" max="7746" width="6.26953125" style="11" customWidth="1"/>
    <col min="7747" max="7747" width="6.7265625" style="11" customWidth="1"/>
    <col min="7748" max="7748" width="6.1796875" style="11" customWidth="1"/>
    <col min="7749" max="7749" width="6.54296875" style="11" customWidth="1"/>
    <col min="7750" max="7750" width="6.7265625" style="11" customWidth="1"/>
    <col min="7751" max="7751" width="5.7265625" style="11" customWidth="1"/>
    <col min="7752" max="7752" width="6.1796875" style="11" customWidth="1"/>
    <col min="7753" max="7753" width="6" style="11" customWidth="1"/>
    <col min="7754" max="7754" width="6.26953125" style="11" customWidth="1"/>
    <col min="7755" max="7755" width="6.54296875" style="11" customWidth="1"/>
    <col min="7756" max="7756" width="6.1796875" style="11" customWidth="1"/>
    <col min="7757" max="7757" width="5.26953125" style="11" customWidth="1"/>
    <col min="7758" max="7758" width="6.453125" style="11" customWidth="1"/>
    <col min="7759" max="7760" width="6.1796875" style="11" customWidth="1"/>
    <col min="7761" max="7761" width="6.26953125" style="11" customWidth="1"/>
    <col min="7762" max="7762" width="5.26953125" style="11" customWidth="1"/>
    <col min="7763" max="7763" width="6.81640625" style="11" customWidth="1"/>
    <col min="7764" max="7764" width="6.54296875" style="11" customWidth="1"/>
    <col min="7765" max="7765" width="6" style="11" customWidth="1"/>
    <col min="7766" max="7766" width="7" style="11" customWidth="1"/>
    <col min="7767" max="7767" width="6.26953125" style="11" customWidth="1"/>
    <col min="7768" max="7768" width="6.54296875" style="11" customWidth="1"/>
    <col min="7769" max="7769" width="6.7265625" style="11" customWidth="1"/>
    <col min="7770" max="7770" width="5.26953125" style="11" customWidth="1"/>
    <col min="7771" max="7771" width="6" style="11" customWidth="1"/>
    <col min="7772" max="7772" width="5.7265625" style="11" customWidth="1"/>
    <col min="7773" max="7777" width="12.1796875" style="11" bestFit="1" customWidth="1"/>
    <col min="7778" max="7778" width="9.81640625" style="11" bestFit="1" customWidth="1"/>
    <col min="7779" max="7779" width="11" style="11" bestFit="1" customWidth="1"/>
    <col min="7780" max="7780" width="11.26953125" style="11" bestFit="1" customWidth="1"/>
    <col min="7781" max="7781" width="11" style="11" bestFit="1" customWidth="1"/>
    <col min="7782" max="7783" width="9.81640625" style="11" bestFit="1" customWidth="1"/>
    <col min="7784" max="7784" width="10.26953125" style="11" bestFit="1" customWidth="1"/>
    <col min="7785" max="7785" width="12.1796875" style="11" bestFit="1" customWidth="1"/>
    <col min="7786" max="7786" width="11" style="11" bestFit="1" customWidth="1"/>
    <col min="7787" max="7787" width="12.1796875" style="11" bestFit="1" customWidth="1"/>
    <col min="7788" max="7788" width="13.81640625" style="11" bestFit="1" customWidth="1"/>
    <col min="7789" max="7789" width="9.81640625" style="11" bestFit="1" customWidth="1"/>
    <col min="7790" max="7790" width="13.81640625" style="11" bestFit="1" customWidth="1"/>
    <col min="7791" max="7791" width="10.81640625" style="11" bestFit="1" customWidth="1"/>
    <col min="7792" max="7792" width="12.1796875" style="11" bestFit="1" customWidth="1"/>
    <col min="7793" max="7795" width="11" style="11" bestFit="1" customWidth="1"/>
    <col min="7796" max="7796" width="14.26953125" style="11" customWidth="1"/>
    <col min="7797" max="7800" width="10.81640625" style="11" customWidth="1"/>
    <col min="7801" max="7801" width="9.54296875" style="11" customWidth="1"/>
    <col min="7802" max="7803" width="6.7265625" style="11" customWidth="1"/>
    <col min="7804" max="7810" width="8.7265625" style="11" customWidth="1"/>
    <col min="7811" max="7811" width="9.7265625" style="11" bestFit="1" customWidth="1"/>
    <col min="7812" max="7812" width="38.54296875" style="11" bestFit="1" customWidth="1"/>
    <col min="7813" max="7813" width="8.7265625" style="11" bestFit="1" customWidth="1"/>
    <col min="7814" max="7814" width="11.1796875" style="11" bestFit="1" customWidth="1"/>
    <col min="7815" max="7815" width="7.7265625" style="11" bestFit="1" customWidth="1"/>
    <col min="7816" max="7816" width="9.453125" style="11" bestFit="1" customWidth="1"/>
    <col min="7817" max="7817" width="8.7265625" style="11" bestFit="1" customWidth="1"/>
    <col min="7818" max="7818" width="10.453125" style="11" bestFit="1" customWidth="1"/>
    <col min="7819" max="7819" width="9" style="11" bestFit="1" customWidth="1"/>
    <col min="7820" max="7820" width="9.54296875" style="11" bestFit="1" customWidth="1"/>
    <col min="7821" max="7821" width="10.54296875" style="11" bestFit="1" customWidth="1"/>
    <col min="7822" max="7822" width="8.54296875" style="11" bestFit="1" customWidth="1"/>
    <col min="7823" max="7823" width="10.54296875" style="11" bestFit="1" customWidth="1"/>
    <col min="7824" max="7824" width="11" style="11" bestFit="1" customWidth="1"/>
    <col min="7825" max="7825" width="16.54296875" style="11" bestFit="1" customWidth="1"/>
    <col min="7826" max="7826" width="11" style="11" bestFit="1" customWidth="1"/>
    <col min="7827" max="7827" width="10.26953125" style="11" bestFit="1" customWidth="1"/>
    <col min="7828" max="7828" width="12.453125" style="11" bestFit="1" customWidth="1"/>
    <col min="7829" max="7829" width="10.54296875" style="11" bestFit="1" customWidth="1"/>
    <col min="7830" max="7830" width="9" style="11" bestFit="1" customWidth="1"/>
    <col min="7831" max="7831" width="10.54296875" style="11" bestFit="1" customWidth="1"/>
    <col min="7832" max="7832" width="11.1796875" style="11" bestFit="1" customWidth="1"/>
    <col min="7833" max="7833" width="11.453125" style="11" bestFit="1" customWidth="1"/>
    <col min="7834" max="7834" width="12.7265625" style="11" bestFit="1" customWidth="1"/>
    <col min="7835" max="7835" width="13.453125" style="11" bestFit="1" customWidth="1"/>
    <col min="7836" max="7836" width="11.81640625" style="11" bestFit="1" customWidth="1"/>
    <col min="7837" max="7837" width="10.7265625" style="11" bestFit="1" customWidth="1"/>
    <col min="7838" max="7838" width="8.81640625" style="11" bestFit="1" customWidth="1"/>
    <col min="7839" max="7839" width="10" style="11" bestFit="1" customWidth="1"/>
    <col min="7840" max="7840" width="13.1796875" style="11" bestFit="1" customWidth="1"/>
    <col min="7841" max="7841" width="20.7265625" style="11" bestFit="1" customWidth="1"/>
    <col min="7842" max="7842" width="20.7265625" style="11" customWidth="1"/>
    <col min="7843" max="7843" width="9.453125" style="11" bestFit="1" customWidth="1"/>
    <col min="7844" max="7845" width="9.26953125" style="11" bestFit="1" customWidth="1"/>
    <col min="7846" max="7846" width="10.26953125" style="11" bestFit="1" customWidth="1"/>
    <col min="7847" max="7856" width="9.26953125" style="11" bestFit="1" customWidth="1"/>
    <col min="7857" max="7857" width="10.26953125" style="11" bestFit="1" customWidth="1"/>
    <col min="7858" max="7861" width="9.26953125" style="11" bestFit="1" customWidth="1"/>
    <col min="7862" max="7862" width="11.26953125" style="11" bestFit="1" customWidth="1"/>
    <col min="7863" max="7875" width="8.7265625" style="11" customWidth="1"/>
    <col min="7876" max="7876" width="11" style="11" bestFit="1" customWidth="1"/>
    <col min="7877" max="7877" width="4.7265625" style="11" customWidth="1"/>
    <col min="7878" max="7878" width="25.26953125" style="11" customWidth="1"/>
    <col min="7879" max="7879" width="23" style="11" customWidth="1"/>
    <col min="7880" max="7880" width="10.26953125" style="11" bestFit="1" customWidth="1"/>
    <col min="7881" max="7881" width="0" style="11" hidden="1" customWidth="1"/>
    <col min="7882" max="7882" width="31.7265625" style="11" customWidth="1"/>
    <col min="7883" max="7883" width="6" style="11" customWidth="1"/>
    <col min="7884" max="7885" width="10.26953125" style="11" bestFit="1" customWidth="1"/>
    <col min="7886" max="7893" width="8.7265625" style="11" customWidth="1"/>
    <col min="7894" max="7894" width="10.26953125" style="11" bestFit="1" customWidth="1"/>
    <col min="7895" max="7976" width="8.7265625" style="11" customWidth="1"/>
    <col min="7977" max="7977" width="9.1796875" style="11"/>
    <col min="7978" max="7978" width="4.7265625" style="11" customWidth="1"/>
    <col min="7979" max="7979" width="3.54296875" style="11" customWidth="1"/>
    <col min="7980" max="7980" width="5.54296875" style="11" customWidth="1"/>
    <col min="7981" max="7981" width="8.7265625" style="11" customWidth="1"/>
    <col min="7982" max="7982" width="7.453125" style="11" customWidth="1"/>
    <col min="7983" max="7983" width="11.81640625" style="11" customWidth="1"/>
    <col min="7984" max="7984" width="8.26953125" style="11" customWidth="1"/>
    <col min="7985" max="7985" width="4.7265625" style="11" customWidth="1"/>
    <col min="7986" max="7986" width="0" style="11" hidden="1" customWidth="1"/>
    <col min="7987" max="7987" width="3.26953125" style="11" customWidth="1"/>
    <col min="7988" max="7988" width="0" style="11" hidden="1" customWidth="1"/>
    <col min="7989" max="7989" width="12" style="11" customWidth="1"/>
    <col min="7990" max="7990" width="12.81640625" style="11" customWidth="1"/>
    <col min="7991" max="7991" width="37.7265625" style="11" customWidth="1"/>
    <col min="7992" max="7993" width="8.453125" style="11" customWidth="1"/>
    <col min="7994" max="7994" width="8.54296875" style="11" customWidth="1"/>
    <col min="7995" max="7995" width="8.26953125" style="11" customWidth="1"/>
    <col min="7996" max="7996" width="12.26953125" style="11" customWidth="1"/>
    <col min="7997" max="7999" width="5.453125" style="11" customWidth="1"/>
    <col min="8000" max="8000" width="6.1796875" style="11" customWidth="1"/>
    <col min="8001" max="8001" width="5.1796875" style="11" customWidth="1"/>
    <col min="8002" max="8002" width="6.26953125" style="11" customWidth="1"/>
    <col min="8003" max="8003" width="6.7265625" style="11" customWidth="1"/>
    <col min="8004" max="8004" width="6.1796875" style="11" customWidth="1"/>
    <col min="8005" max="8005" width="6.54296875" style="11" customWidth="1"/>
    <col min="8006" max="8006" width="6.7265625" style="11" customWidth="1"/>
    <col min="8007" max="8007" width="5.7265625" style="11" customWidth="1"/>
    <col min="8008" max="8008" width="6.1796875" style="11" customWidth="1"/>
    <col min="8009" max="8009" width="6" style="11" customWidth="1"/>
    <col min="8010" max="8010" width="6.26953125" style="11" customWidth="1"/>
    <col min="8011" max="8011" width="6.54296875" style="11" customWidth="1"/>
    <col min="8012" max="8012" width="6.1796875" style="11" customWidth="1"/>
    <col min="8013" max="8013" width="5.26953125" style="11" customWidth="1"/>
    <col min="8014" max="8014" width="6.453125" style="11" customWidth="1"/>
    <col min="8015" max="8016" width="6.1796875" style="11" customWidth="1"/>
    <col min="8017" max="8017" width="6.26953125" style="11" customWidth="1"/>
    <col min="8018" max="8018" width="5.26953125" style="11" customWidth="1"/>
    <col min="8019" max="8019" width="6.81640625" style="11" customWidth="1"/>
    <col min="8020" max="8020" width="6.54296875" style="11" customWidth="1"/>
    <col min="8021" max="8021" width="6" style="11" customWidth="1"/>
    <col min="8022" max="8022" width="7" style="11" customWidth="1"/>
    <col min="8023" max="8023" width="6.26953125" style="11" customWidth="1"/>
    <col min="8024" max="8024" width="6.54296875" style="11" customWidth="1"/>
    <col min="8025" max="8025" width="6.7265625" style="11" customWidth="1"/>
    <col min="8026" max="8026" width="5.26953125" style="11" customWidth="1"/>
    <col min="8027" max="8027" width="6" style="11" customWidth="1"/>
    <col min="8028" max="8028" width="5.7265625" style="11" customWidth="1"/>
    <col min="8029" max="8033" width="12.1796875" style="11" bestFit="1" customWidth="1"/>
    <col min="8034" max="8034" width="9.81640625" style="11" bestFit="1" customWidth="1"/>
    <col min="8035" max="8035" width="11" style="11" bestFit="1" customWidth="1"/>
    <col min="8036" max="8036" width="11.26953125" style="11" bestFit="1" customWidth="1"/>
    <col min="8037" max="8037" width="11" style="11" bestFit="1" customWidth="1"/>
    <col min="8038" max="8039" width="9.81640625" style="11" bestFit="1" customWidth="1"/>
    <col min="8040" max="8040" width="10.26953125" style="11" bestFit="1" customWidth="1"/>
    <col min="8041" max="8041" width="12.1796875" style="11" bestFit="1" customWidth="1"/>
    <col min="8042" max="8042" width="11" style="11" bestFit="1" customWidth="1"/>
    <col min="8043" max="8043" width="12.1796875" style="11" bestFit="1" customWidth="1"/>
    <col min="8044" max="8044" width="13.81640625" style="11" bestFit="1" customWidth="1"/>
    <col min="8045" max="8045" width="9.81640625" style="11" bestFit="1" customWidth="1"/>
    <col min="8046" max="8046" width="13.81640625" style="11" bestFit="1" customWidth="1"/>
    <col min="8047" max="8047" width="10.81640625" style="11" bestFit="1" customWidth="1"/>
    <col min="8048" max="8048" width="12.1796875" style="11" bestFit="1" customWidth="1"/>
    <col min="8049" max="8051" width="11" style="11" bestFit="1" customWidth="1"/>
    <col min="8052" max="8052" width="14.26953125" style="11" customWidth="1"/>
    <col min="8053" max="8056" width="10.81640625" style="11" customWidth="1"/>
    <col min="8057" max="8057" width="9.54296875" style="11" customWidth="1"/>
    <col min="8058" max="8059" width="6.7265625" style="11" customWidth="1"/>
    <col min="8060" max="8066" width="8.7265625" style="11" customWidth="1"/>
    <col min="8067" max="8067" width="9.7265625" style="11" bestFit="1" customWidth="1"/>
    <col min="8068" max="8068" width="38.54296875" style="11" bestFit="1" customWidth="1"/>
    <col min="8069" max="8069" width="8.7265625" style="11" bestFit="1" customWidth="1"/>
    <col min="8070" max="8070" width="11.1796875" style="11" bestFit="1" customWidth="1"/>
    <col min="8071" max="8071" width="7.7265625" style="11" bestFit="1" customWidth="1"/>
    <col min="8072" max="8072" width="9.453125" style="11" bestFit="1" customWidth="1"/>
    <col min="8073" max="8073" width="8.7265625" style="11" bestFit="1" customWidth="1"/>
    <col min="8074" max="8074" width="10.453125" style="11" bestFit="1" customWidth="1"/>
    <col min="8075" max="8075" width="9" style="11" bestFit="1" customWidth="1"/>
    <col min="8076" max="8076" width="9.54296875" style="11" bestFit="1" customWidth="1"/>
    <col min="8077" max="8077" width="10.54296875" style="11" bestFit="1" customWidth="1"/>
    <col min="8078" max="8078" width="8.54296875" style="11" bestFit="1" customWidth="1"/>
    <col min="8079" max="8079" width="10.54296875" style="11" bestFit="1" customWidth="1"/>
    <col min="8080" max="8080" width="11" style="11" bestFit="1" customWidth="1"/>
    <col min="8081" max="8081" width="16.54296875" style="11" bestFit="1" customWidth="1"/>
    <col min="8082" max="8082" width="11" style="11" bestFit="1" customWidth="1"/>
    <col min="8083" max="8083" width="10.26953125" style="11" bestFit="1" customWidth="1"/>
    <col min="8084" max="8084" width="12.453125" style="11" bestFit="1" customWidth="1"/>
    <col min="8085" max="8085" width="10.54296875" style="11" bestFit="1" customWidth="1"/>
    <col min="8086" max="8086" width="9" style="11" bestFit="1" customWidth="1"/>
    <col min="8087" max="8087" width="10.54296875" style="11" bestFit="1" customWidth="1"/>
    <col min="8088" max="8088" width="11.1796875" style="11" bestFit="1" customWidth="1"/>
    <col min="8089" max="8089" width="11.453125" style="11" bestFit="1" customWidth="1"/>
    <col min="8090" max="8090" width="12.7265625" style="11" bestFit="1" customWidth="1"/>
    <col min="8091" max="8091" width="13.453125" style="11" bestFit="1" customWidth="1"/>
    <col min="8092" max="8092" width="11.81640625" style="11" bestFit="1" customWidth="1"/>
    <col min="8093" max="8093" width="10.7265625" style="11" bestFit="1" customWidth="1"/>
    <col min="8094" max="8094" width="8.81640625" style="11" bestFit="1" customWidth="1"/>
    <col min="8095" max="8095" width="10" style="11" bestFit="1" customWidth="1"/>
    <col min="8096" max="8096" width="13.1796875" style="11" bestFit="1" customWidth="1"/>
    <col min="8097" max="8097" width="20.7265625" style="11" bestFit="1" customWidth="1"/>
    <col min="8098" max="8098" width="20.7265625" style="11" customWidth="1"/>
    <col min="8099" max="8099" width="9.453125" style="11" bestFit="1" customWidth="1"/>
    <col min="8100" max="8101" width="9.26953125" style="11" bestFit="1" customWidth="1"/>
    <col min="8102" max="8102" width="10.26953125" style="11" bestFit="1" customWidth="1"/>
    <col min="8103" max="8112" width="9.26953125" style="11" bestFit="1" customWidth="1"/>
    <col min="8113" max="8113" width="10.26953125" style="11" bestFit="1" customWidth="1"/>
    <col min="8114" max="8117" width="9.26953125" style="11" bestFit="1" customWidth="1"/>
    <col min="8118" max="8118" width="11.26953125" style="11" bestFit="1" customWidth="1"/>
    <col min="8119" max="8131" width="8.7265625" style="11" customWidth="1"/>
    <col min="8132" max="8132" width="11" style="11" bestFit="1" customWidth="1"/>
    <col min="8133" max="8133" width="4.7265625" style="11" customWidth="1"/>
    <col min="8134" max="8134" width="25.26953125" style="11" customWidth="1"/>
    <col min="8135" max="8135" width="23" style="11" customWidth="1"/>
    <col min="8136" max="8136" width="10.26953125" style="11" bestFit="1" customWidth="1"/>
    <col min="8137" max="8137" width="0" style="11" hidden="1" customWidth="1"/>
    <col min="8138" max="8138" width="31.7265625" style="11" customWidth="1"/>
    <col min="8139" max="8139" width="6" style="11" customWidth="1"/>
    <col min="8140" max="8141" width="10.26953125" style="11" bestFit="1" customWidth="1"/>
    <col min="8142" max="8149" width="8.7265625" style="11" customWidth="1"/>
    <col min="8150" max="8150" width="10.26953125" style="11" bestFit="1" customWidth="1"/>
    <col min="8151" max="8232" width="8.7265625" style="11" customWidth="1"/>
    <col min="8233" max="8233" width="9.1796875" style="11"/>
    <col min="8234" max="8234" width="4.7265625" style="11" customWidth="1"/>
    <col min="8235" max="8235" width="3.54296875" style="11" customWidth="1"/>
    <col min="8236" max="8236" width="5.54296875" style="11" customWidth="1"/>
    <col min="8237" max="8237" width="8.7265625" style="11" customWidth="1"/>
    <col min="8238" max="8238" width="7.453125" style="11" customWidth="1"/>
    <col min="8239" max="8239" width="11.81640625" style="11" customWidth="1"/>
    <col min="8240" max="8240" width="8.26953125" style="11" customWidth="1"/>
    <col min="8241" max="8241" width="4.7265625" style="11" customWidth="1"/>
    <col min="8242" max="8242" width="0" style="11" hidden="1" customWidth="1"/>
    <col min="8243" max="8243" width="3.26953125" style="11" customWidth="1"/>
    <col min="8244" max="8244" width="0" style="11" hidden="1" customWidth="1"/>
    <col min="8245" max="8245" width="12" style="11" customWidth="1"/>
    <col min="8246" max="8246" width="12.81640625" style="11" customWidth="1"/>
    <col min="8247" max="8247" width="37.7265625" style="11" customWidth="1"/>
    <col min="8248" max="8249" width="8.453125" style="11" customWidth="1"/>
    <col min="8250" max="8250" width="8.54296875" style="11" customWidth="1"/>
    <col min="8251" max="8251" width="8.26953125" style="11" customWidth="1"/>
    <col min="8252" max="8252" width="12.26953125" style="11" customWidth="1"/>
    <col min="8253" max="8255" width="5.453125" style="11" customWidth="1"/>
    <col min="8256" max="8256" width="6.1796875" style="11" customWidth="1"/>
    <col min="8257" max="8257" width="5.1796875" style="11" customWidth="1"/>
    <col min="8258" max="8258" width="6.26953125" style="11" customWidth="1"/>
    <col min="8259" max="8259" width="6.7265625" style="11" customWidth="1"/>
    <col min="8260" max="8260" width="6.1796875" style="11" customWidth="1"/>
    <col min="8261" max="8261" width="6.54296875" style="11" customWidth="1"/>
    <col min="8262" max="8262" width="6.7265625" style="11" customWidth="1"/>
    <col min="8263" max="8263" width="5.7265625" style="11" customWidth="1"/>
    <col min="8264" max="8264" width="6.1796875" style="11" customWidth="1"/>
    <col min="8265" max="8265" width="6" style="11" customWidth="1"/>
    <col min="8266" max="8266" width="6.26953125" style="11" customWidth="1"/>
    <col min="8267" max="8267" width="6.54296875" style="11" customWidth="1"/>
    <col min="8268" max="8268" width="6.1796875" style="11" customWidth="1"/>
    <col min="8269" max="8269" width="5.26953125" style="11" customWidth="1"/>
    <col min="8270" max="8270" width="6.453125" style="11" customWidth="1"/>
    <col min="8271" max="8272" width="6.1796875" style="11" customWidth="1"/>
    <col min="8273" max="8273" width="6.26953125" style="11" customWidth="1"/>
    <col min="8274" max="8274" width="5.26953125" style="11" customWidth="1"/>
    <col min="8275" max="8275" width="6.81640625" style="11" customWidth="1"/>
    <col min="8276" max="8276" width="6.54296875" style="11" customWidth="1"/>
    <col min="8277" max="8277" width="6" style="11" customWidth="1"/>
    <col min="8278" max="8278" width="7" style="11" customWidth="1"/>
    <col min="8279" max="8279" width="6.26953125" style="11" customWidth="1"/>
    <col min="8280" max="8280" width="6.54296875" style="11" customWidth="1"/>
    <col min="8281" max="8281" width="6.7265625" style="11" customWidth="1"/>
    <col min="8282" max="8282" width="5.26953125" style="11" customWidth="1"/>
    <col min="8283" max="8283" width="6" style="11" customWidth="1"/>
    <col min="8284" max="8284" width="5.7265625" style="11" customWidth="1"/>
    <col min="8285" max="8289" width="12.1796875" style="11" bestFit="1" customWidth="1"/>
    <col min="8290" max="8290" width="9.81640625" style="11" bestFit="1" customWidth="1"/>
    <col min="8291" max="8291" width="11" style="11" bestFit="1" customWidth="1"/>
    <col min="8292" max="8292" width="11.26953125" style="11" bestFit="1" customWidth="1"/>
    <col min="8293" max="8293" width="11" style="11" bestFit="1" customWidth="1"/>
    <col min="8294" max="8295" width="9.81640625" style="11" bestFit="1" customWidth="1"/>
    <col min="8296" max="8296" width="10.26953125" style="11" bestFit="1" customWidth="1"/>
    <col min="8297" max="8297" width="12.1796875" style="11" bestFit="1" customWidth="1"/>
    <col min="8298" max="8298" width="11" style="11" bestFit="1" customWidth="1"/>
    <col min="8299" max="8299" width="12.1796875" style="11" bestFit="1" customWidth="1"/>
    <col min="8300" max="8300" width="13.81640625" style="11" bestFit="1" customWidth="1"/>
    <col min="8301" max="8301" width="9.81640625" style="11" bestFit="1" customWidth="1"/>
    <col min="8302" max="8302" width="13.81640625" style="11" bestFit="1" customWidth="1"/>
    <col min="8303" max="8303" width="10.81640625" style="11" bestFit="1" customWidth="1"/>
    <col min="8304" max="8304" width="12.1796875" style="11" bestFit="1" customWidth="1"/>
    <col min="8305" max="8307" width="11" style="11" bestFit="1" customWidth="1"/>
    <col min="8308" max="8308" width="14.26953125" style="11" customWidth="1"/>
    <col min="8309" max="8312" width="10.81640625" style="11" customWidth="1"/>
    <col min="8313" max="8313" width="9.54296875" style="11" customWidth="1"/>
    <col min="8314" max="8315" width="6.7265625" style="11" customWidth="1"/>
    <col min="8316" max="8322" width="8.7265625" style="11" customWidth="1"/>
    <col min="8323" max="8323" width="9.7265625" style="11" bestFit="1" customWidth="1"/>
    <col min="8324" max="8324" width="38.54296875" style="11" bestFit="1" customWidth="1"/>
    <col min="8325" max="8325" width="8.7265625" style="11" bestFit="1" customWidth="1"/>
    <col min="8326" max="8326" width="11.1796875" style="11" bestFit="1" customWidth="1"/>
    <col min="8327" max="8327" width="7.7265625" style="11" bestFit="1" customWidth="1"/>
    <col min="8328" max="8328" width="9.453125" style="11" bestFit="1" customWidth="1"/>
    <col min="8329" max="8329" width="8.7265625" style="11" bestFit="1" customWidth="1"/>
    <col min="8330" max="8330" width="10.453125" style="11" bestFit="1" customWidth="1"/>
    <col min="8331" max="8331" width="9" style="11" bestFit="1" customWidth="1"/>
    <col min="8332" max="8332" width="9.54296875" style="11" bestFit="1" customWidth="1"/>
    <col min="8333" max="8333" width="10.54296875" style="11" bestFit="1" customWidth="1"/>
    <col min="8334" max="8334" width="8.54296875" style="11" bestFit="1" customWidth="1"/>
    <col min="8335" max="8335" width="10.54296875" style="11" bestFit="1" customWidth="1"/>
    <col min="8336" max="8336" width="11" style="11" bestFit="1" customWidth="1"/>
    <col min="8337" max="8337" width="16.54296875" style="11" bestFit="1" customWidth="1"/>
    <col min="8338" max="8338" width="11" style="11" bestFit="1" customWidth="1"/>
    <col min="8339" max="8339" width="10.26953125" style="11" bestFit="1" customWidth="1"/>
    <col min="8340" max="8340" width="12.453125" style="11" bestFit="1" customWidth="1"/>
    <col min="8341" max="8341" width="10.54296875" style="11" bestFit="1" customWidth="1"/>
    <col min="8342" max="8342" width="9" style="11" bestFit="1" customWidth="1"/>
    <col min="8343" max="8343" width="10.54296875" style="11" bestFit="1" customWidth="1"/>
    <col min="8344" max="8344" width="11.1796875" style="11" bestFit="1" customWidth="1"/>
    <col min="8345" max="8345" width="11.453125" style="11" bestFit="1" customWidth="1"/>
    <col min="8346" max="8346" width="12.7265625" style="11" bestFit="1" customWidth="1"/>
    <col min="8347" max="8347" width="13.453125" style="11" bestFit="1" customWidth="1"/>
    <col min="8348" max="8348" width="11.81640625" style="11" bestFit="1" customWidth="1"/>
    <col min="8349" max="8349" width="10.7265625" style="11" bestFit="1" customWidth="1"/>
    <col min="8350" max="8350" width="8.81640625" style="11" bestFit="1" customWidth="1"/>
    <col min="8351" max="8351" width="10" style="11" bestFit="1" customWidth="1"/>
    <col min="8352" max="8352" width="13.1796875" style="11" bestFit="1" customWidth="1"/>
    <col min="8353" max="8353" width="20.7265625" style="11" bestFit="1" customWidth="1"/>
    <col min="8354" max="8354" width="20.7265625" style="11" customWidth="1"/>
    <col min="8355" max="8355" width="9.453125" style="11" bestFit="1" customWidth="1"/>
    <col min="8356" max="8357" width="9.26953125" style="11" bestFit="1" customWidth="1"/>
    <col min="8358" max="8358" width="10.26953125" style="11" bestFit="1" customWidth="1"/>
    <col min="8359" max="8368" width="9.26953125" style="11" bestFit="1" customWidth="1"/>
    <col min="8369" max="8369" width="10.26953125" style="11" bestFit="1" customWidth="1"/>
    <col min="8370" max="8373" width="9.26953125" style="11" bestFit="1" customWidth="1"/>
    <col min="8374" max="8374" width="11.26953125" style="11" bestFit="1" customWidth="1"/>
    <col min="8375" max="8387" width="8.7265625" style="11" customWidth="1"/>
    <col min="8388" max="8388" width="11" style="11" bestFit="1" customWidth="1"/>
    <col min="8389" max="8389" width="4.7265625" style="11" customWidth="1"/>
    <col min="8390" max="8390" width="25.26953125" style="11" customWidth="1"/>
    <col min="8391" max="8391" width="23" style="11" customWidth="1"/>
    <col min="8392" max="8392" width="10.26953125" style="11" bestFit="1" customWidth="1"/>
    <col min="8393" max="8393" width="0" style="11" hidden="1" customWidth="1"/>
    <col min="8394" max="8394" width="31.7265625" style="11" customWidth="1"/>
    <col min="8395" max="8395" width="6" style="11" customWidth="1"/>
    <col min="8396" max="8397" width="10.26953125" style="11" bestFit="1" customWidth="1"/>
    <col min="8398" max="8405" width="8.7265625" style="11" customWidth="1"/>
    <col min="8406" max="8406" width="10.26953125" style="11" bestFit="1" customWidth="1"/>
    <col min="8407" max="8488" width="8.7265625" style="11" customWidth="1"/>
    <col min="8489" max="8489" width="9.1796875" style="11"/>
    <col min="8490" max="8490" width="4.7265625" style="11" customWidth="1"/>
    <col min="8491" max="8491" width="3.54296875" style="11" customWidth="1"/>
    <col min="8492" max="8492" width="5.54296875" style="11" customWidth="1"/>
    <col min="8493" max="8493" width="8.7265625" style="11" customWidth="1"/>
    <col min="8494" max="8494" width="7.453125" style="11" customWidth="1"/>
    <col min="8495" max="8495" width="11.81640625" style="11" customWidth="1"/>
    <col min="8496" max="8496" width="8.26953125" style="11" customWidth="1"/>
    <col min="8497" max="8497" width="4.7265625" style="11" customWidth="1"/>
    <col min="8498" max="8498" width="0" style="11" hidden="1" customWidth="1"/>
    <col min="8499" max="8499" width="3.26953125" style="11" customWidth="1"/>
    <col min="8500" max="8500" width="0" style="11" hidden="1" customWidth="1"/>
    <col min="8501" max="8501" width="12" style="11" customWidth="1"/>
    <col min="8502" max="8502" width="12.81640625" style="11" customWidth="1"/>
    <col min="8503" max="8503" width="37.7265625" style="11" customWidth="1"/>
    <col min="8504" max="8505" width="8.453125" style="11" customWidth="1"/>
    <col min="8506" max="8506" width="8.54296875" style="11" customWidth="1"/>
    <col min="8507" max="8507" width="8.26953125" style="11" customWidth="1"/>
    <col min="8508" max="8508" width="12.26953125" style="11" customWidth="1"/>
    <col min="8509" max="8511" width="5.453125" style="11" customWidth="1"/>
    <col min="8512" max="8512" width="6.1796875" style="11" customWidth="1"/>
    <col min="8513" max="8513" width="5.1796875" style="11" customWidth="1"/>
    <col min="8514" max="8514" width="6.26953125" style="11" customWidth="1"/>
    <col min="8515" max="8515" width="6.7265625" style="11" customWidth="1"/>
    <col min="8516" max="8516" width="6.1796875" style="11" customWidth="1"/>
    <col min="8517" max="8517" width="6.54296875" style="11" customWidth="1"/>
    <col min="8518" max="8518" width="6.7265625" style="11" customWidth="1"/>
    <col min="8519" max="8519" width="5.7265625" style="11" customWidth="1"/>
    <col min="8520" max="8520" width="6.1796875" style="11" customWidth="1"/>
    <col min="8521" max="8521" width="6" style="11" customWidth="1"/>
    <col min="8522" max="8522" width="6.26953125" style="11" customWidth="1"/>
    <col min="8523" max="8523" width="6.54296875" style="11" customWidth="1"/>
    <col min="8524" max="8524" width="6.1796875" style="11" customWidth="1"/>
    <col min="8525" max="8525" width="5.26953125" style="11" customWidth="1"/>
    <col min="8526" max="8526" width="6.453125" style="11" customWidth="1"/>
    <col min="8527" max="8528" width="6.1796875" style="11" customWidth="1"/>
    <col min="8529" max="8529" width="6.26953125" style="11" customWidth="1"/>
    <col min="8530" max="8530" width="5.26953125" style="11" customWidth="1"/>
    <col min="8531" max="8531" width="6.81640625" style="11" customWidth="1"/>
    <col min="8532" max="8532" width="6.54296875" style="11" customWidth="1"/>
    <col min="8533" max="8533" width="6" style="11" customWidth="1"/>
    <col min="8534" max="8534" width="7" style="11" customWidth="1"/>
    <col min="8535" max="8535" width="6.26953125" style="11" customWidth="1"/>
    <col min="8536" max="8536" width="6.54296875" style="11" customWidth="1"/>
    <col min="8537" max="8537" width="6.7265625" style="11" customWidth="1"/>
    <col min="8538" max="8538" width="5.26953125" style="11" customWidth="1"/>
    <col min="8539" max="8539" width="6" style="11" customWidth="1"/>
    <col min="8540" max="8540" width="5.7265625" style="11" customWidth="1"/>
    <col min="8541" max="8545" width="12.1796875" style="11" bestFit="1" customWidth="1"/>
    <col min="8546" max="8546" width="9.81640625" style="11" bestFit="1" customWidth="1"/>
    <col min="8547" max="8547" width="11" style="11" bestFit="1" customWidth="1"/>
    <col min="8548" max="8548" width="11.26953125" style="11" bestFit="1" customWidth="1"/>
    <col min="8549" max="8549" width="11" style="11" bestFit="1" customWidth="1"/>
    <col min="8550" max="8551" width="9.81640625" style="11" bestFit="1" customWidth="1"/>
    <col min="8552" max="8552" width="10.26953125" style="11" bestFit="1" customWidth="1"/>
    <col min="8553" max="8553" width="12.1796875" style="11" bestFit="1" customWidth="1"/>
    <col min="8554" max="8554" width="11" style="11" bestFit="1" customWidth="1"/>
    <col min="8555" max="8555" width="12.1796875" style="11" bestFit="1" customWidth="1"/>
    <col min="8556" max="8556" width="13.81640625" style="11" bestFit="1" customWidth="1"/>
    <col min="8557" max="8557" width="9.81640625" style="11" bestFit="1" customWidth="1"/>
    <col min="8558" max="8558" width="13.81640625" style="11" bestFit="1" customWidth="1"/>
    <col min="8559" max="8559" width="10.81640625" style="11" bestFit="1" customWidth="1"/>
    <col min="8560" max="8560" width="12.1796875" style="11" bestFit="1" customWidth="1"/>
    <col min="8561" max="8563" width="11" style="11" bestFit="1" customWidth="1"/>
    <col min="8564" max="8564" width="14.26953125" style="11" customWidth="1"/>
    <col min="8565" max="8568" width="10.81640625" style="11" customWidth="1"/>
    <col min="8569" max="8569" width="9.54296875" style="11" customWidth="1"/>
    <col min="8570" max="8571" width="6.7265625" style="11" customWidth="1"/>
    <col min="8572" max="8578" width="8.7265625" style="11" customWidth="1"/>
    <col min="8579" max="8579" width="9.7265625" style="11" bestFit="1" customWidth="1"/>
    <col min="8580" max="8580" width="38.54296875" style="11" bestFit="1" customWidth="1"/>
    <col min="8581" max="8581" width="8.7265625" style="11" bestFit="1" customWidth="1"/>
    <col min="8582" max="8582" width="11.1796875" style="11" bestFit="1" customWidth="1"/>
    <col min="8583" max="8583" width="7.7265625" style="11" bestFit="1" customWidth="1"/>
    <col min="8584" max="8584" width="9.453125" style="11" bestFit="1" customWidth="1"/>
    <col min="8585" max="8585" width="8.7265625" style="11" bestFit="1" customWidth="1"/>
    <col min="8586" max="8586" width="10.453125" style="11" bestFit="1" customWidth="1"/>
    <col min="8587" max="8587" width="9" style="11" bestFit="1" customWidth="1"/>
    <col min="8588" max="8588" width="9.54296875" style="11" bestFit="1" customWidth="1"/>
    <col min="8589" max="8589" width="10.54296875" style="11" bestFit="1" customWidth="1"/>
    <col min="8590" max="8590" width="8.54296875" style="11" bestFit="1" customWidth="1"/>
    <col min="8591" max="8591" width="10.54296875" style="11" bestFit="1" customWidth="1"/>
    <col min="8592" max="8592" width="11" style="11" bestFit="1" customWidth="1"/>
    <col min="8593" max="8593" width="16.54296875" style="11" bestFit="1" customWidth="1"/>
    <col min="8594" max="8594" width="11" style="11" bestFit="1" customWidth="1"/>
    <col min="8595" max="8595" width="10.26953125" style="11" bestFit="1" customWidth="1"/>
    <col min="8596" max="8596" width="12.453125" style="11" bestFit="1" customWidth="1"/>
    <col min="8597" max="8597" width="10.54296875" style="11" bestFit="1" customWidth="1"/>
    <col min="8598" max="8598" width="9" style="11" bestFit="1" customWidth="1"/>
    <col min="8599" max="8599" width="10.54296875" style="11" bestFit="1" customWidth="1"/>
    <col min="8600" max="8600" width="11.1796875" style="11" bestFit="1" customWidth="1"/>
    <col min="8601" max="8601" width="11.453125" style="11" bestFit="1" customWidth="1"/>
    <col min="8602" max="8602" width="12.7265625" style="11" bestFit="1" customWidth="1"/>
    <col min="8603" max="8603" width="13.453125" style="11" bestFit="1" customWidth="1"/>
    <col min="8604" max="8604" width="11.81640625" style="11" bestFit="1" customWidth="1"/>
    <col min="8605" max="8605" width="10.7265625" style="11" bestFit="1" customWidth="1"/>
    <col min="8606" max="8606" width="8.81640625" style="11" bestFit="1" customWidth="1"/>
    <col min="8607" max="8607" width="10" style="11" bestFit="1" customWidth="1"/>
    <col min="8608" max="8608" width="13.1796875" style="11" bestFit="1" customWidth="1"/>
    <col min="8609" max="8609" width="20.7265625" style="11" bestFit="1" customWidth="1"/>
    <col min="8610" max="8610" width="20.7265625" style="11" customWidth="1"/>
    <col min="8611" max="8611" width="9.453125" style="11" bestFit="1" customWidth="1"/>
    <col min="8612" max="8613" width="9.26953125" style="11" bestFit="1" customWidth="1"/>
    <col min="8614" max="8614" width="10.26953125" style="11" bestFit="1" customWidth="1"/>
    <col min="8615" max="8624" width="9.26953125" style="11" bestFit="1" customWidth="1"/>
    <col min="8625" max="8625" width="10.26953125" style="11" bestFit="1" customWidth="1"/>
    <col min="8626" max="8629" width="9.26953125" style="11" bestFit="1" customWidth="1"/>
    <col min="8630" max="8630" width="11.26953125" style="11" bestFit="1" customWidth="1"/>
    <col min="8631" max="8643" width="8.7265625" style="11" customWidth="1"/>
    <col min="8644" max="8644" width="11" style="11" bestFit="1" customWidth="1"/>
    <col min="8645" max="8645" width="4.7265625" style="11" customWidth="1"/>
    <col min="8646" max="8646" width="25.26953125" style="11" customWidth="1"/>
    <col min="8647" max="8647" width="23" style="11" customWidth="1"/>
    <col min="8648" max="8648" width="10.26953125" style="11" bestFit="1" customWidth="1"/>
    <col min="8649" max="8649" width="0" style="11" hidden="1" customWidth="1"/>
    <col min="8650" max="8650" width="31.7265625" style="11" customWidth="1"/>
    <col min="8651" max="8651" width="6" style="11" customWidth="1"/>
    <col min="8652" max="8653" width="10.26953125" style="11" bestFit="1" customWidth="1"/>
    <col min="8654" max="8661" width="8.7265625" style="11" customWidth="1"/>
    <col min="8662" max="8662" width="10.26953125" style="11" bestFit="1" customWidth="1"/>
    <col min="8663" max="8744" width="8.7265625" style="11" customWidth="1"/>
    <col min="8745" max="8745" width="9.1796875" style="11"/>
    <col min="8746" max="8746" width="4.7265625" style="11" customWidth="1"/>
    <col min="8747" max="8747" width="3.54296875" style="11" customWidth="1"/>
    <col min="8748" max="8748" width="5.54296875" style="11" customWidth="1"/>
    <col min="8749" max="8749" width="8.7265625" style="11" customWidth="1"/>
    <col min="8750" max="8750" width="7.453125" style="11" customWidth="1"/>
    <col min="8751" max="8751" width="11.81640625" style="11" customWidth="1"/>
    <col min="8752" max="8752" width="8.26953125" style="11" customWidth="1"/>
    <col min="8753" max="8753" width="4.7265625" style="11" customWidth="1"/>
    <col min="8754" max="8754" width="0" style="11" hidden="1" customWidth="1"/>
    <col min="8755" max="8755" width="3.26953125" style="11" customWidth="1"/>
    <col min="8756" max="8756" width="0" style="11" hidden="1" customWidth="1"/>
    <col min="8757" max="8757" width="12" style="11" customWidth="1"/>
    <col min="8758" max="8758" width="12.81640625" style="11" customWidth="1"/>
    <col min="8759" max="8759" width="37.7265625" style="11" customWidth="1"/>
    <col min="8760" max="8761" width="8.453125" style="11" customWidth="1"/>
    <col min="8762" max="8762" width="8.54296875" style="11" customWidth="1"/>
    <col min="8763" max="8763" width="8.26953125" style="11" customWidth="1"/>
    <col min="8764" max="8764" width="12.26953125" style="11" customWidth="1"/>
    <col min="8765" max="8767" width="5.453125" style="11" customWidth="1"/>
    <col min="8768" max="8768" width="6.1796875" style="11" customWidth="1"/>
    <col min="8769" max="8769" width="5.1796875" style="11" customWidth="1"/>
    <col min="8770" max="8770" width="6.26953125" style="11" customWidth="1"/>
    <col min="8771" max="8771" width="6.7265625" style="11" customWidth="1"/>
    <col min="8772" max="8772" width="6.1796875" style="11" customWidth="1"/>
    <col min="8773" max="8773" width="6.54296875" style="11" customWidth="1"/>
    <col min="8774" max="8774" width="6.7265625" style="11" customWidth="1"/>
    <col min="8775" max="8775" width="5.7265625" style="11" customWidth="1"/>
    <col min="8776" max="8776" width="6.1796875" style="11" customWidth="1"/>
    <col min="8777" max="8777" width="6" style="11" customWidth="1"/>
    <col min="8778" max="8778" width="6.26953125" style="11" customWidth="1"/>
    <col min="8779" max="8779" width="6.54296875" style="11" customWidth="1"/>
    <col min="8780" max="8780" width="6.1796875" style="11" customWidth="1"/>
    <col min="8781" max="8781" width="5.26953125" style="11" customWidth="1"/>
    <col min="8782" max="8782" width="6.453125" style="11" customWidth="1"/>
    <col min="8783" max="8784" width="6.1796875" style="11" customWidth="1"/>
    <col min="8785" max="8785" width="6.26953125" style="11" customWidth="1"/>
    <col min="8786" max="8786" width="5.26953125" style="11" customWidth="1"/>
    <col min="8787" max="8787" width="6.81640625" style="11" customWidth="1"/>
    <col min="8788" max="8788" width="6.54296875" style="11" customWidth="1"/>
    <col min="8789" max="8789" width="6" style="11" customWidth="1"/>
    <col min="8790" max="8790" width="7" style="11" customWidth="1"/>
    <col min="8791" max="8791" width="6.26953125" style="11" customWidth="1"/>
    <col min="8792" max="8792" width="6.54296875" style="11" customWidth="1"/>
    <col min="8793" max="8793" width="6.7265625" style="11" customWidth="1"/>
    <col min="8794" max="8794" width="5.26953125" style="11" customWidth="1"/>
    <col min="8795" max="8795" width="6" style="11" customWidth="1"/>
    <col min="8796" max="8796" width="5.7265625" style="11" customWidth="1"/>
    <col min="8797" max="8801" width="12.1796875" style="11" bestFit="1" customWidth="1"/>
    <col min="8802" max="8802" width="9.81640625" style="11" bestFit="1" customWidth="1"/>
    <col min="8803" max="8803" width="11" style="11" bestFit="1" customWidth="1"/>
    <col min="8804" max="8804" width="11.26953125" style="11" bestFit="1" customWidth="1"/>
    <col min="8805" max="8805" width="11" style="11" bestFit="1" customWidth="1"/>
    <col min="8806" max="8807" width="9.81640625" style="11" bestFit="1" customWidth="1"/>
    <col min="8808" max="8808" width="10.26953125" style="11" bestFit="1" customWidth="1"/>
    <col min="8809" max="8809" width="12.1796875" style="11" bestFit="1" customWidth="1"/>
    <col min="8810" max="8810" width="11" style="11" bestFit="1" customWidth="1"/>
    <col min="8811" max="8811" width="12.1796875" style="11" bestFit="1" customWidth="1"/>
    <col min="8812" max="8812" width="13.81640625" style="11" bestFit="1" customWidth="1"/>
    <col min="8813" max="8813" width="9.81640625" style="11" bestFit="1" customWidth="1"/>
    <col min="8814" max="8814" width="13.81640625" style="11" bestFit="1" customWidth="1"/>
    <col min="8815" max="8815" width="10.81640625" style="11" bestFit="1" customWidth="1"/>
    <col min="8816" max="8816" width="12.1796875" style="11" bestFit="1" customWidth="1"/>
    <col min="8817" max="8819" width="11" style="11" bestFit="1" customWidth="1"/>
    <col min="8820" max="8820" width="14.26953125" style="11" customWidth="1"/>
    <col min="8821" max="8824" width="10.81640625" style="11" customWidth="1"/>
    <col min="8825" max="8825" width="9.54296875" style="11" customWidth="1"/>
    <col min="8826" max="8827" width="6.7265625" style="11" customWidth="1"/>
    <col min="8828" max="8834" width="8.7265625" style="11" customWidth="1"/>
    <col min="8835" max="8835" width="9.7265625" style="11" bestFit="1" customWidth="1"/>
    <col min="8836" max="8836" width="38.54296875" style="11" bestFit="1" customWidth="1"/>
    <col min="8837" max="8837" width="8.7265625" style="11" bestFit="1" customWidth="1"/>
    <col min="8838" max="8838" width="11.1796875" style="11" bestFit="1" customWidth="1"/>
    <col min="8839" max="8839" width="7.7265625" style="11" bestFit="1" customWidth="1"/>
    <col min="8840" max="8840" width="9.453125" style="11" bestFit="1" customWidth="1"/>
    <col min="8841" max="8841" width="8.7265625" style="11" bestFit="1" customWidth="1"/>
    <col min="8842" max="8842" width="10.453125" style="11" bestFit="1" customWidth="1"/>
    <col min="8843" max="8843" width="9" style="11" bestFit="1" customWidth="1"/>
    <col min="8844" max="8844" width="9.54296875" style="11" bestFit="1" customWidth="1"/>
    <col min="8845" max="8845" width="10.54296875" style="11" bestFit="1" customWidth="1"/>
    <col min="8846" max="8846" width="8.54296875" style="11" bestFit="1" customWidth="1"/>
    <col min="8847" max="8847" width="10.54296875" style="11" bestFit="1" customWidth="1"/>
    <col min="8848" max="8848" width="11" style="11" bestFit="1" customWidth="1"/>
    <col min="8849" max="8849" width="16.54296875" style="11" bestFit="1" customWidth="1"/>
    <col min="8850" max="8850" width="11" style="11" bestFit="1" customWidth="1"/>
    <col min="8851" max="8851" width="10.26953125" style="11" bestFit="1" customWidth="1"/>
    <col min="8852" max="8852" width="12.453125" style="11" bestFit="1" customWidth="1"/>
    <col min="8853" max="8853" width="10.54296875" style="11" bestFit="1" customWidth="1"/>
    <col min="8854" max="8854" width="9" style="11" bestFit="1" customWidth="1"/>
    <col min="8855" max="8855" width="10.54296875" style="11" bestFit="1" customWidth="1"/>
    <col min="8856" max="8856" width="11.1796875" style="11" bestFit="1" customWidth="1"/>
    <col min="8857" max="8857" width="11.453125" style="11" bestFit="1" customWidth="1"/>
    <col min="8858" max="8858" width="12.7265625" style="11" bestFit="1" customWidth="1"/>
    <col min="8859" max="8859" width="13.453125" style="11" bestFit="1" customWidth="1"/>
    <col min="8860" max="8860" width="11.81640625" style="11" bestFit="1" customWidth="1"/>
    <col min="8861" max="8861" width="10.7265625" style="11" bestFit="1" customWidth="1"/>
    <col min="8862" max="8862" width="8.81640625" style="11" bestFit="1" customWidth="1"/>
    <col min="8863" max="8863" width="10" style="11" bestFit="1" customWidth="1"/>
    <col min="8864" max="8864" width="13.1796875" style="11" bestFit="1" customWidth="1"/>
    <col min="8865" max="8865" width="20.7265625" style="11" bestFit="1" customWidth="1"/>
    <col min="8866" max="8866" width="20.7265625" style="11" customWidth="1"/>
    <col min="8867" max="8867" width="9.453125" style="11" bestFit="1" customWidth="1"/>
    <col min="8868" max="8869" width="9.26953125" style="11" bestFit="1" customWidth="1"/>
    <col min="8870" max="8870" width="10.26953125" style="11" bestFit="1" customWidth="1"/>
    <col min="8871" max="8880" width="9.26953125" style="11" bestFit="1" customWidth="1"/>
    <col min="8881" max="8881" width="10.26953125" style="11" bestFit="1" customWidth="1"/>
    <col min="8882" max="8885" width="9.26953125" style="11" bestFit="1" customWidth="1"/>
    <col min="8886" max="8886" width="11.26953125" style="11" bestFit="1" customWidth="1"/>
    <col min="8887" max="8899" width="8.7265625" style="11" customWidth="1"/>
    <col min="8900" max="8900" width="11" style="11" bestFit="1" customWidth="1"/>
    <col min="8901" max="8901" width="4.7265625" style="11" customWidth="1"/>
    <col min="8902" max="8902" width="25.26953125" style="11" customWidth="1"/>
    <col min="8903" max="8903" width="23" style="11" customWidth="1"/>
    <col min="8904" max="8904" width="10.26953125" style="11" bestFit="1" customWidth="1"/>
    <col min="8905" max="8905" width="0" style="11" hidden="1" customWidth="1"/>
    <col min="8906" max="8906" width="31.7265625" style="11" customWidth="1"/>
    <col min="8907" max="8907" width="6" style="11" customWidth="1"/>
    <col min="8908" max="8909" width="10.26953125" style="11" bestFit="1" customWidth="1"/>
    <col min="8910" max="8917" width="8.7265625" style="11" customWidth="1"/>
    <col min="8918" max="8918" width="10.26953125" style="11" bestFit="1" customWidth="1"/>
    <col min="8919" max="9000" width="8.7265625" style="11" customWidth="1"/>
    <col min="9001" max="9001" width="9.1796875" style="11"/>
    <col min="9002" max="9002" width="4.7265625" style="11" customWidth="1"/>
    <col min="9003" max="9003" width="3.54296875" style="11" customWidth="1"/>
    <col min="9004" max="9004" width="5.54296875" style="11" customWidth="1"/>
    <col min="9005" max="9005" width="8.7265625" style="11" customWidth="1"/>
    <col min="9006" max="9006" width="7.453125" style="11" customWidth="1"/>
    <col min="9007" max="9007" width="11.81640625" style="11" customWidth="1"/>
    <col min="9008" max="9008" width="8.26953125" style="11" customWidth="1"/>
    <col min="9009" max="9009" width="4.7265625" style="11" customWidth="1"/>
    <col min="9010" max="9010" width="0" style="11" hidden="1" customWidth="1"/>
    <col min="9011" max="9011" width="3.26953125" style="11" customWidth="1"/>
    <col min="9012" max="9012" width="0" style="11" hidden="1" customWidth="1"/>
    <col min="9013" max="9013" width="12" style="11" customWidth="1"/>
    <col min="9014" max="9014" width="12.81640625" style="11" customWidth="1"/>
    <col min="9015" max="9015" width="37.7265625" style="11" customWidth="1"/>
    <col min="9016" max="9017" width="8.453125" style="11" customWidth="1"/>
    <col min="9018" max="9018" width="8.54296875" style="11" customWidth="1"/>
    <col min="9019" max="9019" width="8.26953125" style="11" customWidth="1"/>
    <col min="9020" max="9020" width="12.26953125" style="11" customWidth="1"/>
    <col min="9021" max="9023" width="5.453125" style="11" customWidth="1"/>
    <col min="9024" max="9024" width="6.1796875" style="11" customWidth="1"/>
    <col min="9025" max="9025" width="5.1796875" style="11" customWidth="1"/>
    <col min="9026" max="9026" width="6.26953125" style="11" customWidth="1"/>
    <col min="9027" max="9027" width="6.7265625" style="11" customWidth="1"/>
    <col min="9028" max="9028" width="6.1796875" style="11" customWidth="1"/>
    <col min="9029" max="9029" width="6.54296875" style="11" customWidth="1"/>
    <col min="9030" max="9030" width="6.7265625" style="11" customWidth="1"/>
    <col min="9031" max="9031" width="5.7265625" style="11" customWidth="1"/>
    <col min="9032" max="9032" width="6.1796875" style="11" customWidth="1"/>
    <col min="9033" max="9033" width="6" style="11" customWidth="1"/>
    <col min="9034" max="9034" width="6.26953125" style="11" customWidth="1"/>
    <col min="9035" max="9035" width="6.54296875" style="11" customWidth="1"/>
    <col min="9036" max="9036" width="6.1796875" style="11" customWidth="1"/>
    <col min="9037" max="9037" width="5.26953125" style="11" customWidth="1"/>
    <col min="9038" max="9038" width="6.453125" style="11" customWidth="1"/>
    <col min="9039" max="9040" width="6.1796875" style="11" customWidth="1"/>
    <col min="9041" max="9041" width="6.26953125" style="11" customWidth="1"/>
    <col min="9042" max="9042" width="5.26953125" style="11" customWidth="1"/>
    <col min="9043" max="9043" width="6.81640625" style="11" customWidth="1"/>
    <col min="9044" max="9044" width="6.54296875" style="11" customWidth="1"/>
    <col min="9045" max="9045" width="6" style="11" customWidth="1"/>
    <col min="9046" max="9046" width="7" style="11" customWidth="1"/>
    <col min="9047" max="9047" width="6.26953125" style="11" customWidth="1"/>
    <col min="9048" max="9048" width="6.54296875" style="11" customWidth="1"/>
    <col min="9049" max="9049" width="6.7265625" style="11" customWidth="1"/>
    <col min="9050" max="9050" width="5.26953125" style="11" customWidth="1"/>
    <col min="9051" max="9051" width="6" style="11" customWidth="1"/>
    <col min="9052" max="9052" width="5.7265625" style="11" customWidth="1"/>
    <col min="9053" max="9057" width="12.1796875" style="11" bestFit="1" customWidth="1"/>
    <col min="9058" max="9058" width="9.81640625" style="11" bestFit="1" customWidth="1"/>
    <col min="9059" max="9059" width="11" style="11" bestFit="1" customWidth="1"/>
    <col min="9060" max="9060" width="11.26953125" style="11" bestFit="1" customWidth="1"/>
    <col min="9061" max="9061" width="11" style="11" bestFit="1" customWidth="1"/>
    <col min="9062" max="9063" width="9.81640625" style="11" bestFit="1" customWidth="1"/>
    <col min="9064" max="9064" width="10.26953125" style="11" bestFit="1" customWidth="1"/>
    <col min="9065" max="9065" width="12.1796875" style="11" bestFit="1" customWidth="1"/>
    <col min="9066" max="9066" width="11" style="11" bestFit="1" customWidth="1"/>
    <col min="9067" max="9067" width="12.1796875" style="11" bestFit="1" customWidth="1"/>
    <col min="9068" max="9068" width="13.81640625" style="11" bestFit="1" customWidth="1"/>
    <col min="9069" max="9069" width="9.81640625" style="11" bestFit="1" customWidth="1"/>
    <col min="9070" max="9070" width="13.81640625" style="11" bestFit="1" customWidth="1"/>
    <col min="9071" max="9071" width="10.81640625" style="11" bestFit="1" customWidth="1"/>
    <col min="9072" max="9072" width="12.1796875" style="11" bestFit="1" customWidth="1"/>
    <col min="9073" max="9075" width="11" style="11" bestFit="1" customWidth="1"/>
    <col min="9076" max="9076" width="14.26953125" style="11" customWidth="1"/>
    <col min="9077" max="9080" width="10.81640625" style="11" customWidth="1"/>
    <col min="9081" max="9081" width="9.54296875" style="11" customWidth="1"/>
    <col min="9082" max="9083" width="6.7265625" style="11" customWidth="1"/>
    <col min="9084" max="9090" width="8.7265625" style="11" customWidth="1"/>
    <col min="9091" max="9091" width="9.7265625" style="11" bestFit="1" customWidth="1"/>
    <col min="9092" max="9092" width="38.54296875" style="11" bestFit="1" customWidth="1"/>
    <col min="9093" max="9093" width="8.7265625" style="11" bestFit="1" customWidth="1"/>
    <col min="9094" max="9094" width="11.1796875" style="11" bestFit="1" customWidth="1"/>
    <col min="9095" max="9095" width="7.7265625" style="11" bestFit="1" customWidth="1"/>
    <col min="9096" max="9096" width="9.453125" style="11" bestFit="1" customWidth="1"/>
    <col min="9097" max="9097" width="8.7265625" style="11" bestFit="1" customWidth="1"/>
    <col min="9098" max="9098" width="10.453125" style="11" bestFit="1" customWidth="1"/>
    <col min="9099" max="9099" width="9" style="11" bestFit="1" customWidth="1"/>
    <col min="9100" max="9100" width="9.54296875" style="11" bestFit="1" customWidth="1"/>
    <col min="9101" max="9101" width="10.54296875" style="11" bestFit="1" customWidth="1"/>
    <col min="9102" max="9102" width="8.54296875" style="11" bestFit="1" customWidth="1"/>
    <col min="9103" max="9103" width="10.54296875" style="11" bestFit="1" customWidth="1"/>
    <col min="9104" max="9104" width="11" style="11" bestFit="1" customWidth="1"/>
    <col min="9105" max="9105" width="16.54296875" style="11" bestFit="1" customWidth="1"/>
    <col min="9106" max="9106" width="11" style="11" bestFit="1" customWidth="1"/>
    <col min="9107" max="9107" width="10.26953125" style="11" bestFit="1" customWidth="1"/>
    <col min="9108" max="9108" width="12.453125" style="11" bestFit="1" customWidth="1"/>
    <col min="9109" max="9109" width="10.54296875" style="11" bestFit="1" customWidth="1"/>
    <col min="9110" max="9110" width="9" style="11" bestFit="1" customWidth="1"/>
    <col min="9111" max="9111" width="10.54296875" style="11" bestFit="1" customWidth="1"/>
    <col min="9112" max="9112" width="11.1796875" style="11" bestFit="1" customWidth="1"/>
    <col min="9113" max="9113" width="11.453125" style="11" bestFit="1" customWidth="1"/>
    <col min="9114" max="9114" width="12.7265625" style="11" bestFit="1" customWidth="1"/>
    <col min="9115" max="9115" width="13.453125" style="11" bestFit="1" customWidth="1"/>
    <col min="9116" max="9116" width="11.81640625" style="11" bestFit="1" customWidth="1"/>
    <col min="9117" max="9117" width="10.7265625" style="11" bestFit="1" customWidth="1"/>
    <col min="9118" max="9118" width="8.81640625" style="11" bestFit="1" customWidth="1"/>
    <col min="9119" max="9119" width="10" style="11" bestFit="1" customWidth="1"/>
    <col min="9120" max="9120" width="13.1796875" style="11" bestFit="1" customWidth="1"/>
    <col min="9121" max="9121" width="20.7265625" style="11" bestFit="1" customWidth="1"/>
    <col min="9122" max="9122" width="20.7265625" style="11" customWidth="1"/>
    <col min="9123" max="9123" width="9.453125" style="11" bestFit="1" customWidth="1"/>
    <col min="9124" max="9125" width="9.26953125" style="11" bestFit="1" customWidth="1"/>
    <col min="9126" max="9126" width="10.26953125" style="11" bestFit="1" customWidth="1"/>
    <col min="9127" max="9136" width="9.26953125" style="11" bestFit="1" customWidth="1"/>
    <col min="9137" max="9137" width="10.26953125" style="11" bestFit="1" customWidth="1"/>
    <col min="9138" max="9141" width="9.26953125" style="11" bestFit="1" customWidth="1"/>
    <col min="9142" max="9142" width="11.26953125" style="11" bestFit="1" customWidth="1"/>
    <col min="9143" max="9155" width="8.7265625" style="11" customWidth="1"/>
    <col min="9156" max="9156" width="11" style="11" bestFit="1" customWidth="1"/>
    <col min="9157" max="9157" width="4.7265625" style="11" customWidth="1"/>
    <col min="9158" max="9158" width="25.26953125" style="11" customWidth="1"/>
    <col min="9159" max="9159" width="23" style="11" customWidth="1"/>
    <col min="9160" max="9160" width="10.26953125" style="11" bestFit="1" customWidth="1"/>
    <col min="9161" max="9161" width="0" style="11" hidden="1" customWidth="1"/>
    <col min="9162" max="9162" width="31.7265625" style="11" customWidth="1"/>
    <col min="9163" max="9163" width="6" style="11" customWidth="1"/>
    <col min="9164" max="9165" width="10.26953125" style="11" bestFit="1" customWidth="1"/>
    <col min="9166" max="9173" width="8.7265625" style="11" customWidth="1"/>
    <col min="9174" max="9174" width="10.26953125" style="11" bestFit="1" customWidth="1"/>
    <col min="9175" max="9256" width="8.7265625" style="11" customWidth="1"/>
    <col min="9257" max="9257" width="9.1796875" style="11"/>
    <col min="9258" max="9258" width="4.7265625" style="11" customWidth="1"/>
    <col min="9259" max="9259" width="3.54296875" style="11" customWidth="1"/>
    <col min="9260" max="9260" width="5.54296875" style="11" customWidth="1"/>
    <col min="9261" max="9261" width="8.7265625" style="11" customWidth="1"/>
    <col min="9262" max="9262" width="7.453125" style="11" customWidth="1"/>
    <col min="9263" max="9263" width="11.81640625" style="11" customWidth="1"/>
    <col min="9264" max="9264" width="8.26953125" style="11" customWidth="1"/>
    <col min="9265" max="9265" width="4.7265625" style="11" customWidth="1"/>
    <col min="9266" max="9266" width="0" style="11" hidden="1" customWidth="1"/>
    <col min="9267" max="9267" width="3.26953125" style="11" customWidth="1"/>
    <col min="9268" max="9268" width="0" style="11" hidden="1" customWidth="1"/>
    <col min="9269" max="9269" width="12" style="11" customWidth="1"/>
    <col min="9270" max="9270" width="12.81640625" style="11" customWidth="1"/>
    <col min="9271" max="9271" width="37.7265625" style="11" customWidth="1"/>
    <col min="9272" max="9273" width="8.453125" style="11" customWidth="1"/>
    <col min="9274" max="9274" width="8.54296875" style="11" customWidth="1"/>
    <col min="9275" max="9275" width="8.26953125" style="11" customWidth="1"/>
    <col min="9276" max="9276" width="12.26953125" style="11" customWidth="1"/>
    <col min="9277" max="9279" width="5.453125" style="11" customWidth="1"/>
    <col min="9280" max="9280" width="6.1796875" style="11" customWidth="1"/>
    <col min="9281" max="9281" width="5.1796875" style="11" customWidth="1"/>
    <col min="9282" max="9282" width="6.26953125" style="11" customWidth="1"/>
    <col min="9283" max="9283" width="6.7265625" style="11" customWidth="1"/>
    <col min="9284" max="9284" width="6.1796875" style="11" customWidth="1"/>
    <col min="9285" max="9285" width="6.54296875" style="11" customWidth="1"/>
    <col min="9286" max="9286" width="6.7265625" style="11" customWidth="1"/>
    <col min="9287" max="9287" width="5.7265625" style="11" customWidth="1"/>
    <col min="9288" max="9288" width="6.1796875" style="11" customWidth="1"/>
    <col min="9289" max="9289" width="6" style="11" customWidth="1"/>
    <col min="9290" max="9290" width="6.26953125" style="11" customWidth="1"/>
    <col min="9291" max="9291" width="6.54296875" style="11" customWidth="1"/>
    <col min="9292" max="9292" width="6.1796875" style="11" customWidth="1"/>
    <col min="9293" max="9293" width="5.26953125" style="11" customWidth="1"/>
    <col min="9294" max="9294" width="6.453125" style="11" customWidth="1"/>
    <col min="9295" max="9296" width="6.1796875" style="11" customWidth="1"/>
    <col min="9297" max="9297" width="6.26953125" style="11" customWidth="1"/>
    <col min="9298" max="9298" width="5.26953125" style="11" customWidth="1"/>
    <col min="9299" max="9299" width="6.81640625" style="11" customWidth="1"/>
    <col min="9300" max="9300" width="6.54296875" style="11" customWidth="1"/>
    <col min="9301" max="9301" width="6" style="11" customWidth="1"/>
    <col min="9302" max="9302" width="7" style="11" customWidth="1"/>
    <col min="9303" max="9303" width="6.26953125" style="11" customWidth="1"/>
    <col min="9304" max="9304" width="6.54296875" style="11" customWidth="1"/>
    <col min="9305" max="9305" width="6.7265625" style="11" customWidth="1"/>
    <col min="9306" max="9306" width="5.26953125" style="11" customWidth="1"/>
    <col min="9307" max="9307" width="6" style="11" customWidth="1"/>
    <col min="9308" max="9308" width="5.7265625" style="11" customWidth="1"/>
    <col min="9309" max="9313" width="12.1796875" style="11" bestFit="1" customWidth="1"/>
    <col min="9314" max="9314" width="9.81640625" style="11" bestFit="1" customWidth="1"/>
    <col min="9315" max="9315" width="11" style="11" bestFit="1" customWidth="1"/>
    <col min="9316" max="9316" width="11.26953125" style="11" bestFit="1" customWidth="1"/>
    <col min="9317" max="9317" width="11" style="11" bestFit="1" customWidth="1"/>
    <col min="9318" max="9319" width="9.81640625" style="11" bestFit="1" customWidth="1"/>
    <col min="9320" max="9320" width="10.26953125" style="11" bestFit="1" customWidth="1"/>
    <col min="9321" max="9321" width="12.1796875" style="11" bestFit="1" customWidth="1"/>
    <col min="9322" max="9322" width="11" style="11" bestFit="1" customWidth="1"/>
    <col min="9323" max="9323" width="12.1796875" style="11" bestFit="1" customWidth="1"/>
    <col min="9324" max="9324" width="13.81640625" style="11" bestFit="1" customWidth="1"/>
    <col min="9325" max="9325" width="9.81640625" style="11" bestFit="1" customWidth="1"/>
    <col min="9326" max="9326" width="13.81640625" style="11" bestFit="1" customWidth="1"/>
    <col min="9327" max="9327" width="10.81640625" style="11" bestFit="1" customWidth="1"/>
    <col min="9328" max="9328" width="12.1796875" style="11" bestFit="1" customWidth="1"/>
    <col min="9329" max="9331" width="11" style="11" bestFit="1" customWidth="1"/>
    <col min="9332" max="9332" width="14.26953125" style="11" customWidth="1"/>
    <col min="9333" max="9336" width="10.81640625" style="11" customWidth="1"/>
    <col min="9337" max="9337" width="9.54296875" style="11" customWidth="1"/>
    <col min="9338" max="9339" width="6.7265625" style="11" customWidth="1"/>
    <col min="9340" max="9346" width="8.7265625" style="11" customWidth="1"/>
    <col min="9347" max="9347" width="9.7265625" style="11" bestFit="1" customWidth="1"/>
    <col min="9348" max="9348" width="38.54296875" style="11" bestFit="1" customWidth="1"/>
    <col min="9349" max="9349" width="8.7265625" style="11" bestFit="1" customWidth="1"/>
    <col min="9350" max="9350" width="11.1796875" style="11" bestFit="1" customWidth="1"/>
    <col min="9351" max="9351" width="7.7265625" style="11" bestFit="1" customWidth="1"/>
    <col min="9352" max="9352" width="9.453125" style="11" bestFit="1" customWidth="1"/>
    <col min="9353" max="9353" width="8.7265625" style="11" bestFit="1" customWidth="1"/>
    <col min="9354" max="9354" width="10.453125" style="11" bestFit="1" customWidth="1"/>
    <col min="9355" max="9355" width="9" style="11" bestFit="1" customWidth="1"/>
    <col min="9356" max="9356" width="9.54296875" style="11" bestFit="1" customWidth="1"/>
    <col min="9357" max="9357" width="10.54296875" style="11" bestFit="1" customWidth="1"/>
    <col min="9358" max="9358" width="8.54296875" style="11" bestFit="1" customWidth="1"/>
    <col min="9359" max="9359" width="10.54296875" style="11" bestFit="1" customWidth="1"/>
    <col min="9360" max="9360" width="11" style="11" bestFit="1" customWidth="1"/>
    <col min="9361" max="9361" width="16.54296875" style="11" bestFit="1" customWidth="1"/>
    <col min="9362" max="9362" width="11" style="11" bestFit="1" customWidth="1"/>
    <col min="9363" max="9363" width="10.26953125" style="11" bestFit="1" customWidth="1"/>
    <col min="9364" max="9364" width="12.453125" style="11" bestFit="1" customWidth="1"/>
    <col min="9365" max="9365" width="10.54296875" style="11" bestFit="1" customWidth="1"/>
    <col min="9366" max="9366" width="9" style="11" bestFit="1" customWidth="1"/>
    <col min="9367" max="9367" width="10.54296875" style="11" bestFit="1" customWidth="1"/>
    <col min="9368" max="9368" width="11.1796875" style="11" bestFit="1" customWidth="1"/>
    <col min="9369" max="9369" width="11.453125" style="11" bestFit="1" customWidth="1"/>
    <col min="9370" max="9370" width="12.7265625" style="11" bestFit="1" customWidth="1"/>
    <col min="9371" max="9371" width="13.453125" style="11" bestFit="1" customWidth="1"/>
    <col min="9372" max="9372" width="11.81640625" style="11" bestFit="1" customWidth="1"/>
    <col min="9373" max="9373" width="10.7265625" style="11" bestFit="1" customWidth="1"/>
    <col min="9374" max="9374" width="8.81640625" style="11" bestFit="1" customWidth="1"/>
    <col min="9375" max="9375" width="10" style="11" bestFit="1" customWidth="1"/>
    <col min="9376" max="9376" width="13.1796875" style="11" bestFit="1" customWidth="1"/>
    <col min="9377" max="9377" width="20.7265625" style="11" bestFit="1" customWidth="1"/>
    <col min="9378" max="9378" width="20.7265625" style="11" customWidth="1"/>
    <col min="9379" max="9379" width="9.453125" style="11" bestFit="1" customWidth="1"/>
    <col min="9380" max="9381" width="9.26953125" style="11" bestFit="1" customWidth="1"/>
    <col min="9382" max="9382" width="10.26953125" style="11" bestFit="1" customWidth="1"/>
    <col min="9383" max="9392" width="9.26953125" style="11" bestFit="1" customWidth="1"/>
    <col min="9393" max="9393" width="10.26953125" style="11" bestFit="1" customWidth="1"/>
    <col min="9394" max="9397" width="9.26953125" style="11" bestFit="1" customWidth="1"/>
    <col min="9398" max="9398" width="11.26953125" style="11" bestFit="1" customWidth="1"/>
    <col min="9399" max="9411" width="8.7265625" style="11" customWidth="1"/>
    <col min="9412" max="9412" width="11" style="11" bestFit="1" customWidth="1"/>
    <col min="9413" max="9413" width="4.7265625" style="11" customWidth="1"/>
    <col min="9414" max="9414" width="25.26953125" style="11" customWidth="1"/>
    <col min="9415" max="9415" width="23" style="11" customWidth="1"/>
    <col min="9416" max="9416" width="10.26953125" style="11" bestFit="1" customWidth="1"/>
    <col min="9417" max="9417" width="0" style="11" hidden="1" customWidth="1"/>
    <col min="9418" max="9418" width="31.7265625" style="11" customWidth="1"/>
    <col min="9419" max="9419" width="6" style="11" customWidth="1"/>
    <col min="9420" max="9421" width="10.26953125" style="11" bestFit="1" customWidth="1"/>
    <col min="9422" max="9429" width="8.7265625" style="11" customWidth="1"/>
    <col min="9430" max="9430" width="10.26953125" style="11" bestFit="1" customWidth="1"/>
    <col min="9431" max="9512" width="8.7265625" style="11" customWidth="1"/>
    <col min="9513" max="9513" width="9.1796875" style="11"/>
    <col min="9514" max="9514" width="4.7265625" style="11" customWidth="1"/>
    <col min="9515" max="9515" width="3.54296875" style="11" customWidth="1"/>
    <col min="9516" max="9516" width="5.54296875" style="11" customWidth="1"/>
    <col min="9517" max="9517" width="8.7265625" style="11" customWidth="1"/>
    <col min="9518" max="9518" width="7.453125" style="11" customWidth="1"/>
    <col min="9519" max="9519" width="11.81640625" style="11" customWidth="1"/>
    <col min="9520" max="9520" width="8.26953125" style="11" customWidth="1"/>
    <col min="9521" max="9521" width="4.7265625" style="11" customWidth="1"/>
    <col min="9522" max="9522" width="0" style="11" hidden="1" customWidth="1"/>
    <col min="9523" max="9523" width="3.26953125" style="11" customWidth="1"/>
    <col min="9524" max="9524" width="0" style="11" hidden="1" customWidth="1"/>
    <col min="9525" max="9525" width="12" style="11" customWidth="1"/>
    <col min="9526" max="9526" width="12.81640625" style="11" customWidth="1"/>
    <col min="9527" max="9527" width="37.7265625" style="11" customWidth="1"/>
    <col min="9528" max="9529" width="8.453125" style="11" customWidth="1"/>
    <col min="9530" max="9530" width="8.54296875" style="11" customWidth="1"/>
    <col min="9531" max="9531" width="8.26953125" style="11" customWidth="1"/>
    <col min="9532" max="9532" width="12.26953125" style="11" customWidth="1"/>
    <col min="9533" max="9535" width="5.453125" style="11" customWidth="1"/>
    <col min="9536" max="9536" width="6.1796875" style="11" customWidth="1"/>
    <col min="9537" max="9537" width="5.1796875" style="11" customWidth="1"/>
    <col min="9538" max="9538" width="6.26953125" style="11" customWidth="1"/>
    <col min="9539" max="9539" width="6.7265625" style="11" customWidth="1"/>
    <col min="9540" max="9540" width="6.1796875" style="11" customWidth="1"/>
    <col min="9541" max="9541" width="6.54296875" style="11" customWidth="1"/>
    <col min="9542" max="9542" width="6.7265625" style="11" customWidth="1"/>
    <col min="9543" max="9543" width="5.7265625" style="11" customWidth="1"/>
    <col min="9544" max="9544" width="6.1796875" style="11" customWidth="1"/>
    <col min="9545" max="9545" width="6" style="11" customWidth="1"/>
    <col min="9546" max="9546" width="6.26953125" style="11" customWidth="1"/>
    <col min="9547" max="9547" width="6.54296875" style="11" customWidth="1"/>
    <col min="9548" max="9548" width="6.1796875" style="11" customWidth="1"/>
    <col min="9549" max="9549" width="5.26953125" style="11" customWidth="1"/>
    <col min="9550" max="9550" width="6.453125" style="11" customWidth="1"/>
    <col min="9551" max="9552" width="6.1796875" style="11" customWidth="1"/>
    <col min="9553" max="9553" width="6.26953125" style="11" customWidth="1"/>
    <col min="9554" max="9554" width="5.26953125" style="11" customWidth="1"/>
    <col min="9555" max="9555" width="6.81640625" style="11" customWidth="1"/>
    <col min="9556" max="9556" width="6.54296875" style="11" customWidth="1"/>
    <col min="9557" max="9557" width="6" style="11" customWidth="1"/>
    <col min="9558" max="9558" width="7" style="11" customWidth="1"/>
    <col min="9559" max="9559" width="6.26953125" style="11" customWidth="1"/>
    <col min="9560" max="9560" width="6.54296875" style="11" customWidth="1"/>
    <col min="9561" max="9561" width="6.7265625" style="11" customWidth="1"/>
    <col min="9562" max="9562" width="5.26953125" style="11" customWidth="1"/>
    <col min="9563" max="9563" width="6" style="11" customWidth="1"/>
    <col min="9564" max="9564" width="5.7265625" style="11" customWidth="1"/>
    <col min="9565" max="9569" width="12.1796875" style="11" bestFit="1" customWidth="1"/>
    <col min="9570" max="9570" width="9.81640625" style="11" bestFit="1" customWidth="1"/>
    <col min="9571" max="9571" width="11" style="11" bestFit="1" customWidth="1"/>
    <col min="9572" max="9572" width="11.26953125" style="11" bestFit="1" customWidth="1"/>
    <col min="9573" max="9573" width="11" style="11" bestFit="1" customWidth="1"/>
    <col min="9574" max="9575" width="9.81640625" style="11" bestFit="1" customWidth="1"/>
    <col min="9576" max="9576" width="10.26953125" style="11" bestFit="1" customWidth="1"/>
    <col min="9577" max="9577" width="12.1796875" style="11" bestFit="1" customWidth="1"/>
    <col min="9578" max="9578" width="11" style="11" bestFit="1" customWidth="1"/>
    <col min="9579" max="9579" width="12.1796875" style="11" bestFit="1" customWidth="1"/>
    <col min="9580" max="9580" width="13.81640625" style="11" bestFit="1" customWidth="1"/>
    <col min="9581" max="9581" width="9.81640625" style="11" bestFit="1" customWidth="1"/>
    <col min="9582" max="9582" width="13.81640625" style="11" bestFit="1" customWidth="1"/>
    <col min="9583" max="9583" width="10.81640625" style="11" bestFit="1" customWidth="1"/>
    <col min="9584" max="9584" width="12.1796875" style="11" bestFit="1" customWidth="1"/>
    <col min="9585" max="9587" width="11" style="11" bestFit="1" customWidth="1"/>
    <col min="9588" max="9588" width="14.26953125" style="11" customWidth="1"/>
    <col min="9589" max="9592" width="10.81640625" style="11" customWidth="1"/>
    <col min="9593" max="9593" width="9.54296875" style="11" customWidth="1"/>
    <col min="9594" max="9595" width="6.7265625" style="11" customWidth="1"/>
    <col min="9596" max="9602" width="8.7265625" style="11" customWidth="1"/>
    <col min="9603" max="9603" width="9.7265625" style="11" bestFit="1" customWidth="1"/>
    <col min="9604" max="9604" width="38.54296875" style="11" bestFit="1" customWidth="1"/>
    <col min="9605" max="9605" width="8.7265625" style="11" bestFit="1" customWidth="1"/>
    <col min="9606" max="9606" width="11.1796875" style="11" bestFit="1" customWidth="1"/>
    <col min="9607" max="9607" width="7.7265625" style="11" bestFit="1" customWidth="1"/>
    <col min="9608" max="9608" width="9.453125" style="11" bestFit="1" customWidth="1"/>
    <col min="9609" max="9609" width="8.7265625" style="11" bestFit="1" customWidth="1"/>
    <col min="9610" max="9610" width="10.453125" style="11" bestFit="1" customWidth="1"/>
    <col min="9611" max="9611" width="9" style="11" bestFit="1" customWidth="1"/>
    <col min="9612" max="9612" width="9.54296875" style="11" bestFit="1" customWidth="1"/>
    <col min="9613" max="9613" width="10.54296875" style="11" bestFit="1" customWidth="1"/>
    <col min="9614" max="9614" width="8.54296875" style="11" bestFit="1" customWidth="1"/>
    <col min="9615" max="9615" width="10.54296875" style="11" bestFit="1" customWidth="1"/>
    <col min="9616" max="9616" width="11" style="11" bestFit="1" customWidth="1"/>
    <col min="9617" max="9617" width="16.54296875" style="11" bestFit="1" customWidth="1"/>
    <col min="9618" max="9618" width="11" style="11" bestFit="1" customWidth="1"/>
    <col min="9619" max="9619" width="10.26953125" style="11" bestFit="1" customWidth="1"/>
    <col min="9620" max="9620" width="12.453125" style="11" bestFit="1" customWidth="1"/>
    <col min="9621" max="9621" width="10.54296875" style="11" bestFit="1" customWidth="1"/>
    <col min="9622" max="9622" width="9" style="11" bestFit="1" customWidth="1"/>
    <col min="9623" max="9623" width="10.54296875" style="11" bestFit="1" customWidth="1"/>
    <col min="9624" max="9624" width="11.1796875" style="11" bestFit="1" customWidth="1"/>
    <col min="9625" max="9625" width="11.453125" style="11" bestFit="1" customWidth="1"/>
    <col min="9626" max="9626" width="12.7265625" style="11" bestFit="1" customWidth="1"/>
    <col min="9627" max="9627" width="13.453125" style="11" bestFit="1" customWidth="1"/>
    <col min="9628" max="9628" width="11.81640625" style="11" bestFit="1" customWidth="1"/>
    <col min="9629" max="9629" width="10.7265625" style="11" bestFit="1" customWidth="1"/>
    <col min="9630" max="9630" width="8.81640625" style="11" bestFit="1" customWidth="1"/>
    <col min="9631" max="9631" width="10" style="11" bestFit="1" customWidth="1"/>
    <col min="9632" max="9632" width="13.1796875" style="11" bestFit="1" customWidth="1"/>
    <col min="9633" max="9633" width="20.7265625" style="11" bestFit="1" customWidth="1"/>
    <col min="9634" max="9634" width="20.7265625" style="11" customWidth="1"/>
    <col min="9635" max="9635" width="9.453125" style="11" bestFit="1" customWidth="1"/>
    <col min="9636" max="9637" width="9.26953125" style="11" bestFit="1" customWidth="1"/>
    <col min="9638" max="9638" width="10.26953125" style="11" bestFit="1" customWidth="1"/>
    <col min="9639" max="9648" width="9.26953125" style="11" bestFit="1" customWidth="1"/>
    <col min="9649" max="9649" width="10.26953125" style="11" bestFit="1" customWidth="1"/>
    <col min="9650" max="9653" width="9.26953125" style="11" bestFit="1" customWidth="1"/>
    <col min="9654" max="9654" width="11.26953125" style="11" bestFit="1" customWidth="1"/>
    <col min="9655" max="9667" width="8.7265625" style="11" customWidth="1"/>
    <col min="9668" max="9668" width="11" style="11" bestFit="1" customWidth="1"/>
    <col min="9669" max="9669" width="4.7265625" style="11" customWidth="1"/>
    <col min="9670" max="9670" width="25.26953125" style="11" customWidth="1"/>
    <col min="9671" max="9671" width="23" style="11" customWidth="1"/>
    <col min="9672" max="9672" width="10.26953125" style="11" bestFit="1" customWidth="1"/>
    <col min="9673" max="9673" width="0" style="11" hidden="1" customWidth="1"/>
    <col min="9674" max="9674" width="31.7265625" style="11" customWidth="1"/>
    <col min="9675" max="9675" width="6" style="11" customWidth="1"/>
    <col min="9676" max="9677" width="10.26953125" style="11" bestFit="1" customWidth="1"/>
    <col min="9678" max="9685" width="8.7265625" style="11" customWidth="1"/>
    <col min="9686" max="9686" width="10.26953125" style="11" bestFit="1" customWidth="1"/>
    <col min="9687" max="9768" width="8.7265625" style="11" customWidth="1"/>
    <col min="9769" max="9769" width="9.1796875" style="11"/>
    <col min="9770" max="9770" width="4.7265625" style="11" customWidth="1"/>
    <col min="9771" max="9771" width="3.54296875" style="11" customWidth="1"/>
    <col min="9772" max="9772" width="5.54296875" style="11" customWidth="1"/>
    <col min="9773" max="9773" width="8.7265625" style="11" customWidth="1"/>
    <col min="9774" max="9774" width="7.453125" style="11" customWidth="1"/>
    <col min="9775" max="9775" width="11.81640625" style="11" customWidth="1"/>
    <col min="9776" max="9776" width="8.26953125" style="11" customWidth="1"/>
    <col min="9777" max="9777" width="4.7265625" style="11" customWidth="1"/>
    <col min="9778" max="9778" width="0" style="11" hidden="1" customWidth="1"/>
    <col min="9779" max="9779" width="3.26953125" style="11" customWidth="1"/>
    <col min="9780" max="9780" width="0" style="11" hidden="1" customWidth="1"/>
    <col min="9781" max="9781" width="12" style="11" customWidth="1"/>
    <col min="9782" max="9782" width="12.81640625" style="11" customWidth="1"/>
    <col min="9783" max="9783" width="37.7265625" style="11" customWidth="1"/>
    <col min="9784" max="9785" width="8.453125" style="11" customWidth="1"/>
    <col min="9786" max="9786" width="8.54296875" style="11" customWidth="1"/>
    <col min="9787" max="9787" width="8.26953125" style="11" customWidth="1"/>
    <col min="9788" max="9788" width="12.26953125" style="11" customWidth="1"/>
    <col min="9789" max="9791" width="5.453125" style="11" customWidth="1"/>
    <col min="9792" max="9792" width="6.1796875" style="11" customWidth="1"/>
    <col min="9793" max="9793" width="5.1796875" style="11" customWidth="1"/>
    <col min="9794" max="9794" width="6.26953125" style="11" customWidth="1"/>
    <col min="9795" max="9795" width="6.7265625" style="11" customWidth="1"/>
    <col min="9796" max="9796" width="6.1796875" style="11" customWidth="1"/>
    <col min="9797" max="9797" width="6.54296875" style="11" customWidth="1"/>
    <col min="9798" max="9798" width="6.7265625" style="11" customWidth="1"/>
    <col min="9799" max="9799" width="5.7265625" style="11" customWidth="1"/>
    <col min="9800" max="9800" width="6.1796875" style="11" customWidth="1"/>
    <col min="9801" max="9801" width="6" style="11" customWidth="1"/>
    <col min="9802" max="9802" width="6.26953125" style="11" customWidth="1"/>
    <col min="9803" max="9803" width="6.54296875" style="11" customWidth="1"/>
    <col min="9804" max="9804" width="6.1796875" style="11" customWidth="1"/>
    <col min="9805" max="9805" width="5.26953125" style="11" customWidth="1"/>
    <col min="9806" max="9806" width="6.453125" style="11" customWidth="1"/>
    <col min="9807" max="9808" width="6.1796875" style="11" customWidth="1"/>
    <col min="9809" max="9809" width="6.26953125" style="11" customWidth="1"/>
    <col min="9810" max="9810" width="5.26953125" style="11" customWidth="1"/>
    <col min="9811" max="9811" width="6.81640625" style="11" customWidth="1"/>
    <col min="9812" max="9812" width="6.54296875" style="11" customWidth="1"/>
    <col min="9813" max="9813" width="6" style="11" customWidth="1"/>
    <col min="9814" max="9814" width="7" style="11" customWidth="1"/>
    <col min="9815" max="9815" width="6.26953125" style="11" customWidth="1"/>
    <col min="9816" max="9816" width="6.54296875" style="11" customWidth="1"/>
    <col min="9817" max="9817" width="6.7265625" style="11" customWidth="1"/>
    <col min="9818" max="9818" width="5.26953125" style="11" customWidth="1"/>
    <col min="9819" max="9819" width="6" style="11" customWidth="1"/>
    <col min="9820" max="9820" width="5.7265625" style="11" customWidth="1"/>
    <col min="9821" max="9825" width="12.1796875" style="11" bestFit="1" customWidth="1"/>
    <col min="9826" max="9826" width="9.81640625" style="11" bestFit="1" customWidth="1"/>
    <col min="9827" max="9827" width="11" style="11" bestFit="1" customWidth="1"/>
    <col min="9828" max="9828" width="11.26953125" style="11" bestFit="1" customWidth="1"/>
    <col min="9829" max="9829" width="11" style="11" bestFit="1" customWidth="1"/>
    <col min="9830" max="9831" width="9.81640625" style="11" bestFit="1" customWidth="1"/>
    <col min="9832" max="9832" width="10.26953125" style="11" bestFit="1" customWidth="1"/>
    <col min="9833" max="9833" width="12.1796875" style="11" bestFit="1" customWidth="1"/>
    <col min="9834" max="9834" width="11" style="11" bestFit="1" customWidth="1"/>
    <col min="9835" max="9835" width="12.1796875" style="11" bestFit="1" customWidth="1"/>
    <col min="9836" max="9836" width="13.81640625" style="11" bestFit="1" customWidth="1"/>
    <col min="9837" max="9837" width="9.81640625" style="11" bestFit="1" customWidth="1"/>
    <col min="9838" max="9838" width="13.81640625" style="11" bestFit="1" customWidth="1"/>
    <col min="9839" max="9839" width="10.81640625" style="11" bestFit="1" customWidth="1"/>
    <col min="9840" max="9840" width="12.1796875" style="11" bestFit="1" customWidth="1"/>
    <col min="9841" max="9843" width="11" style="11" bestFit="1" customWidth="1"/>
    <col min="9844" max="9844" width="14.26953125" style="11" customWidth="1"/>
    <col min="9845" max="9848" width="10.81640625" style="11" customWidth="1"/>
    <col min="9849" max="9849" width="9.54296875" style="11" customWidth="1"/>
    <col min="9850" max="9851" width="6.7265625" style="11" customWidth="1"/>
    <col min="9852" max="9858" width="8.7265625" style="11" customWidth="1"/>
    <col min="9859" max="9859" width="9.7265625" style="11" bestFit="1" customWidth="1"/>
    <col min="9860" max="9860" width="38.54296875" style="11" bestFit="1" customWidth="1"/>
    <col min="9861" max="9861" width="8.7265625" style="11" bestFit="1" customWidth="1"/>
    <col min="9862" max="9862" width="11.1796875" style="11" bestFit="1" customWidth="1"/>
    <col min="9863" max="9863" width="7.7265625" style="11" bestFit="1" customWidth="1"/>
    <col min="9864" max="9864" width="9.453125" style="11" bestFit="1" customWidth="1"/>
    <col min="9865" max="9865" width="8.7265625" style="11" bestFit="1" customWidth="1"/>
    <col min="9866" max="9866" width="10.453125" style="11" bestFit="1" customWidth="1"/>
    <col min="9867" max="9867" width="9" style="11" bestFit="1" customWidth="1"/>
    <col min="9868" max="9868" width="9.54296875" style="11" bestFit="1" customWidth="1"/>
    <col min="9869" max="9869" width="10.54296875" style="11" bestFit="1" customWidth="1"/>
    <col min="9870" max="9870" width="8.54296875" style="11" bestFit="1" customWidth="1"/>
    <col min="9871" max="9871" width="10.54296875" style="11" bestFit="1" customWidth="1"/>
    <col min="9872" max="9872" width="11" style="11" bestFit="1" customWidth="1"/>
    <col min="9873" max="9873" width="16.54296875" style="11" bestFit="1" customWidth="1"/>
    <col min="9874" max="9874" width="11" style="11" bestFit="1" customWidth="1"/>
    <col min="9875" max="9875" width="10.26953125" style="11" bestFit="1" customWidth="1"/>
    <col min="9876" max="9876" width="12.453125" style="11" bestFit="1" customWidth="1"/>
    <col min="9877" max="9877" width="10.54296875" style="11" bestFit="1" customWidth="1"/>
    <col min="9878" max="9878" width="9" style="11" bestFit="1" customWidth="1"/>
    <col min="9879" max="9879" width="10.54296875" style="11" bestFit="1" customWidth="1"/>
    <col min="9880" max="9880" width="11.1796875" style="11" bestFit="1" customWidth="1"/>
    <col min="9881" max="9881" width="11.453125" style="11" bestFit="1" customWidth="1"/>
    <col min="9882" max="9882" width="12.7265625" style="11" bestFit="1" customWidth="1"/>
    <col min="9883" max="9883" width="13.453125" style="11" bestFit="1" customWidth="1"/>
    <col min="9884" max="9884" width="11.81640625" style="11" bestFit="1" customWidth="1"/>
    <col min="9885" max="9885" width="10.7265625" style="11" bestFit="1" customWidth="1"/>
    <col min="9886" max="9886" width="8.81640625" style="11" bestFit="1" customWidth="1"/>
    <col min="9887" max="9887" width="10" style="11" bestFit="1" customWidth="1"/>
    <col min="9888" max="9888" width="13.1796875" style="11" bestFit="1" customWidth="1"/>
    <col min="9889" max="9889" width="20.7265625" style="11" bestFit="1" customWidth="1"/>
    <col min="9890" max="9890" width="20.7265625" style="11" customWidth="1"/>
    <col min="9891" max="9891" width="9.453125" style="11" bestFit="1" customWidth="1"/>
    <col min="9892" max="9893" width="9.26953125" style="11" bestFit="1" customWidth="1"/>
    <col min="9894" max="9894" width="10.26953125" style="11" bestFit="1" customWidth="1"/>
    <col min="9895" max="9904" width="9.26953125" style="11" bestFit="1" customWidth="1"/>
    <col min="9905" max="9905" width="10.26953125" style="11" bestFit="1" customWidth="1"/>
    <col min="9906" max="9909" width="9.26953125" style="11" bestFit="1" customWidth="1"/>
    <col min="9910" max="9910" width="11.26953125" style="11" bestFit="1" customWidth="1"/>
    <col min="9911" max="9923" width="8.7265625" style="11" customWidth="1"/>
    <col min="9924" max="9924" width="11" style="11" bestFit="1" customWidth="1"/>
    <col min="9925" max="9925" width="4.7265625" style="11" customWidth="1"/>
    <col min="9926" max="9926" width="25.26953125" style="11" customWidth="1"/>
    <col min="9927" max="9927" width="23" style="11" customWidth="1"/>
    <col min="9928" max="9928" width="10.26953125" style="11" bestFit="1" customWidth="1"/>
    <col min="9929" max="9929" width="0" style="11" hidden="1" customWidth="1"/>
    <col min="9930" max="9930" width="31.7265625" style="11" customWidth="1"/>
    <col min="9931" max="9931" width="6" style="11" customWidth="1"/>
    <col min="9932" max="9933" width="10.26953125" style="11" bestFit="1" customWidth="1"/>
    <col min="9934" max="9941" width="8.7265625" style="11" customWidth="1"/>
    <col min="9942" max="9942" width="10.26953125" style="11" bestFit="1" customWidth="1"/>
    <col min="9943" max="10024" width="8.7265625" style="11" customWidth="1"/>
    <col min="10025" max="10025" width="9.1796875" style="11"/>
    <col min="10026" max="10026" width="4.7265625" style="11" customWidth="1"/>
    <col min="10027" max="10027" width="3.54296875" style="11" customWidth="1"/>
    <col min="10028" max="10028" width="5.54296875" style="11" customWidth="1"/>
    <col min="10029" max="10029" width="8.7265625" style="11" customWidth="1"/>
    <col min="10030" max="10030" width="7.453125" style="11" customWidth="1"/>
    <col min="10031" max="10031" width="11.81640625" style="11" customWidth="1"/>
    <col min="10032" max="10032" width="8.26953125" style="11" customWidth="1"/>
    <col min="10033" max="10033" width="4.7265625" style="11" customWidth="1"/>
    <col min="10034" max="10034" width="0" style="11" hidden="1" customWidth="1"/>
    <col min="10035" max="10035" width="3.26953125" style="11" customWidth="1"/>
    <col min="10036" max="10036" width="0" style="11" hidden="1" customWidth="1"/>
    <col min="10037" max="10037" width="12" style="11" customWidth="1"/>
    <col min="10038" max="10038" width="12.81640625" style="11" customWidth="1"/>
    <col min="10039" max="10039" width="37.7265625" style="11" customWidth="1"/>
    <col min="10040" max="10041" width="8.453125" style="11" customWidth="1"/>
    <col min="10042" max="10042" width="8.54296875" style="11" customWidth="1"/>
    <col min="10043" max="10043" width="8.26953125" style="11" customWidth="1"/>
    <col min="10044" max="10044" width="12.26953125" style="11" customWidth="1"/>
    <col min="10045" max="10047" width="5.453125" style="11" customWidth="1"/>
    <col min="10048" max="10048" width="6.1796875" style="11" customWidth="1"/>
    <col min="10049" max="10049" width="5.1796875" style="11" customWidth="1"/>
    <col min="10050" max="10050" width="6.26953125" style="11" customWidth="1"/>
    <col min="10051" max="10051" width="6.7265625" style="11" customWidth="1"/>
    <col min="10052" max="10052" width="6.1796875" style="11" customWidth="1"/>
    <col min="10053" max="10053" width="6.54296875" style="11" customWidth="1"/>
    <col min="10054" max="10054" width="6.7265625" style="11" customWidth="1"/>
    <col min="10055" max="10055" width="5.7265625" style="11" customWidth="1"/>
    <col min="10056" max="10056" width="6.1796875" style="11" customWidth="1"/>
    <col min="10057" max="10057" width="6" style="11" customWidth="1"/>
    <col min="10058" max="10058" width="6.26953125" style="11" customWidth="1"/>
    <col min="10059" max="10059" width="6.54296875" style="11" customWidth="1"/>
    <col min="10060" max="10060" width="6.1796875" style="11" customWidth="1"/>
    <col min="10061" max="10061" width="5.26953125" style="11" customWidth="1"/>
    <col min="10062" max="10062" width="6.453125" style="11" customWidth="1"/>
    <col min="10063" max="10064" width="6.1796875" style="11" customWidth="1"/>
    <col min="10065" max="10065" width="6.26953125" style="11" customWidth="1"/>
    <col min="10066" max="10066" width="5.26953125" style="11" customWidth="1"/>
    <col min="10067" max="10067" width="6.81640625" style="11" customWidth="1"/>
    <col min="10068" max="10068" width="6.54296875" style="11" customWidth="1"/>
    <col min="10069" max="10069" width="6" style="11" customWidth="1"/>
    <col min="10070" max="10070" width="7" style="11" customWidth="1"/>
    <col min="10071" max="10071" width="6.26953125" style="11" customWidth="1"/>
    <col min="10072" max="10072" width="6.54296875" style="11" customWidth="1"/>
    <col min="10073" max="10073" width="6.7265625" style="11" customWidth="1"/>
    <col min="10074" max="10074" width="5.26953125" style="11" customWidth="1"/>
    <col min="10075" max="10075" width="6" style="11" customWidth="1"/>
    <col min="10076" max="10076" width="5.7265625" style="11" customWidth="1"/>
    <col min="10077" max="10081" width="12.1796875" style="11" bestFit="1" customWidth="1"/>
    <col min="10082" max="10082" width="9.81640625" style="11" bestFit="1" customWidth="1"/>
    <col min="10083" max="10083" width="11" style="11" bestFit="1" customWidth="1"/>
    <col min="10084" max="10084" width="11.26953125" style="11" bestFit="1" customWidth="1"/>
    <col min="10085" max="10085" width="11" style="11" bestFit="1" customWidth="1"/>
    <col min="10086" max="10087" width="9.81640625" style="11" bestFit="1" customWidth="1"/>
    <col min="10088" max="10088" width="10.26953125" style="11" bestFit="1" customWidth="1"/>
    <col min="10089" max="10089" width="12.1796875" style="11" bestFit="1" customWidth="1"/>
    <col min="10090" max="10090" width="11" style="11" bestFit="1" customWidth="1"/>
    <col min="10091" max="10091" width="12.1796875" style="11" bestFit="1" customWidth="1"/>
    <col min="10092" max="10092" width="13.81640625" style="11" bestFit="1" customWidth="1"/>
    <col min="10093" max="10093" width="9.81640625" style="11" bestFit="1" customWidth="1"/>
    <col min="10094" max="10094" width="13.81640625" style="11" bestFit="1" customWidth="1"/>
    <col min="10095" max="10095" width="10.81640625" style="11" bestFit="1" customWidth="1"/>
    <col min="10096" max="10096" width="12.1796875" style="11" bestFit="1" customWidth="1"/>
    <col min="10097" max="10099" width="11" style="11" bestFit="1" customWidth="1"/>
    <col min="10100" max="10100" width="14.26953125" style="11" customWidth="1"/>
    <col min="10101" max="10104" width="10.81640625" style="11" customWidth="1"/>
    <col min="10105" max="10105" width="9.54296875" style="11" customWidth="1"/>
    <col min="10106" max="10107" width="6.7265625" style="11" customWidth="1"/>
    <col min="10108" max="10114" width="8.7265625" style="11" customWidth="1"/>
    <col min="10115" max="10115" width="9.7265625" style="11" bestFit="1" customWidth="1"/>
    <col min="10116" max="10116" width="38.54296875" style="11" bestFit="1" customWidth="1"/>
    <col min="10117" max="10117" width="8.7265625" style="11" bestFit="1" customWidth="1"/>
    <col min="10118" max="10118" width="11.1796875" style="11" bestFit="1" customWidth="1"/>
    <col min="10119" max="10119" width="7.7265625" style="11" bestFit="1" customWidth="1"/>
    <col min="10120" max="10120" width="9.453125" style="11" bestFit="1" customWidth="1"/>
    <col min="10121" max="10121" width="8.7265625" style="11" bestFit="1" customWidth="1"/>
    <col min="10122" max="10122" width="10.453125" style="11" bestFit="1" customWidth="1"/>
    <col min="10123" max="10123" width="9" style="11" bestFit="1" customWidth="1"/>
    <col min="10124" max="10124" width="9.54296875" style="11" bestFit="1" customWidth="1"/>
    <col min="10125" max="10125" width="10.54296875" style="11" bestFit="1" customWidth="1"/>
    <col min="10126" max="10126" width="8.54296875" style="11" bestFit="1" customWidth="1"/>
    <col min="10127" max="10127" width="10.54296875" style="11" bestFit="1" customWidth="1"/>
    <col min="10128" max="10128" width="11" style="11" bestFit="1" customWidth="1"/>
    <col min="10129" max="10129" width="16.54296875" style="11" bestFit="1" customWidth="1"/>
    <col min="10130" max="10130" width="11" style="11" bestFit="1" customWidth="1"/>
    <col min="10131" max="10131" width="10.26953125" style="11" bestFit="1" customWidth="1"/>
    <col min="10132" max="10132" width="12.453125" style="11" bestFit="1" customWidth="1"/>
    <col min="10133" max="10133" width="10.54296875" style="11" bestFit="1" customWidth="1"/>
    <col min="10134" max="10134" width="9" style="11" bestFit="1" customWidth="1"/>
    <col min="10135" max="10135" width="10.54296875" style="11" bestFit="1" customWidth="1"/>
    <col min="10136" max="10136" width="11.1796875" style="11" bestFit="1" customWidth="1"/>
    <col min="10137" max="10137" width="11.453125" style="11" bestFit="1" customWidth="1"/>
    <col min="10138" max="10138" width="12.7265625" style="11" bestFit="1" customWidth="1"/>
    <col min="10139" max="10139" width="13.453125" style="11" bestFit="1" customWidth="1"/>
    <col min="10140" max="10140" width="11.81640625" style="11" bestFit="1" customWidth="1"/>
    <col min="10141" max="10141" width="10.7265625" style="11" bestFit="1" customWidth="1"/>
    <col min="10142" max="10142" width="8.81640625" style="11" bestFit="1" customWidth="1"/>
    <col min="10143" max="10143" width="10" style="11" bestFit="1" customWidth="1"/>
    <col min="10144" max="10144" width="13.1796875" style="11" bestFit="1" customWidth="1"/>
    <col min="10145" max="10145" width="20.7265625" style="11" bestFit="1" customWidth="1"/>
    <col min="10146" max="10146" width="20.7265625" style="11" customWidth="1"/>
    <col min="10147" max="10147" width="9.453125" style="11" bestFit="1" customWidth="1"/>
    <col min="10148" max="10149" width="9.26953125" style="11" bestFit="1" customWidth="1"/>
    <col min="10150" max="10150" width="10.26953125" style="11" bestFit="1" customWidth="1"/>
    <col min="10151" max="10160" width="9.26953125" style="11" bestFit="1" customWidth="1"/>
    <col min="10161" max="10161" width="10.26953125" style="11" bestFit="1" customWidth="1"/>
    <col min="10162" max="10165" width="9.26953125" style="11" bestFit="1" customWidth="1"/>
    <col min="10166" max="10166" width="11.26953125" style="11" bestFit="1" customWidth="1"/>
    <col min="10167" max="10179" width="8.7265625" style="11" customWidth="1"/>
    <col min="10180" max="10180" width="11" style="11" bestFit="1" customWidth="1"/>
    <col min="10181" max="10181" width="4.7265625" style="11" customWidth="1"/>
    <col min="10182" max="10182" width="25.26953125" style="11" customWidth="1"/>
    <col min="10183" max="10183" width="23" style="11" customWidth="1"/>
    <col min="10184" max="10184" width="10.26953125" style="11" bestFit="1" customWidth="1"/>
    <col min="10185" max="10185" width="0" style="11" hidden="1" customWidth="1"/>
    <col min="10186" max="10186" width="31.7265625" style="11" customWidth="1"/>
    <col min="10187" max="10187" width="6" style="11" customWidth="1"/>
    <col min="10188" max="10189" width="10.26953125" style="11" bestFit="1" customWidth="1"/>
    <col min="10190" max="10197" width="8.7265625" style="11" customWidth="1"/>
    <col min="10198" max="10198" width="10.26953125" style="11" bestFit="1" customWidth="1"/>
    <col min="10199" max="10280" width="8.7265625" style="11" customWidth="1"/>
    <col min="10281" max="10281" width="9.1796875" style="11"/>
    <col min="10282" max="10282" width="4.7265625" style="11" customWidth="1"/>
    <col min="10283" max="10283" width="3.54296875" style="11" customWidth="1"/>
    <col min="10284" max="10284" width="5.54296875" style="11" customWidth="1"/>
    <col min="10285" max="10285" width="8.7265625" style="11" customWidth="1"/>
    <col min="10286" max="10286" width="7.453125" style="11" customWidth="1"/>
    <col min="10287" max="10287" width="11.81640625" style="11" customWidth="1"/>
    <col min="10288" max="10288" width="8.26953125" style="11" customWidth="1"/>
    <col min="10289" max="10289" width="4.7265625" style="11" customWidth="1"/>
    <col min="10290" max="10290" width="0" style="11" hidden="1" customWidth="1"/>
    <col min="10291" max="10291" width="3.26953125" style="11" customWidth="1"/>
    <col min="10292" max="10292" width="0" style="11" hidden="1" customWidth="1"/>
    <col min="10293" max="10293" width="12" style="11" customWidth="1"/>
    <col min="10294" max="10294" width="12.81640625" style="11" customWidth="1"/>
    <col min="10295" max="10295" width="37.7265625" style="11" customWidth="1"/>
    <col min="10296" max="10297" width="8.453125" style="11" customWidth="1"/>
    <col min="10298" max="10298" width="8.54296875" style="11" customWidth="1"/>
    <col min="10299" max="10299" width="8.26953125" style="11" customWidth="1"/>
    <col min="10300" max="10300" width="12.26953125" style="11" customWidth="1"/>
    <col min="10301" max="10303" width="5.453125" style="11" customWidth="1"/>
    <col min="10304" max="10304" width="6.1796875" style="11" customWidth="1"/>
    <col min="10305" max="10305" width="5.1796875" style="11" customWidth="1"/>
    <col min="10306" max="10306" width="6.26953125" style="11" customWidth="1"/>
    <col min="10307" max="10307" width="6.7265625" style="11" customWidth="1"/>
    <col min="10308" max="10308" width="6.1796875" style="11" customWidth="1"/>
    <col min="10309" max="10309" width="6.54296875" style="11" customWidth="1"/>
    <col min="10310" max="10310" width="6.7265625" style="11" customWidth="1"/>
    <col min="10311" max="10311" width="5.7265625" style="11" customWidth="1"/>
    <col min="10312" max="10312" width="6.1796875" style="11" customWidth="1"/>
    <col min="10313" max="10313" width="6" style="11" customWidth="1"/>
    <col min="10314" max="10314" width="6.26953125" style="11" customWidth="1"/>
    <col min="10315" max="10315" width="6.54296875" style="11" customWidth="1"/>
    <col min="10316" max="10316" width="6.1796875" style="11" customWidth="1"/>
    <col min="10317" max="10317" width="5.26953125" style="11" customWidth="1"/>
    <col min="10318" max="10318" width="6.453125" style="11" customWidth="1"/>
    <col min="10319" max="10320" width="6.1796875" style="11" customWidth="1"/>
    <col min="10321" max="10321" width="6.26953125" style="11" customWidth="1"/>
    <col min="10322" max="10322" width="5.26953125" style="11" customWidth="1"/>
    <col min="10323" max="10323" width="6.81640625" style="11" customWidth="1"/>
    <col min="10324" max="10324" width="6.54296875" style="11" customWidth="1"/>
    <col min="10325" max="10325" width="6" style="11" customWidth="1"/>
    <col min="10326" max="10326" width="7" style="11" customWidth="1"/>
    <col min="10327" max="10327" width="6.26953125" style="11" customWidth="1"/>
    <col min="10328" max="10328" width="6.54296875" style="11" customWidth="1"/>
    <col min="10329" max="10329" width="6.7265625" style="11" customWidth="1"/>
    <col min="10330" max="10330" width="5.26953125" style="11" customWidth="1"/>
    <col min="10331" max="10331" width="6" style="11" customWidth="1"/>
    <col min="10332" max="10332" width="5.7265625" style="11" customWidth="1"/>
    <col min="10333" max="10337" width="12.1796875" style="11" bestFit="1" customWidth="1"/>
    <col min="10338" max="10338" width="9.81640625" style="11" bestFit="1" customWidth="1"/>
    <col min="10339" max="10339" width="11" style="11" bestFit="1" customWidth="1"/>
    <col min="10340" max="10340" width="11.26953125" style="11" bestFit="1" customWidth="1"/>
    <col min="10341" max="10341" width="11" style="11" bestFit="1" customWidth="1"/>
    <col min="10342" max="10343" width="9.81640625" style="11" bestFit="1" customWidth="1"/>
    <col min="10344" max="10344" width="10.26953125" style="11" bestFit="1" customWidth="1"/>
    <col min="10345" max="10345" width="12.1796875" style="11" bestFit="1" customWidth="1"/>
    <col min="10346" max="10346" width="11" style="11" bestFit="1" customWidth="1"/>
    <col min="10347" max="10347" width="12.1796875" style="11" bestFit="1" customWidth="1"/>
    <col min="10348" max="10348" width="13.81640625" style="11" bestFit="1" customWidth="1"/>
    <col min="10349" max="10349" width="9.81640625" style="11" bestFit="1" customWidth="1"/>
    <col min="10350" max="10350" width="13.81640625" style="11" bestFit="1" customWidth="1"/>
    <col min="10351" max="10351" width="10.81640625" style="11" bestFit="1" customWidth="1"/>
    <col min="10352" max="10352" width="12.1796875" style="11" bestFit="1" customWidth="1"/>
    <col min="10353" max="10355" width="11" style="11" bestFit="1" customWidth="1"/>
    <col min="10356" max="10356" width="14.26953125" style="11" customWidth="1"/>
    <col min="10357" max="10360" width="10.81640625" style="11" customWidth="1"/>
    <col min="10361" max="10361" width="9.54296875" style="11" customWidth="1"/>
    <col min="10362" max="10363" width="6.7265625" style="11" customWidth="1"/>
    <col min="10364" max="10370" width="8.7265625" style="11" customWidth="1"/>
    <col min="10371" max="10371" width="9.7265625" style="11" bestFit="1" customWidth="1"/>
    <col min="10372" max="10372" width="38.54296875" style="11" bestFit="1" customWidth="1"/>
    <col min="10373" max="10373" width="8.7265625" style="11" bestFit="1" customWidth="1"/>
    <col min="10374" max="10374" width="11.1796875" style="11" bestFit="1" customWidth="1"/>
    <col min="10375" max="10375" width="7.7265625" style="11" bestFit="1" customWidth="1"/>
    <col min="10376" max="10376" width="9.453125" style="11" bestFit="1" customWidth="1"/>
    <col min="10377" max="10377" width="8.7265625" style="11" bestFit="1" customWidth="1"/>
    <col min="10378" max="10378" width="10.453125" style="11" bestFit="1" customWidth="1"/>
    <col min="10379" max="10379" width="9" style="11" bestFit="1" customWidth="1"/>
    <col min="10380" max="10380" width="9.54296875" style="11" bestFit="1" customWidth="1"/>
    <col min="10381" max="10381" width="10.54296875" style="11" bestFit="1" customWidth="1"/>
    <col min="10382" max="10382" width="8.54296875" style="11" bestFit="1" customWidth="1"/>
    <col min="10383" max="10383" width="10.54296875" style="11" bestFit="1" customWidth="1"/>
    <col min="10384" max="10384" width="11" style="11" bestFit="1" customWidth="1"/>
    <col min="10385" max="10385" width="16.54296875" style="11" bestFit="1" customWidth="1"/>
    <col min="10386" max="10386" width="11" style="11" bestFit="1" customWidth="1"/>
    <col min="10387" max="10387" width="10.26953125" style="11" bestFit="1" customWidth="1"/>
    <col min="10388" max="10388" width="12.453125" style="11" bestFit="1" customWidth="1"/>
    <col min="10389" max="10389" width="10.54296875" style="11" bestFit="1" customWidth="1"/>
    <col min="10390" max="10390" width="9" style="11" bestFit="1" customWidth="1"/>
    <col min="10391" max="10391" width="10.54296875" style="11" bestFit="1" customWidth="1"/>
    <col min="10392" max="10392" width="11.1796875" style="11" bestFit="1" customWidth="1"/>
    <col min="10393" max="10393" width="11.453125" style="11" bestFit="1" customWidth="1"/>
    <col min="10394" max="10394" width="12.7265625" style="11" bestFit="1" customWidth="1"/>
    <col min="10395" max="10395" width="13.453125" style="11" bestFit="1" customWidth="1"/>
    <col min="10396" max="10396" width="11.81640625" style="11" bestFit="1" customWidth="1"/>
    <col min="10397" max="10397" width="10.7265625" style="11" bestFit="1" customWidth="1"/>
    <col min="10398" max="10398" width="8.81640625" style="11" bestFit="1" customWidth="1"/>
    <col min="10399" max="10399" width="10" style="11" bestFit="1" customWidth="1"/>
    <col min="10400" max="10400" width="13.1796875" style="11" bestFit="1" customWidth="1"/>
    <col min="10401" max="10401" width="20.7265625" style="11" bestFit="1" customWidth="1"/>
    <col min="10402" max="10402" width="20.7265625" style="11" customWidth="1"/>
    <col min="10403" max="10403" width="9.453125" style="11" bestFit="1" customWidth="1"/>
    <col min="10404" max="10405" width="9.26953125" style="11" bestFit="1" customWidth="1"/>
    <col min="10406" max="10406" width="10.26953125" style="11" bestFit="1" customWidth="1"/>
    <col min="10407" max="10416" width="9.26953125" style="11" bestFit="1" customWidth="1"/>
    <col min="10417" max="10417" width="10.26953125" style="11" bestFit="1" customWidth="1"/>
    <col min="10418" max="10421" width="9.26953125" style="11" bestFit="1" customWidth="1"/>
    <col min="10422" max="10422" width="11.26953125" style="11" bestFit="1" customWidth="1"/>
    <col min="10423" max="10435" width="8.7265625" style="11" customWidth="1"/>
    <col min="10436" max="10436" width="11" style="11" bestFit="1" customWidth="1"/>
    <col min="10437" max="10437" width="4.7265625" style="11" customWidth="1"/>
    <col min="10438" max="10438" width="25.26953125" style="11" customWidth="1"/>
    <col min="10439" max="10439" width="23" style="11" customWidth="1"/>
    <col min="10440" max="10440" width="10.26953125" style="11" bestFit="1" customWidth="1"/>
    <col min="10441" max="10441" width="0" style="11" hidden="1" customWidth="1"/>
    <col min="10442" max="10442" width="31.7265625" style="11" customWidth="1"/>
    <col min="10443" max="10443" width="6" style="11" customWidth="1"/>
    <col min="10444" max="10445" width="10.26953125" style="11" bestFit="1" customWidth="1"/>
    <col min="10446" max="10453" width="8.7265625" style="11" customWidth="1"/>
    <col min="10454" max="10454" width="10.26953125" style="11" bestFit="1" customWidth="1"/>
    <col min="10455" max="10536" width="8.7265625" style="11" customWidth="1"/>
    <col min="10537" max="10537" width="9.1796875" style="11"/>
    <col min="10538" max="10538" width="4.7265625" style="11" customWidth="1"/>
    <col min="10539" max="10539" width="3.54296875" style="11" customWidth="1"/>
    <col min="10540" max="10540" width="5.54296875" style="11" customWidth="1"/>
    <col min="10541" max="10541" width="8.7265625" style="11" customWidth="1"/>
    <col min="10542" max="10542" width="7.453125" style="11" customWidth="1"/>
    <col min="10543" max="10543" width="11.81640625" style="11" customWidth="1"/>
    <col min="10544" max="10544" width="8.26953125" style="11" customWidth="1"/>
    <col min="10545" max="10545" width="4.7265625" style="11" customWidth="1"/>
    <col min="10546" max="10546" width="0" style="11" hidden="1" customWidth="1"/>
    <col min="10547" max="10547" width="3.26953125" style="11" customWidth="1"/>
    <col min="10548" max="10548" width="0" style="11" hidden="1" customWidth="1"/>
    <col min="10549" max="10549" width="12" style="11" customWidth="1"/>
    <col min="10550" max="10550" width="12.81640625" style="11" customWidth="1"/>
    <col min="10551" max="10551" width="37.7265625" style="11" customWidth="1"/>
    <col min="10552" max="10553" width="8.453125" style="11" customWidth="1"/>
    <col min="10554" max="10554" width="8.54296875" style="11" customWidth="1"/>
    <col min="10555" max="10555" width="8.26953125" style="11" customWidth="1"/>
    <col min="10556" max="10556" width="12.26953125" style="11" customWidth="1"/>
    <col min="10557" max="10559" width="5.453125" style="11" customWidth="1"/>
    <col min="10560" max="10560" width="6.1796875" style="11" customWidth="1"/>
    <col min="10561" max="10561" width="5.1796875" style="11" customWidth="1"/>
    <col min="10562" max="10562" width="6.26953125" style="11" customWidth="1"/>
    <col min="10563" max="10563" width="6.7265625" style="11" customWidth="1"/>
    <col min="10564" max="10564" width="6.1796875" style="11" customWidth="1"/>
    <col min="10565" max="10565" width="6.54296875" style="11" customWidth="1"/>
    <col min="10566" max="10566" width="6.7265625" style="11" customWidth="1"/>
    <col min="10567" max="10567" width="5.7265625" style="11" customWidth="1"/>
    <col min="10568" max="10568" width="6.1796875" style="11" customWidth="1"/>
    <col min="10569" max="10569" width="6" style="11" customWidth="1"/>
    <col min="10570" max="10570" width="6.26953125" style="11" customWidth="1"/>
    <col min="10571" max="10571" width="6.54296875" style="11" customWidth="1"/>
    <col min="10572" max="10572" width="6.1796875" style="11" customWidth="1"/>
    <col min="10573" max="10573" width="5.26953125" style="11" customWidth="1"/>
    <col min="10574" max="10574" width="6.453125" style="11" customWidth="1"/>
    <col min="10575" max="10576" width="6.1796875" style="11" customWidth="1"/>
    <col min="10577" max="10577" width="6.26953125" style="11" customWidth="1"/>
    <col min="10578" max="10578" width="5.26953125" style="11" customWidth="1"/>
    <col min="10579" max="10579" width="6.81640625" style="11" customWidth="1"/>
    <col min="10580" max="10580" width="6.54296875" style="11" customWidth="1"/>
    <col min="10581" max="10581" width="6" style="11" customWidth="1"/>
    <col min="10582" max="10582" width="7" style="11" customWidth="1"/>
    <col min="10583" max="10583" width="6.26953125" style="11" customWidth="1"/>
    <col min="10584" max="10584" width="6.54296875" style="11" customWidth="1"/>
    <col min="10585" max="10585" width="6.7265625" style="11" customWidth="1"/>
    <col min="10586" max="10586" width="5.26953125" style="11" customWidth="1"/>
    <col min="10587" max="10587" width="6" style="11" customWidth="1"/>
    <col min="10588" max="10588" width="5.7265625" style="11" customWidth="1"/>
    <col min="10589" max="10593" width="12.1796875" style="11" bestFit="1" customWidth="1"/>
    <col min="10594" max="10594" width="9.81640625" style="11" bestFit="1" customWidth="1"/>
    <col min="10595" max="10595" width="11" style="11" bestFit="1" customWidth="1"/>
    <col min="10596" max="10596" width="11.26953125" style="11" bestFit="1" customWidth="1"/>
    <col min="10597" max="10597" width="11" style="11" bestFit="1" customWidth="1"/>
    <col min="10598" max="10599" width="9.81640625" style="11" bestFit="1" customWidth="1"/>
    <col min="10600" max="10600" width="10.26953125" style="11" bestFit="1" customWidth="1"/>
    <col min="10601" max="10601" width="12.1796875" style="11" bestFit="1" customWidth="1"/>
    <col min="10602" max="10602" width="11" style="11" bestFit="1" customWidth="1"/>
    <col min="10603" max="10603" width="12.1796875" style="11" bestFit="1" customWidth="1"/>
    <col min="10604" max="10604" width="13.81640625" style="11" bestFit="1" customWidth="1"/>
    <col min="10605" max="10605" width="9.81640625" style="11" bestFit="1" customWidth="1"/>
    <col min="10606" max="10606" width="13.81640625" style="11" bestFit="1" customWidth="1"/>
    <col min="10607" max="10607" width="10.81640625" style="11" bestFit="1" customWidth="1"/>
    <col min="10608" max="10608" width="12.1796875" style="11" bestFit="1" customWidth="1"/>
    <col min="10609" max="10611" width="11" style="11" bestFit="1" customWidth="1"/>
    <col min="10612" max="10612" width="14.26953125" style="11" customWidth="1"/>
    <col min="10613" max="10616" width="10.81640625" style="11" customWidth="1"/>
    <col min="10617" max="10617" width="9.54296875" style="11" customWidth="1"/>
    <col min="10618" max="10619" width="6.7265625" style="11" customWidth="1"/>
    <col min="10620" max="10626" width="8.7265625" style="11" customWidth="1"/>
    <col min="10627" max="10627" width="9.7265625" style="11" bestFit="1" customWidth="1"/>
    <col min="10628" max="10628" width="38.54296875" style="11" bestFit="1" customWidth="1"/>
    <col min="10629" max="10629" width="8.7265625" style="11" bestFit="1" customWidth="1"/>
    <col min="10630" max="10630" width="11.1796875" style="11" bestFit="1" customWidth="1"/>
    <col min="10631" max="10631" width="7.7265625" style="11" bestFit="1" customWidth="1"/>
    <col min="10632" max="10632" width="9.453125" style="11" bestFit="1" customWidth="1"/>
    <col min="10633" max="10633" width="8.7265625" style="11" bestFit="1" customWidth="1"/>
    <col min="10634" max="10634" width="10.453125" style="11" bestFit="1" customWidth="1"/>
    <col min="10635" max="10635" width="9" style="11" bestFit="1" customWidth="1"/>
    <col min="10636" max="10636" width="9.54296875" style="11" bestFit="1" customWidth="1"/>
    <col min="10637" max="10637" width="10.54296875" style="11" bestFit="1" customWidth="1"/>
    <col min="10638" max="10638" width="8.54296875" style="11" bestFit="1" customWidth="1"/>
    <col min="10639" max="10639" width="10.54296875" style="11" bestFit="1" customWidth="1"/>
    <col min="10640" max="10640" width="11" style="11" bestFit="1" customWidth="1"/>
    <col min="10641" max="10641" width="16.54296875" style="11" bestFit="1" customWidth="1"/>
    <col min="10642" max="10642" width="11" style="11" bestFit="1" customWidth="1"/>
    <col min="10643" max="10643" width="10.26953125" style="11" bestFit="1" customWidth="1"/>
    <col min="10644" max="10644" width="12.453125" style="11" bestFit="1" customWidth="1"/>
    <col min="10645" max="10645" width="10.54296875" style="11" bestFit="1" customWidth="1"/>
    <col min="10646" max="10646" width="9" style="11" bestFit="1" customWidth="1"/>
    <col min="10647" max="10647" width="10.54296875" style="11" bestFit="1" customWidth="1"/>
    <col min="10648" max="10648" width="11.1796875" style="11" bestFit="1" customWidth="1"/>
    <col min="10649" max="10649" width="11.453125" style="11" bestFit="1" customWidth="1"/>
    <col min="10650" max="10650" width="12.7265625" style="11" bestFit="1" customWidth="1"/>
    <col min="10651" max="10651" width="13.453125" style="11" bestFit="1" customWidth="1"/>
    <col min="10652" max="10652" width="11.81640625" style="11" bestFit="1" customWidth="1"/>
    <col min="10653" max="10653" width="10.7265625" style="11" bestFit="1" customWidth="1"/>
    <col min="10654" max="10654" width="8.81640625" style="11" bestFit="1" customWidth="1"/>
    <col min="10655" max="10655" width="10" style="11" bestFit="1" customWidth="1"/>
    <col min="10656" max="10656" width="13.1796875" style="11" bestFit="1" customWidth="1"/>
    <col min="10657" max="10657" width="20.7265625" style="11" bestFit="1" customWidth="1"/>
    <col min="10658" max="10658" width="20.7265625" style="11" customWidth="1"/>
    <col min="10659" max="10659" width="9.453125" style="11" bestFit="1" customWidth="1"/>
    <col min="10660" max="10661" width="9.26953125" style="11" bestFit="1" customWidth="1"/>
    <col min="10662" max="10662" width="10.26953125" style="11" bestFit="1" customWidth="1"/>
    <col min="10663" max="10672" width="9.26953125" style="11" bestFit="1" customWidth="1"/>
    <col min="10673" max="10673" width="10.26953125" style="11" bestFit="1" customWidth="1"/>
    <col min="10674" max="10677" width="9.26953125" style="11" bestFit="1" customWidth="1"/>
    <col min="10678" max="10678" width="11.26953125" style="11" bestFit="1" customWidth="1"/>
    <col min="10679" max="10691" width="8.7265625" style="11" customWidth="1"/>
    <col min="10692" max="10692" width="11" style="11" bestFit="1" customWidth="1"/>
    <col min="10693" max="10693" width="4.7265625" style="11" customWidth="1"/>
    <col min="10694" max="10694" width="25.26953125" style="11" customWidth="1"/>
    <col min="10695" max="10695" width="23" style="11" customWidth="1"/>
    <col min="10696" max="10696" width="10.26953125" style="11" bestFit="1" customWidth="1"/>
    <col min="10697" max="10697" width="0" style="11" hidden="1" customWidth="1"/>
    <col min="10698" max="10698" width="31.7265625" style="11" customWidth="1"/>
    <col min="10699" max="10699" width="6" style="11" customWidth="1"/>
    <col min="10700" max="10701" width="10.26953125" style="11" bestFit="1" customWidth="1"/>
    <col min="10702" max="10709" width="8.7265625" style="11" customWidth="1"/>
    <col min="10710" max="10710" width="10.26953125" style="11" bestFit="1" customWidth="1"/>
    <col min="10711" max="10792" width="8.7265625" style="11" customWidth="1"/>
    <col min="10793" max="10793" width="9.1796875" style="11"/>
    <col min="10794" max="10794" width="4.7265625" style="11" customWidth="1"/>
    <col min="10795" max="10795" width="3.54296875" style="11" customWidth="1"/>
    <col min="10796" max="10796" width="5.54296875" style="11" customWidth="1"/>
    <col min="10797" max="10797" width="8.7265625" style="11" customWidth="1"/>
    <col min="10798" max="10798" width="7.453125" style="11" customWidth="1"/>
    <col min="10799" max="10799" width="11.81640625" style="11" customWidth="1"/>
    <col min="10800" max="10800" width="8.26953125" style="11" customWidth="1"/>
    <col min="10801" max="10801" width="4.7265625" style="11" customWidth="1"/>
    <col min="10802" max="10802" width="0" style="11" hidden="1" customWidth="1"/>
    <col min="10803" max="10803" width="3.26953125" style="11" customWidth="1"/>
    <col min="10804" max="10804" width="0" style="11" hidden="1" customWidth="1"/>
    <col min="10805" max="10805" width="12" style="11" customWidth="1"/>
    <col min="10806" max="10806" width="12.81640625" style="11" customWidth="1"/>
    <col min="10807" max="10807" width="37.7265625" style="11" customWidth="1"/>
    <col min="10808" max="10809" width="8.453125" style="11" customWidth="1"/>
    <col min="10810" max="10810" width="8.54296875" style="11" customWidth="1"/>
    <col min="10811" max="10811" width="8.26953125" style="11" customWidth="1"/>
    <col min="10812" max="10812" width="12.26953125" style="11" customWidth="1"/>
    <col min="10813" max="10815" width="5.453125" style="11" customWidth="1"/>
    <col min="10816" max="10816" width="6.1796875" style="11" customWidth="1"/>
    <col min="10817" max="10817" width="5.1796875" style="11" customWidth="1"/>
    <col min="10818" max="10818" width="6.26953125" style="11" customWidth="1"/>
    <col min="10819" max="10819" width="6.7265625" style="11" customWidth="1"/>
    <col min="10820" max="10820" width="6.1796875" style="11" customWidth="1"/>
    <col min="10821" max="10821" width="6.54296875" style="11" customWidth="1"/>
    <col min="10822" max="10822" width="6.7265625" style="11" customWidth="1"/>
    <col min="10823" max="10823" width="5.7265625" style="11" customWidth="1"/>
    <col min="10824" max="10824" width="6.1796875" style="11" customWidth="1"/>
    <col min="10825" max="10825" width="6" style="11" customWidth="1"/>
    <col min="10826" max="10826" width="6.26953125" style="11" customWidth="1"/>
    <col min="10827" max="10827" width="6.54296875" style="11" customWidth="1"/>
    <col min="10828" max="10828" width="6.1796875" style="11" customWidth="1"/>
    <col min="10829" max="10829" width="5.26953125" style="11" customWidth="1"/>
    <col min="10830" max="10830" width="6.453125" style="11" customWidth="1"/>
    <col min="10831" max="10832" width="6.1796875" style="11" customWidth="1"/>
    <col min="10833" max="10833" width="6.26953125" style="11" customWidth="1"/>
    <col min="10834" max="10834" width="5.26953125" style="11" customWidth="1"/>
    <col min="10835" max="10835" width="6.81640625" style="11" customWidth="1"/>
    <col min="10836" max="10836" width="6.54296875" style="11" customWidth="1"/>
    <col min="10837" max="10837" width="6" style="11" customWidth="1"/>
    <col min="10838" max="10838" width="7" style="11" customWidth="1"/>
    <col min="10839" max="10839" width="6.26953125" style="11" customWidth="1"/>
    <col min="10840" max="10840" width="6.54296875" style="11" customWidth="1"/>
    <col min="10841" max="10841" width="6.7265625" style="11" customWidth="1"/>
    <col min="10842" max="10842" width="5.26953125" style="11" customWidth="1"/>
    <col min="10843" max="10843" width="6" style="11" customWidth="1"/>
    <col min="10844" max="10844" width="5.7265625" style="11" customWidth="1"/>
    <col min="10845" max="10849" width="12.1796875" style="11" bestFit="1" customWidth="1"/>
    <col min="10850" max="10850" width="9.81640625" style="11" bestFit="1" customWidth="1"/>
    <col min="10851" max="10851" width="11" style="11" bestFit="1" customWidth="1"/>
    <col min="10852" max="10852" width="11.26953125" style="11" bestFit="1" customWidth="1"/>
    <col min="10853" max="10853" width="11" style="11" bestFit="1" customWidth="1"/>
    <col min="10854" max="10855" width="9.81640625" style="11" bestFit="1" customWidth="1"/>
    <col min="10856" max="10856" width="10.26953125" style="11" bestFit="1" customWidth="1"/>
    <col min="10857" max="10857" width="12.1796875" style="11" bestFit="1" customWidth="1"/>
    <col min="10858" max="10858" width="11" style="11" bestFit="1" customWidth="1"/>
    <col min="10859" max="10859" width="12.1796875" style="11" bestFit="1" customWidth="1"/>
    <col min="10860" max="10860" width="13.81640625" style="11" bestFit="1" customWidth="1"/>
    <col min="10861" max="10861" width="9.81640625" style="11" bestFit="1" customWidth="1"/>
    <col min="10862" max="10862" width="13.81640625" style="11" bestFit="1" customWidth="1"/>
    <col min="10863" max="10863" width="10.81640625" style="11" bestFit="1" customWidth="1"/>
    <col min="10864" max="10864" width="12.1796875" style="11" bestFit="1" customWidth="1"/>
    <col min="10865" max="10867" width="11" style="11" bestFit="1" customWidth="1"/>
    <col min="10868" max="10868" width="14.26953125" style="11" customWidth="1"/>
    <col min="10869" max="10872" width="10.81640625" style="11" customWidth="1"/>
    <col min="10873" max="10873" width="9.54296875" style="11" customWidth="1"/>
    <col min="10874" max="10875" width="6.7265625" style="11" customWidth="1"/>
    <col min="10876" max="10882" width="8.7265625" style="11" customWidth="1"/>
    <col min="10883" max="10883" width="9.7265625" style="11" bestFit="1" customWidth="1"/>
    <col min="10884" max="10884" width="38.54296875" style="11" bestFit="1" customWidth="1"/>
    <col min="10885" max="10885" width="8.7265625" style="11" bestFit="1" customWidth="1"/>
    <col min="10886" max="10886" width="11.1796875" style="11" bestFit="1" customWidth="1"/>
    <col min="10887" max="10887" width="7.7265625" style="11" bestFit="1" customWidth="1"/>
    <col min="10888" max="10888" width="9.453125" style="11" bestFit="1" customWidth="1"/>
    <col min="10889" max="10889" width="8.7265625" style="11" bestFit="1" customWidth="1"/>
    <col min="10890" max="10890" width="10.453125" style="11" bestFit="1" customWidth="1"/>
    <col min="10891" max="10891" width="9" style="11" bestFit="1" customWidth="1"/>
    <col min="10892" max="10892" width="9.54296875" style="11" bestFit="1" customWidth="1"/>
    <col min="10893" max="10893" width="10.54296875" style="11" bestFit="1" customWidth="1"/>
    <col min="10894" max="10894" width="8.54296875" style="11" bestFit="1" customWidth="1"/>
    <col min="10895" max="10895" width="10.54296875" style="11" bestFit="1" customWidth="1"/>
    <col min="10896" max="10896" width="11" style="11" bestFit="1" customWidth="1"/>
    <col min="10897" max="10897" width="16.54296875" style="11" bestFit="1" customWidth="1"/>
    <col min="10898" max="10898" width="11" style="11" bestFit="1" customWidth="1"/>
    <col min="10899" max="10899" width="10.26953125" style="11" bestFit="1" customWidth="1"/>
    <col min="10900" max="10900" width="12.453125" style="11" bestFit="1" customWidth="1"/>
    <col min="10901" max="10901" width="10.54296875" style="11" bestFit="1" customWidth="1"/>
    <col min="10902" max="10902" width="9" style="11" bestFit="1" customWidth="1"/>
    <col min="10903" max="10903" width="10.54296875" style="11" bestFit="1" customWidth="1"/>
    <col min="10904" max="10904" width="11.1796875" style="11" bestFit="1" customWidth="1"/>
    <col min="10905" max="10905" width="11.453125" style="11" bestFit="1" customWidth="1"/>
    <col min="10906" max="10906" width="12.7265625" style="11" bestFit="1" customWidth="1"/>
    <col min="10907" max="10907" width="13.453125" style="11" bestFit="1" customWidth="1"/>
    <col min="10908" max="10908" width="11.81640625" style="11" bestFit="1" customWidth="1"/>
    <col min="10909" max="10909" width="10.7265625" style="11" bestFit="1" customWidth="1"/>
    <col min="10910" max="10910" width="8.81640625" style="11" bestFit="1" customWidth="1"/>
    <col min="10911" max="10911" width="10" style="11" bestFit="1" customWidth="1"/>
    <col min="10912" max="10912" width="13.1796875" style="11" bestFit="1" customWidth="1"/>
    <col min="10913" max="10913" width="20.7265625" style="11" bestFit="1" customWidth="1"/>
    <col min="10914" max="10914" width="20.7265625" style="11" customWidth="1"/>
    <col min="10915" max="10915" width="9.453125" style="11" bestFit="1" customWidth="1"/>
    <col min="10916" max="10917" width="9.26953125" style="11" bestFit="1" customWidth="1"/>
    <col min="10918" max="10918" width="10.26953125" style="11" bestFit="1" customWidth="1"/>
    <col min="10919" max="10928" width="9.26953125" style="11" bestFit="1" customWidth="1"/>
    <col min="10929" max="10929" width="10.26953125" style="11" bestFit="1" customWidth="1"/>
    <col min="10930" max="10933" width="9.26953125" style="11" bestFit="1" customWidth="1"/>
    <col min="10934" max="10934" width="11.26953125" style="11" bestFit="1" customWidth="1"/>
    <col min="10935" max="10947" width="8.7265625" style="11" customWidth="1"/>
    <col min="10948" max="10948" width="11" style="11" bestFit="1" customWidth="1"/>
    <col min="10949" max="10949" width="4.7265625" style="11" customWidth="1"/>
    <col min="10950" max="10950" width="25.26953125" style="11" customWidth="1"/>
    <col min="10951" max="10951" width="23" style="11" customWidth="1"/>
    <col min="10952" max="10952" width="10.26953125" style="11" bestFit="1" customWidth="1"/>
    <col min="10953" max="10953" width="0" style="11" hidden="1" customWidth="1"/>
    <col min="10954" max="10954" width="31.7265625" style="11" customWidth="1"/>
    <col min="10955" max="10955" width="6" style="11" customWidth="1"/>
    <col min="10956" max="10957" width="10.26953125" style="11" bestFit="1" customWidth="1"/>
    <col min="10958" max="10965" width="8.7265625" style="11" customWidth="1"/>
    <col min="10966" max="10966" width="10.26953125" style="11" bestFit="1" customWidth="1"/>
    <col min="10967" max="11048" width="8.7265625" style="11" customWidth="1"/>
    <col min="11049" max="11049" width="9.1796875" style="11"/>
    <col min="11050" max="11050" width="4.7265625" style="11" customWidth="1"/>
    <col min="11051" max="11051" width="3.54296875" style="11" customWidth="1"/>
    <col min="11052" max="11052" width="5.54296875" style="11" customWidth="1"/>
    <col min="11053" max="11053" width="8.7265625" style="11" customWidth="1"/>
    <col min="11054" max="11054" width="7.453125" style="11" customWidth="1"/>
    <col min="11055" max="11055" width="11.81640625" style="11" customWidth="1"/>
    <col min="11056" max="11056" width="8.26953125" style="11" customWidth="1"/>
    <col min="11057" max="11057" width="4.7265625" style="11" customWidth="1"/>
    <col min="11058" max="11058" width="0" style="11" hidden="1" customWidth="1"/>
    <col min="11059" max="11059" width="3.26953125" style="11" customWidth="1"/>
    <col min="11060" max="11060" width="0" style="11" hidden="1" customWidth="1"/>
    <col min="11061" max="11061" width="12" style="11" customWidth="1"/>
    <col min="11062" max="11062" width="12.81640625" style="11" customWidth="1"/>
    <col min="11063" max="11063" width="37.7265625" style="11" customWidth="1"/>
    <col min="11064" max="11065" width="8.453125" style="11" customWidth="1"/>
    <col min="11066" max="11066" width="8.54296875" style="11" customWidth="1"/>
    <col min="11067" max="11067" width="8.26953125" style="11" customWidth="1"/>
    <col min="11068" max="11068" width="12.26953125" style="11" customWidth="1"/>
    <col min="11069" max="11071" width="5.453125" style="11" customWidth="1"/>
    <col min="11072" max="11072" width="6.1796875" style="11" customWidth="1"/>
    <col min="11073" max="11073" width="5.1796875" style="11" customWidth="1"/>
    <col min="11074" max="11074" width="6.26953125" style="11" customWidth="1"/>
    <col min="11075" max="11075" width="6.7265625" style="11" customWidth="1"/>
    <col min="11076" max="11076" width="6.1796875" style="11" customWidth="1"/>
    <col min="11077" max="11077" width="6.54296875" style="11" customWidth="1"/>
    <col min="11078" max="11078" width="6.7265625" style="11" customWidth="1"/>
    <col min="11079" max="11079" width="5.7265625" style="11" customWidth="1"/>
    <col min="11080" max="11080" width="6.1796875" style="11" customWidth="1"/>
    <col min="11081" max="11081" width="6" style="11" customWidth="1"/>
    <col min="11082" max="11082" width="6.26953125" style="11" customWidth="1"/>
    <col min="11083" max="11083" width="6.54296875" style="11" customWidth="1"/>
    <col min="11084" max="11084" width="6.1796875" style="11" customWidth="1"/>
    <col min="11085" max="11085" width="5.26953125" style="11" customWidth="1"/>
    <col min="11086" max="11086" width="6.453125" style="11" customWidth="1"/>
    <col min="11087" max="11088" width="6.1796875" style="11" customWidth="1"/>
    <col min="11089" max="11089" width="6.26953125" style="11" customWidth="1"/>
    <col min="11090" max="11090" width="5.26953125" style="11" customWidth="1"/>
    <col min="11091" max="11091" width="6.81640625" style="11" customWidth="1"/>
    <col min="11092" max="11092" width="6.54296875" style="11" customWidth="1"/>
    <col min="11093" max="11093" width="6" style="11" customWidth="1"/>
    <col min="11094" max="11094" width="7" style="11" customWidth="1"/>
    <col min="11095" max="11095" width="6.26953125" style="11" customWidth="1"/>
    <col min="11096" max="11096" width="6.54296875" style="11" customWidth="1"/>
    <col min="11097" max="11097" width="6.7265625" style="11" customWidth="1"/>
    <col min="11098" max="11098" width="5.26953125" style="11" customWidth="1"/>
    <col min="11099" max="11099" width="6" style="11" customWidth="1"/>
    <col min="11100" max="11100" width="5.7265625" style="11" customWidth="1"/>
    <col min="11101" max="11105" width="12.1796875" style="11" bestFit="1" customWidth="1"/>
    <col min="11106" max="11106" width="9.81640625" style="11" bestFit="1" customWidth="1"/>
    <col min="11107" max="11107" width="11" style="11" bestFit="1" customWidth="1"/>
    <col min="11108" max="11108" width="11.26953125" style="11" bestFit="1" customWidth="1"/>
    <col min="11109" max="11109" width="11" style="11" bestFit="1" customWidth="1"/>
    <col min="11110" max="11111" width="9.81640625" style="11" bestFit="1" customWidth="1"/>
    <col min="11112" max="11112" width="10.26953125" style="11" bestFit="1" customWidth="1"/>
    <col min="11113" max="11113" width="12.1796875" style="11" bestFit="1" customWidth="1"/>
    <col min="11114" max="11114" width="11" style="11" bestFit="1" customWidth="1"/>
    <col min="11115" max="11115" width="12.1796875" style="11" bestFit="1" customWidth="1"/>
    <col min="11116" max="11116" width="13.81640625" style="11" bestFit="1" customWidth="1"/>
    <col min="11117" max="11117" width="9.81640625" style="11" bestFit="1" customWidth="1"/>
    <col min="11118" max="11118" width="13.81640625" style="11" bestFit="1" customWidth="1"/>
    <col min="11119" max="11119" width="10.81640625" style="11" bestFit="1" customWidth="1"/>
    <col min="11120" max="11120" width="12.1796875" style="11" bestFit="1" customWidth="1"/>
    <col min="11121" max="11123" width="11" style="11" bestFit="1" customWidth="1"/>
    <col min="11124" max="11124" width="14.26953125" style="11" customWidth="1"/>
    <col min="11125" max="11128" width="10.81640625" style="11" customWidth="1"/>
    <col min="11129" max="11129" width="9.54296875" style="11" customWidth="1"/>
    <col min="11130" max="11131" width="6.7265625" style="11" customWidth="1"/>
    <col min="11132" max="11138" width="8.7265625" style="11" customWidth="1"/>
    <col min="11139" max="11139" width="9.7265625" style="11" bestFit="1" customWidth="1"/>
    <col min="11140" max="11140" width="38.54296875" style="11" bestFit="1" customWidth="1"/>
    <col min="11141" max="11141" width="8.7265625" style="11" bestFit="1" customWidth="1"/>
    <col min="11142" max="11142" width="11.1796875" style="11" bestFit="1" customWidth="1"/>
    <col min="11143" max="11143" width="7.7265625" style="11" bestFit="1" customWidth="1"/>
    <col min="11144" max="11144" width="9.453125" style="11" bestFit="1" customWidth="1"/>
    <col min="11145" max="11145" width="8.7265625" style="11" bestFit="1" customWidth="1"/>
    <col min="11146" max="11146" width="10.453125" style="11" bestFit="1" customWidth="1"/>
    <col min="11147" max="11147" width="9" style="11" bestFit="1" customWidth="1"/>
    <col min="11148" max="11148" width="9.54296875" style="11" bestFit="1" customWidth="1"/>
    <col min="11149" max="11149" width="10.54296875" style="11" bestFit="1" customWidth="1"/>
    <col min="11150" max="11150" width="8.54296875" style="11" bestFit="1" customWidth="1"/>
    <col min="11151" max="11151" width="10.54296875" style="11" bestFit="1" customWidth="1"/>
    <col min="11152" max="11152" width="11" style="11" bestFit="1" customWidth="1"/>
    <col min="11153" max="11153" width="16.54296875" style="11" bestFit="1" customWidth="1"/>
    <col min="11154" max="11154" width="11" style="11" bestFit="1" customWidth="1"/>
    <col min="11155" max="11155" width="10.26953125" style="11" bestFit="1" customWidth="1"/>
    <col min="11156" max="11156" width="12.453125" style="11" bestFit="1" customWidth="1"/>
    <col min="11157" max="11157" width="10.54296875" style="11" bestFit="1" customWidth="1"/>
    <col min="11158" max="11158" width="9" style="11" bestFit="1" customWidth="1"/>
    <col min="11159" max="11159" width="10.54296875" style="11" bestFit="1" customWidth="1"/>
    <col min="11160" max="11160" width="11.1796875" style="11" bestFit="1" customWidth="1"/>
    <col min="11161" max="11161" width="11.453125" style="11" bestFit="1" customWidth="1"/>
    <col min="11162" max="11162" width="12.7265625" style="11" bestFit="1" customWidth="1"/>
    <col min="11163" max="11163" width="13.453125" style="11" bestFit="1" customWidth="1"/>
    <col min="11164" max="11164" width="11.81640625" style="11" bestFit="1" customWidth="1"/>
    <col min="11165" max="11165" width="10.7265625" style="11" bestFit="1" customWidth="1"/>
    <col min="11166" max="11166" width="8.81640625" style="11" bestFit="1" customWidth="1"/>
    <col min="11167" max="11167" width="10" style="11" bestFit="1" customWidth="1"/>
    <col min="11168" max="11168" width="13.1796875" style="11" bestFit="1" customWidth="1"/>
    <col min="11169" max="11169" width="20.7265625" style="11" bestFit="1" customWidth="1"/>
    <col min="11170" max="11170" width="20.7265625" style="11" customWidth="1"/>
    <col min="11171" max="11171" width="9.453125" style="11" bestFit="1" customWidth="1"/>
    <col min="11172" max="11173" width="9.26953125" style="11" bestFit="1" customWidth="1"/>
    <col min="11174" max="11174" width="10.26953125" style="11" bestFit="1" customWidth="1"/>
    <col min="11175" max="11184" width="9.26953125" style="11" bestFit="1" customWidth="1"/>
    <col min="11185" max="11185" width="10.26953125" style="11" bestFit="1" customWidth="1"/>
    <col min="11186" max="11189" width="9.26953125" style="11" bestFit="1" customWidth="1"/>
    <col min="11190" max="11190" width="11.26953125" style="11" bestFit="1" customWidth="1"/>
    <col min="11191" max="11203" width="8.7265625" style="11" customWidth="1"/>
    <col min="11204" max="11204" width="11" style="11" bestFit="1" customWidth="1"/>
    <col min="11205" max="11205" width="4.7265625" style="11" customWidth="1"/>
    <col min="11206" max="11206" width="25.26953125" style="11" customWidth="1"/>
    <col min="11207" max="11207" width="23" style="11" customWidth="1"/>
    <col min="11208" max="11208" width="10.26953125" style="11" bestFit="1" customWidth="1"/>
    <col min="11209" max="11209" width="0" style="11" hidden="1" customWidth="1"/>
    <col min="11210" max="11210" width="31.7265625" style="11" customWidth="1"/>
    <col min="11211" max="11211" width="6" style="11" customWidth="1"/>
    <col min="11212" max="11213" width="10.26953125" style="11" bestFit="1" customWidth="1"/>
    <col min="11214" max="11221" width="8.7265625" style="11" customWidth="1"/>
    <col min="11222" max="11222" width="10.26953125" style="11" bestFit="1" customWidth="1"/>
    <col min="11223" max="11304" width="8.7265625" style="11" customWidth="1"/>
    <col min="11305" max="11305" width="9.1796875" style="11"/>
    <col min="11306" max="11306" width="4.7265625" style="11" customWidth="1"/>
    <col min="11307" max="11307" width="3.54296875" style="11" customWidth="1"/>
    <col min="11308" max="11308" width="5.54296875" style="11" customWidth="1"/>
    <col min="11309" max="11309" width="8.7265625" style="11" customWidth="1"/>
    <col min="11310" max="11310" width="7.453125" style="11" customWidth="1"/>
    <col min="11311" max="11311" width="11.81640625" style="11" customWidth="1"/>
    <col min="11312" max="11312" width="8.26953125" style="11" customWidth="1"/>
    <col min="11313" max="11313" width="4.7265625" style="11" customWidth="1"/>
    <col min="11314" max="11314" width="0" style="11" hidden="1" customWidth="1"/>
    <col min="11315" max="11315" width="3.26953125" style="11" customWidth="1"/>
    <col min="11316" max="11316" width="0" style="11" hidden="1" customWidth="1"/>
    <col min="11317" max="11317" width="12" style="11" customWidth="1"/>
    <col min="11318" max="11318" width="12.81640625" style="11" customWidth="1"/>
    <col min="11319" max="11319" width="37.7265625" style="11" customWidth="1"/>
    <col min="11320" max="11321" width="8.453125" style="11" customWidth="1"/>
    <col min="11322" max="11322" width="8.54296875" style="11" customWidth="1"/>
    <col min="11323" max="11323" width="8.26953125" style="11" customWidth="1"/>
    <col min="11324" max="11324" width="12.26953125" style="11" customWidth="1"/>
    <col min="11325" max="11327" width="5.453125" style="11" customWidth="1"/>
    <col min="11328" max="11328" width="6.1796875" style="11" customWidth="1"/>
    <col min="11329" max="11329" width="5.1796875" style="11" customWidth="1"/>
    <col min="11330" max="11330" width="6.26953125" style="11" customWidth="1"/>
    <col min="11331" max="11331" width="6.7265625" style="11" customWidth="1"/>
    <col min="11332" max="11332" width="6.1796875" style="11" customWidth="1"/>
    <col min="11333" max="11333" width="6.54296875" style="11" customWidth="1"/>
    <col min="11334" max="11334" width="6.7265625" style="11" customWidth="1"/>
    <col min="11335" max="11335" width="5.7265625" style="11" customWidth="1"/>
    <col min="11336" max="11336" width="6.1796875" style="11" customWidth="1"/>
    <col min="11337" max="11337" width="6" style="11" customWidth="1"/>
    <col min="11338" max="11338" width="6.26953125" style="11" customWidth="1"/>
    <col min="11339" max="11339" width="6.54296875" style="11" customWidth="1"/>
    <col min="11340" max="11340" width="6.1796875" style="11" customWidth="1"/>
    <col min="11341" max="11341" width="5.26953125" style="11" customWidth="1"/>
    <col min="11342" max="11342" width="6.453125" style="11" customWidth="1"/>
    <col min="11343" max="11344" width="6.1796875" style="11" customWidth="1"/>
    <col min="11345" max="11345" width="6.26953125" style="11" customWidth="1"/>
    <col min="11346" max="11346" width="5.26953125" style="11" customWidth="1"/>
    <col min="11347" max="11347" width="6.81640625" style="11" customWidth="1"/>
    <col min="11348" max="11348" width="6.54296875" style="11" customWidth="1"/>
    <col min="11349" max="11349" width="6" style="11" customWidth="1"/>
    <col min="11350" max="11350" width="7" style="11" customWidth="1"/>
    <col min="11351" max="11351" width="6.26953125" style="11" customWidth="1"/>
    <col min="11352" max="11352" width="6.54296875" style="11" customWidth="1"/>
    <col min="11353" max="11353" width="6.7265625" style="11" customWidth="1"/>
    <col min="11354" max="11354" width="5.26953125" style="11" customWidth="1"/>
    <col min="11355" max="11355" width="6" style="11" customWidth="1"/>
    <col min="11356" max="11356" width="5.7265625" style="11" customWidth="1"/>
    <col min="11357" max="11361" width="12.1796875" style="11" bestFit="1" customWidth="1"/>
    <col min="11362" max="11362" width="9.81640625" style="11" bestFit="1" customWidth="1"/>
    <col min="11363" max="11363" width="11" style="11" bestFit="1" customWidth="1"/>
    <col min="11364" max="11364" width="11.26953125" style="11" bestFit="1" customWidth="1"/>
    <col min="11365" max="11365" width="11" style="11" bestFit="1" customWidth="1"/>
    <col min="11366" max="11367" width="9.81640625" style="11" bestFit="1" customWidth="1"/>
    <col min="11368" max="11368" width="10.26953125" style="11" bestFit="1" customWidth="1"/>
    <col min="11369" max="11369" width="12.1796875" style="11" bestFit="1" customWidth="1"/>
    <col min="11370" max="11370" width="11" style="11" bestFit="1" customWidth="1"/>
    <col min="11371" max="11371" width="12.1796875" style="11" bestFit="1" customWidth="1"/>
    <col min="11372" max="11372" width="13.81640625" style="11" bestFit="1" customWidth="1"/>
    <col min="11373" max="11373" width="9.81640625" style="11" bestFit="1" customWidth="1"/>
    <col min="11374" max="11374" width="13.81640625" style="11" bestFit="1" customWidth="1"/>
    <col min="11375" max="11375" width="10.81640625" style="11" bestFit="1" customWidth="1"/>
    <col min="11376" max="11376" width="12.1796875" style="11" bestFit="1" customWidth="1"/>
    <col min="11377" max="11379" width="11" style="11" bestFit="1" customWidth="1"/>
    <col min="11380" max="11380" width="14.26953125" style="11" customWidth="1"/>
    <col min="11381" max="11384" width="10.81640625" style="11" customWidth="1"/>
    <col min="11385" max="11385" width="9.54296875" style="11" customWidth="1"/>
    <col min="11386" max="11387" width="6.7265625" style="11" customWidth="1"/>
    <col min="11388" max="11394" width="8.7265625" style="11" customWidth="1"/>
    <col min="11395" max="11395" width="9.7265625" style="11" bestFit="1" customWidth="1"/>
    <col min="11396" max="11396" width="38.54296875" style="11" bestFit="1" customWidth="1"/>
    <col min="11397" max="11397" width="8.7265625" style="11" bestFit="1" customWidth="1"/>
    <col min="11398" max="11398" width="11.1796875" style="11" bestFit="1" customWidth="1"/>
    <col min="11399" max="11399" width="7.7265625" style="11" bestFit="1" customWidth="1"/>
    <col min="11400" max="11400" width="9.453125" style="11" bestFit="1" customWidth="1"/>
    <col min="11401" max="11401" width="8.7265625" style="11" bestFit="1" customWidth="1"/>
    <col min="11402" max="11402" width="10.453125" style="11" bestFit="1" customWidth="1"/>
    <col min="11403" max="11403" width="9" style="11" bestFit="1" customWidth="1"/>
    <col min="11404" max="11404" width="9.54296875" style="11" bestFit="1" customWidth="1"/>
    <col min="11405" max="11405" width="10.54296875" style="11" bestFit="1" customWidth="1"/>
    <col min="11406" max="11406" width="8.54296875" style="11" bestFit="1" customWidth="1"/>
    <col min="11407" max="11407" width="10.54296875" style="11" bestFit="1" customWidth="1"/>
    <col min="11408" max="11408" width="11" style="11" bestFit="1" customWidth="1"/>
    <col min="11409" max="11409" width="16.54296875" style="11" bestFit="1" customWidth="1"/>
    <col min="11410" max="11410" width="11" style="11" bestFit="1" customWidth="1"/>
    <col min="11411" max="11411" width="10.26953125" style="11" bestFit="1" customWidth="1"/>
    <col min="11412" max="11412" width="12.453125" style="11" bestFit="1" customWidth="1"/>
    <col min="11413" max="11413" width="10.54296875" style="11" bestFit="1" customWidth="1"/>
    <col min="11414" max="11414" width="9" style="11" bestFit="1" customWidth="1"/>
    <col min="11415" max="11415" width="10.54296875" style="11" bestFit="1" customWidth="1"/>
    <col min="11416" max="11416" width="11.1796875" style="11" bestFit="1" customWidth="1"/>
    <col min="11417" max="11417" width="11.453125" style="11" bestFit="1" customWidth="1"/>
    <col min="11418" max="11418" width="12.7265625" style="11" bestFit="1" customWidth="1"/>
    <col min="11419" max="11419" width="13.453125" style="11" bestFit="1" customWidth="1"/>
    <col min="11420" max="11420" width="11.81640625" style="11" bestFit="1" customWidth="1"/>
    <col min="11421" max="11421" width="10.7265625" style="11" bestFit="1" customWidth="1"/>
    <col min="11422" max="11422" width="8.81640625" style="11" bestFit="1" customWidth="1"/>
    <col min="11423" max="11423" width="10" style="11" bestFit="1" customWidth="1"/>
    <col min="11424" max="11424" width="13.1796875" style="11" bestFit="1" customWidth="1"/>
    <col min="11425" max="11425" width="20.7265625" style="11" bestFit="1" customWidth="1"/>
    <col min="11426" max="11426" width="20.7265625" style="11" customWidth="1"/>
    <col min="11427" max="11427" width="9.453125" style="11" bestFit="1" customWidth="1"/>
    <col min="11428" max="11429" width="9.26953125" style="11" bestFit="1" customWidth="1"/>
    <col min="11430" max="11430" width="10.26953125" style="11" bestFit="1" customWidth="1"/>
    <col min="11431" max="11440" width="9.26953125" style="11" bestFit="1" customWidth="1"/>
    <col min="11441" max="11441" width="10.26953125" style="11" bestFit="1" customWidth="1"/>
    <col min="11442" max="11445" width="9.26953125" style="11" bestFit="1" customWidth="1"/>
    <col min="11446" max="11446" width="11.26953125" style="11" bestFit="1" customWidth="1"/>
    <col min="11447" max="11459" width="8.7265625" style="11" customWidth="1"/>
    <col min="11460" max="11460" width="11" style="11" bestFit="1" customWidth="1"/>
    <col min="11461" max="11461" width="4.7265625" style="11" customWidth="1"/>
    <col min="11462" max="11462" width="25.26953125" style="11" customWidth="1"/>
    <col min="11463" max="11463" width="23" style="11" customWidth="1"/>
    <col min="11464" max="11464" width="10.26953125" style="11" bestFit="1" customWidth="1"/>
    <col min="11465" max="11465" width="0" style="11" hidden="1" customWidth="1"/>
    <col min="11466" max="11466" width="31.7265625" style="11" customWidth="1"/>
    <col min="11467" max="11467" width="6" style="11" customWidth="1"/>
    <col min="11468" max="11469" width="10.26953125" style="11" bestFit="1" customWidth="1"/>
    <col min="11470" max="11477" width="8.7265625" style="11" customWidth="1"/>
    <col min="11478" max="11478" width="10.26953125" style="11" bestFit="1" customWidth="1"/>
    <col min="11479" max="11560" width="8.7265625" style="11" customWidth="1"/>
    <col min="11561" max="11561" width="9.1796875" style="11"/>
    <col min="11562" max="11562" width="4.7265625" style="11" customWidth="1"/>
    <col min="11563" max="11563" width="3.54296875" style="11" customWidth="1"/>
    <col min="11564" max="11564" width="5.54296875" style="11" customWidth="1"/>
    <col min="11565" max="11565" width="8.7265625" style="11" customWidth="1"/>
    <col min="11566" max="11566" width="7.453125" style="11" customWidth="1"/>
    <col min="11567" max="11567" width="11.81640625" style="11" customWidth="1"/>
    <col min="11568" max="11568" width="8.26953125" style="11" customWidth="1"/>
    <col min="11569" max="11569" width="4.7265625" style="11" customWidth="1"/>
    <col min="11570" max="11570" width="0" style="11" hidden="1" customWidth="1"/>
    <col min="11571" max="11571" width="3.26953125" style="11" customWidth="1"/>
    <col min="11572" max="11572" width="0" style="11" hidden="1" customWidth="1"/>
    <col min="11573" max="11573" width="12" style="11" customWidth="1"/>
    <col min="11574" max="11574" width="12.81640625" style="11" customWidth="1"/>
    <col min="11575" max="11575" width="37.7265625" style="11" customWidth="1"/>
    <col min="11576" max="11577" width="8.453125" style="11" customWidth="1"/>
    <col min="11578" max="11578" width="8.54296875" style="11" customWidth="1"/>
    <col min="11579" max="11579" width="8.26953125" style="11" customWidth="1"/>
    <col min="11580" max="11580" width="12.26953125" style="11" customWidth="1"/>
    <col min="11581" max="11583" width="5.453125" style="11" customWidth="1"/>
    <col min="11584" max="11584" width="6.1796875" style="11" customWidth="1"/>
    <col min="11585" max="11585" width="5.1796875" style="11" customWidth="1"/>
    <col min="11586" max="11586" width="6.26953125" style="11" customWidth="1"/>
    <col min="11587" max="11587" width="6.7265625" style="11" customWidth="1"/>
    <col min="11588" max="11588" width="6.1796875" style="11" customWidth="1"/>
    <col min="11589" max="11589" width="6.54296875" style="11" customWidth="1"/>
    <col min="11590" max="11590" width="6.7265625" style="11" customWidth="1"/>
    <col min="11591" max="11591" width="5.7265625" style="11" customWidth="1"/>
    <col min="11592" max="11592" width="6.1796875" style="11" customWidth="1"/>
    <col min="11593" max="11593" width="6" style="11" customWidth="1"/>
    <col min="11594" max="11594" width="6.26953125" style="11" customWidth="1"/>
    <col min="11595" max="11595" width="6.54296875" style="11" customWidth="1"/>
    <col min="11596" max="11596" width="6.1796875" style="11" customWidth="1"/>
    <col min="11597" max="11597" width="5.26953125" style="11" customWidth="1"/>
    <col min="11598" max="11598" width="6.453125" style="11" customWidth="1"/>
    <col min="11599" max="11600" width="6.1796875" style="11" customWidth="1"/>
    <col min="11601" max="11601" width="6.26953125" style="11" customWidth="1"/>
    <col min="11602" max="11602" width="5.26953125" style="11" customWidth="1"/>
    <col min="11603" max="11603" width="6.81640625" style="11" customWidth="1"/>
    <col min="11604" max="11604" width="6.54296875" style="11" customWidth="1"/>
    <col min="11605" max="11605" width="6" style="11" customWidth="1"/>
    <col min="11606" max="11606" width="7" style="11" customWidth="1"/>
    <col min="11607" max="11607" width="6.26953125" style="11" customWidth="1"/>
    <col min="11608" max="11608" width="6.54296875" style="11" customWidth="1"/>
    <col min="11609" max="11609" width="6.7265625" style="11" customWidth="1"/>
    <col min="11610" max="11610" width="5.26953125" style="11" customWidth="1"/>
    <col min="11611" max="11611" width="6" style="11" customWidth="1"/>
    <col min="11612" max="11612" width="5.7265625" style="11" customWidth="1"/>
    <col min="11613" max="11617" width="12.1796875" style="11" bestFit="1" customWidth="1"/>
    <col min="11618" max="11618" width="9.81640625" style="11" bestFit="1" customWidth="1"/>
    <col min="11619" max="11619" width="11" style="11" bestFit="1" customWidth="1"/>
    <col min="11620" max="11620" width="11.26953125" style="11" bestFit="1" customWidth="1"/>
    <col min="11621" max="11621" width="11" style="11" bestFit="1" customWidth="1"/>
    <col min="11622" max="11623" width="9.81640625" style="11" bestFit="1" customWidth="1"/>
    <col min="11624" max="11624" width="10.26953125" style="11" bestFit="1" customWidth="1"/>
    <col min="11625" max="11625" width="12.1796875" style="11" bestFit="1" customWidth="1"/>
    <col min="11626" max="11626" width="11" style="11" bestFit="1" customWidth="1"/>
    <col min="11627" max="11627" width="12.1796875" style="11" bestFit="1" customWidth="1"/>
    <col min="11628" max="11628" width="13.81640625" style="11" bestFit="1" customWidth="1"/>
    <col min="11629" max="11629" width="9.81640625" style="11" bestFit="1" customWidth="1"/>
    <col min="11630" max="11630" width="13.81640625" style="11" bestFit="1" customWidth="1"/>
    <col min="11631" max="11631" width="10.81640625" style="11" bestFit="1" customWidth="1"/>
    <col min="11632" max="11632" width="12.1796875" style="11" bestFit="1" customWidth="1"/>
    <col min="11633" max="11635" width="11" style="11" bestFit="1" customWidth="1"/>
    <col min="11636" max="11636" width="14.26953125" style="11" customWidth="1"/>
    <col min="11637" max="11640" width="10.81640625" style="11" customWidth="1"/>
    <col min="11641" max="11641" width="9.54296875" style="11" customWidth="1"/>
    <col min="11642" max="11643" width="6.7265625" style="11" customWidth="1"/>
    <col min="11644" max="11650" width="8.7265625" style="11" customWidth="1"/>
    <col min="11651" max="11651" width="9.7265625" style="11" bestFit="1" customWidth="1"/>
    <col min="11652" max="11652" width="38.54296875" style="11" bestFit="1" customWidth="1"/>
    <col min="11653" max="11653" width="8.7265625" style="11" bestFit="1" customWidth="1"/>
    <col min="11654" max="11654" width="11.1796875" style="11" bestFit="1" customWidth="1"/>
    <col min="11655" max="11655" width="7.7265625" style="11" bestFit="1" customWidth="1"/>
    <col min="11656" max="11656" width="9.453125" style="11" bestFit="1" customWidth="1"/>
    <col min="11657" max="11657" width="8.7265625" style="11" bestFit="1" customWidth="1"/>
    <col min="11658" max="11658" width="10.453125" style="11" bestFit="1" customWidth="1"/>
    <col min="11659" max="11659" width="9" style="11" bestFit="1" customWidth="1"/>
    <col min="11660" max="11660" width="9.54296875" style="11" bestFit="1" customWidth="1"/>
    <col min="11661" max="11661" width="10.54296875" style="11" bestFit="1" customWidth="1"/>
    <col min="11662" max="11662" width="8.54296875" style="11" bestFit="1" customWidth="1"/>
    <col min="11663" max="11663" width="10.54296875" style="11" bestFit="1" customWidth="1"/>
    <col min="11664" max="11664" width="11" style="11" bestFit="1" customWidth="1"/>
    <col min="11665" max="11665" width="16.54296875" style="11" bestFit="1" customWidth="1"/>
    <col min="11666" max="11666" width="11" style="11" bestFit="1" customWidth="1"/>
    <col min="11667" max="11667" width="10.26953125" style="11" bestFit="1" customWidth="1"/>
    <col min="11668" max="11668" width="12.453125" style="11" bestFit="1" customWidth="1"/>
    <col min="11669" max="11669" width="10.54296875" style="11" bestFit="1" customWidth="1"/>
    <col min="11670" max="11670" width="9" style="11" bestFit="1" customWidth="1"/>
    <col min="11671" max="11671" width="10.54296875" style="11" bestFit="1" customWidth="1"/>
    <col min="11672" max="11672" width="11.1796875" style="11" bestFit="1" customWidth="1"/>
    <col min="11673" max="11673" width="11.453125" style="11" bestFit="1" customWidth="1"/>
    <col min="11674" max="11674" width="12.7265625" style="11" bestFit="1" customWidth="1"/>
    <col min="11675" max="11675" width="13.453125" style="11" bestFit="1" customWidth="1"/>
    <col min="11676" max="11676" width="11.81640625" style="11" bestFit="1" customWidth="1"/>
    <col min="11677" max="11677" width="10.7265625" style="11" bestFit="1" customWidth="1"/>
    <col min="11678" max="11678" width="8.81640625" style="11" bestFit="1" customWidth="1"/>
    <col min="11679" max="11679" width="10" style="11" bestFit="1" customWidth="1"/>
    <col min="11680" max="11680" width="13.1796875" style="11" bestFit="1" customWidth="1"/>
    <col min="11681" max="11681" width="20.7265625" style="11" bestFit="1" customWidth="1"/>
    <col min="11682" max="11682" width="20.7265625" style="11" customWidth="1"/>
    <col min="11683" max="11683" width="9.453125" style="11" bestFit="1" customWidth="1"/>
    <col min="11684" max="11685" width="9.26953125" style="11" bestFit="1" customWidth="1"/>
    <col min="11686" max="11686" width="10.26953125" style="11" bestFit="1" customWidth="1"/>
    <col min="11687" max="11696" width="9.26953125" style="11" bestFit="1" customWidth="1"/>
    <col min="11697" max="11697" width="10.26953125" style="11" bestFit="1" customWidth="1"/>
    <col min="11698" max="11701" width="9.26953125" style="11" bestFit="1" customWidth="1"/>
    <col min="11702" max="11702" width="11.26953125" style="11" bestFit="1" customWidth="1"/>
    <col min="11703" max="11715" width="8.7265625" style="11" customWidth="1"/>
    <col min="11716" max="11716" width="11" style="11" bestFit="1" customWidth="1"/>
    <col min="11717" max="11717" width="4.7265625" style="11" customWidth="1"/>
    <col min="11718" max="11718" width="25.26953125" style="11" customWidth="1"/>
    <col min="11719" max="11719" width="23" style="11" customWidth="1"/>
    <col min="11720" max="11720" width="10.26953125" style="11" bestFit="1" customWidth="1"/>
    <col min="11721" max="11721" width="0" style="11" hidden="1" customWidth="1"/>
    <col min="11722" max="11722" width="31.7265625" style="11" customWidth="1"/>
    <col min="11723" max="11723" width="6" style="11" customWidth="1"/>
    <col min="11724" max="11725" width="10.26953125" style="11" bestFit="1" customWidth="1"/>
    <col min="11726" max="11733" width="8.7265625" style="11" customWidth="1"/>
    <col min="11734" max="11734" width="10.26953125" style="11" bestFit="1" customWidth="1"/>
    <col min="11735" max="11816" width="8.7265625" style="11" customWidth="1"/>
    <col min="11817" max="11817" width="9.1796875" style="11"/>
    <col min="11818" max="11818" width="4.7265625" style="11" customWidth="1"/>
    <col min="11819" max="11819" width="3.54296875" style="11" customWidth="1"/>
    <col min="11820" max="11820" width="5.54296875" style="11" customWidth="1"/>
    <col min="11821" max="11821" width="8.7265625" style="11" customWidth="1"/>
    <col min="11822" max="11822" width="7.453125" style="11" customWidth="1"/>
    <col min="11823" max="11823" width="11.81640625" style="11" customWidth="1"/>
    <col min="11824" max="11824" width="8.26953125" style="11" customWidth="1"/>
    <col min="11825" max="11825" width="4.7265625" style="11" customWidth="1"/>
    <col min="11826" max="11826" width="0" style="11" hidden="1" customWidth="1"/>
    <col min="11827" max="11827" width="3.26953125" style="11" customWidth="1"/>
    <col min="11828" max="11828" width="0" style="11" hidden="1" customWidth="1"/>
    <col min="11829" max="11829" width="12" style="11" customWidth="1"/>
    <col min="11830" max="11830" width="12.81640625" style="11" customWidth="1"/>
    <col min="11831" max="11831" width="37.7265625" style="11" customWidth="1"/>
    <col min="11832" max="11833" width="8.453125" style="11" customWidth="1"/>
    <col min="11834" max="11834" width="8.54296875" style="11" customWidth="1"/>
    <col min="11835" max="11835" width="8.26953125" style="11" customWidth="1"/>
    <col min="11836" max="11836" width="12.26953125" style="11" customWidth="1"/>
    <col min="11837" max="11839" width="5.453125" style="11" customWidth="1"/>
    <col min="11840" max="11840" width="6.1796875" style="11" customWidth="1"/>
    <col min="11841" max="11841" width="5.1796875" style="11" customWidth="1"/>
    <col min="11842" max="11842" width="6.26953125" style="11" customWidth="1"/>
    <col min="11843" max="11843" width="6.7265625" style="11" customWidth="1"/>
    <col min="11844" max="11844" width="6.1796875" style="11" customWidth="1"/>
    <col min="11845" max="11845" width="6.54296875" style="11" customWidth="1"/>
    <col min="11846" max="11846" width="6.7265625" style="11" customWidth="1"/>
    <col min="11847" max="11847" width="5.7265625" style="11" customWidth="1"/>
    <col min="11848" max="11848" width="6.1796875" style="11" customWidth="1"/>
    <col min="11849" max="11849" width="6" style="11" customWidth="1"/>
    <col min="11850" max="11850" width="6.26953125" style="11" customWidth="1"/>
    <col min="11851" max="11851" width="6.54296875" style="11" customWidth="1"/>
    <col min="11852" max="11852" width="6.1796875" style="11" customWidth="1"/>
    <col min="11853" max="11853" width="5.26953125" style="11" customWidth="1"/>
    <col min="11854" max="11854" width="6.453125" style="11" customWidth="1"/>
    <col min="11855" max="11856" width="6.1796875" style="11" customWidth="1"/>
    <col min="11857" max="11857" width="6.26953125" style="11" customWidth="1"/>
    <col min="11858" max="11858" width="5.26953125" style="11" customWidth="1"/>
    <col min="11859" max="11859" width="6.81640625" style="11" customWidth="1"/>
    <col min="11860" max="11860" width="6.54296875" style="11" customWidth="1"/>
    <col min="11861" max="11861" width="6" style="11" customWidth="1"/>
    <col min="11862" max="11862" width="7" style="11" customWidth="1"/>
    <col min="11863" max="11863" width="6.26953125" style="11" customWidth="1"/>
    <col min="11864" max="11864" width="6.54296875" style="11" customWidth="1"/>
    <col min="11865" max="11865" width="6.7265625" style="11" customWidth="1"/>
    <col min="11866" max="11866" width="5.26953125" style="11" customWidth="1"/>
    <col min="11867" max="11867" width="6" style="11" customWidth="1"/>
    <col min="11868" max="11868" width="5.7265625" style="11" customWidth="1"/>
    <col min="11869" max="11873" width="12.1796875" style="11" bestFit="1" customWidth="1"/>
    <col min="11874" max="11874" width="9.81640625" style="11" bestFit="1" customWidth="1"/>
    <col min="11875" max="11875" width="11" style="11" bestFit="1" customWidth="1"/>
    <col min="11876" max="11876" width="11.26953125" style="11" bestFit="1" customWidth="1"/>
    <col min="11877" max="11877" width="11" style="11" bestFit="1" customWidth="1"/>
    <col min="11878" max="11879" width="9.81640625" style="11" bestFit="1" customWidth="1"/>
    <col min="11880" max="11880" width="10.26953125" style="11" bestFit="1" customWidth="1"/>
    <col min="11881" max="11881" width="12.1796875" style="11" bestFit="1" customWidth="1"/>
    <col min="11882" max="11882" width="11" style="11" bestFit="1" customWidth="1"/>
    <col min="11883" max="11883" width="12.1796875" style="11" bestFit="1" customWidth="1"/>
    <col min="11884" max="11884" width="13.81640625" style="11" bestFit="1" customWidth="1"/>
    <col min="11885" max="11885" width="9.81640625" style="11" bestFit="1" customWidth="1"/>
    <col min="11886" max="11886" width="13.81640625" style="11" bestFit="1" customWidth="1"/>
    <col min="11887" max="11887" width="10.81640625" style="11" bestFit="1" customWidth="1"/>
    <col min="11888" max="11888" width="12.1796875" style="11" bestFit="1" customWidth="1"/>
    <col min="11889" max="11891" width="11" style="11" bestFit="1" customWidth="1"/>
    <col min="11892" max="11892" width="14.26953125" style="11" customWidth="1"/>
    <col min="11893" max="11896" width="10.81640625" style="11" customWidth="1"/>
    <col min="11897" max="11897" width="9.54296875" style="11" customWidth="1"/>
    <col min="11898" max="11899" width="6.7265625" style="11" customWidth="1"/>
    <col min="11900" max="11906" width="8.7265625" style="11" customWidth="1"/>
    <col min="11907" max="11907" width="9.7265625" style="11" bestFit="1" customWidth="1"/>
    <col min="11908" max="11908" width="38.54296875" style="11" bestFit="1" customWidth="1"/>
    <col min="11909" max="11909" width="8.7265625" style="11" bestFit="1" customWidth="1"/>
    <col min="11910" max="11910" width="11.1796875" style="11" bestFit="1" customWidth="1"/>
    <col min="11911" max="11911" width="7.7265625" style="11" bestFit="1" customWidth="1"/>
    <col min="11912" max="11912" width="9.453125" style="11" bestFit="1" customWidth="1"/>
    <col min="11913" max="11913" width="8.7265625" style="11" bestFit="1" customWidth="1"/>
    <col min="11914" max="11914" width="10.453125" style="11" bestFit="1" customWidth="1"/>
    <col min="11915" max="11915" width="9" style="11" bestFit="1" customWidth="1"/>
    <col min="11916" max="11916" width="9.54296875" style="11" bestFit="1" customWidth="1"/>
    <col min="11917" max="11917" width="10.54296875" style="11" bestFit="1" customWidth="1"/>
    <col min="11918" max="11918" width="8.54296875" style="11" bestFit="1" customWidth="1"/>
    <col min="11919" max="11919" width="10.54296875" style="11" bestFit="1" customWidth="1"/>
    <col min="11920" max="11920" width="11" style="11" bestFit="1" customWidth="1"/>
    <col min="11921" max="11921" width="16.54296875" style="11" bestFit="1" customWidth="1"/>
    <col min="11922" max="11922" width="11" style="11" bestFit="1" customWidth="1"/>
    <col min="11923" max="11923" width="10.26953125" style="11" bestFit="1" customWidth="1"/>
    <col min="11924" max="11924" width="12.453125" style="11" bestFit="1" customWidth="1"/>
    <col min="11925" max="11925" width="10.54296875" style="11" bestFit="1" customWidth="1"/>
    <col min="11926" max="11926" width="9" style="11" bestFit="1" customWidth="1"/>
    <col min="11927" max="11927" width="10.54296875" style="11" bestFit="1" customWidth="1"/>
    <col min="11928" max="11928" width="11.1796875" style="11" bestFit="1" customWidth="1"/>
    <col min="11929" max="11929" width="11.453125" style="11" bestFit="1" customWidth="1"/>
    <col min="11930" max="11930" width="12.7265625" style="11" bestFit="1" customWidth="1"/>
    <col min="11931" max="11931" width="13.453125" style="11" bestFit="1" customWidth="1"/>
    <col min="11932" max="11932" width="11.81640625" style="11" bestFit="1" customWidth="1"/>
    <col min="11933" max="11933" width="10.7265625" style="11" bestFit="1" customWidth="1"/>
    <col min="11934" max="11934" width="8.81640625" style="11" bestFit="1" customWidth="1"/>
    <col min="11935" max="11935" width="10" style="11" bestFit="1" customWidth="1"/>
    <col min="11936" max="11936" width="13.1796875" style="11" bestFit="1" customWidth="1"/>
    <col min="11937" max="11937" width="20.7265625" style="11" bestFit="1" customWidth="1"/>
    <col min="11938" max="11938" width="20.7265625" style="11" customWidth="1"/>
    <col min="11939" max="11939" width="9.453125" style="11" bestFit="1" customWidth="1"/>
    <col min="11940" max="11941" width="9.26953125" style="11" bestFit="1" customWidth="1"/>
    <col min="11942" max="11942" width="10.26953125" style="11" bestFit="1" customWidth="1"/>
    <col min="11943" max="11952" width="9.26953125" style="11" bestFit="1" customWidth="1"/>
    <col min="11953" max="11953" width="10.26953125" style="11" bestFit="1" customWidth="1"/>
    <col min="11954" max="11957" width="9.26953125" style="11" bestFit="1" customWidth="1"/>
    <col min="11958" max="11958" width="11.26953125" style="11" bestFit="1" customWidth="1"/>
    <col min="11959" max="11971" width="8.7265625" style="11" customWidth="1"/>
    <col min="11972" max="11972" width="11" style="11" bestFit="1" customWidth="1"/>
    <col min="11973" max="11973" width="4.7265625" style="11" customWidth="1"/>
    <col min="11974" max="11974" width="25.26953125" style="11" customWidth="1"/>
    <col min="11975" max="11975" width="23" style="11" customWidth="1"/>
    <col min="11976" max="11976" width="10.26953125" style="11" bestFit="1" customWidth="1"/>
    <col min="11977" max="11977" width="0" style="11" hidden="1" customWidth="1"/>
    <col min="11978" max="11978" width="31.7265625" style="11" customWidth="1"/>
    <col min="11979" max="11979" width="6" style="11" customWidth="1"/>
    <col min="11980" max="11981" width="10.26953125" style="11" bestFit="1" customWidth="1"/>
    <col min="11982" max="11989" width="8.7265625" style="11" customWidth="1"/>
    <col min="11990" max="11990" width="10.26953125" style="11" bestFit="1" customWidth="1"/>
    <col min="11991" max="12072" width="8.7265625" style="11" customWidth="1"/>
    <col min="12073" max="12073" width="9.1796875" style="11"/>
    <col min="12074" max="12074" width="4.7265625" style="11" customWidth="1"/>
    <col min="12075" max="12075" width="3.54296875" style="11" customWidth="1"/>
    <col min="12076" max="12076" width="5.54296875" style="11" customWidth="1"/>
    <col min="12077" max="12077" width="8.7265625" style="11" customWidth="1"/>
    <col min="12078" max="12078" width="7.453125" style="11" customWidth="1"/>
    <col min="12079" max="12079" width="11.81640625" style="11" customWidth="1"/>
    <col min="12080" max="12080" width="8.26953125" style="11" customWidth="1"/>
    <col min="12081" max="12081" width="4.7265625" style="11" customWidth="1"/>
    <col min="12082" max="12082" width="0" style="11" hidden="1" customWidth="1"/>
    <col min="12083" max="12083" width="3.26953125" style="11" customWidth="1"/>
    <col min="12084" max="12084" width="0" style="11" hidden="1" customWidth="1"/>
    <col min="12085" max="12085" width="12" style="11" customWidth="1"/>
    <col min="12086" max="12086" width="12.81640625" style="11" customWidth="1"/>
    <col min="12087" max="12087" width="37.7265625" style="11" customWidth="1"/>
    <col min="12088" max="12089" width="8.453125" style="11" customWidth="1"/>
    <col min="12090" max="12090" width="8.54296875" style="11" customWidth="1"/>
    <col min="12091" max="12091" width="8.26953125" style="11" customWidth="1"/>
    <col min="12092" max="12092" width="12.26953125" style="11" customWidth="1"/>
    <col min="12093" max="12095" width="5.453125" style="11" customWidth="1"/>
    <col min="12096" max="12096" width="6.1796875" style="11" customWidth="1"/>
    <col min="12097" max="12097" width="5.1796875" style="11" customWidth="1"/>
    <col min="12098" max="12098" width="6.26953125" style="11" customWidth="1"/>
    <col min="12099" max="12099" width="6.7265625" style="11" customWidth="1"/>
    <col min="12100" max="12100" width="6.1796875" style="11" customWidth="1"/>
    <col min="12101" max="12101" width="6.54296875" style="11" customWidth="1"/>
    <col min="12102" max="12102" width="6.7265625" style="11" customWidth="1"/>
    <col min="12103" max="12103" width="5.7265625" style="11" customWidth="1"/>
    <col min="12104" max="12104" width="6.1796875" style="11" customWidth="1"/>
    <col min="12105" max="12105" width="6" style="11" customWidth="1"/>
    <col min="12106" max="12106" width="6.26953125" style="11" customWidth="1"/>
    <col min="12107" max="12107" width="6.54296875" style="11" customWidth="1"/>
    <col min="12108" max="12108" width="6.1796875" style="11" customWidth="1"/>
    <col min="12109" max="12109" width="5.26953125" style="11" customWidth="1"/>
    <col min="12110" max="12110" width="6.453125" style="11" customWidth="1"/>
    <col min="12111" max="12112" width="6.1796875" style="11" customWidth="1"/>
    <col min="12113" max="12113" width="6.26953125" style="11" customWidth="1"/>
    <col min="12114" max="12114" width="5.26953125" style="11" customWidth="1"/>
    <col min="12115" max="12115" width="6.81640625" style="11" customWidth="1"/>
    <col min="12116" max="12116" width="6.54296875" style="11" customWidth="1"/>
    <col min="12117" max="12117" width="6" style="11" customWidth="1"/>
    <col min="12118" max="12118" width="7" style="11" customWidth="1"/>
    <col min="12119" max="12119" width="6.26953125" style="11" customWidth="1"/>
    <col min="12120" max="12120" width="6.54296875" style="11" customWidth="1"/>
    <col min="12121" max="12121" width="6.7265625" style="11" customWidth="1"/>
    <col min="12122" max="12122" width="5.26953125" style="11" customWidth="1"/>
    <col min="12123" max="12123" width="6" style="11" customWidth="1"/>
    <col min="12124" max="12124" width="5.7265625" style="11" customWidth="1"/>
    <col min="12125" max="12129" width="12.1796875" style="11" bestFit="1" customWidth="1"/>
    <col min="12130" max="12130" width="9.81640625" style="11" bestFit="1" customWidth="1"/>
    <col min="12131" max="12131" width="11" style="11" bestFit="1" customWidth="1"/>
    <col min="12132" max="12132" width="11.26953125" style="11" bestFit="1" customWidth="1"/>
    <col min="12133" max="12133" width="11" style="11" bestFit="1" customWidth="1"/>
    <col min="12134" max="12135" width="9.81640625" style="11" bestFit="1" customWidth="1"/>
    <col min="12136" max="12136" width="10.26953125" style="11" bestFit="1" customWidth="1"/>
    <col min="12137" max="12137" width="12.1796875" style="11" bestFit="1" customWidth="1"/>
    <col min="12138" max="12138" width="11" style="11" bestFit="1" customWidth="1"/>
    <col min="12139" max="12139" width="12.1796875" style="11" bestFit="1" customWidth="1"/>
    <col min="12140" max="12140" width="13.81640625" style="11" bestFit="1" customWidth="1"/>
    <col min="12141" max="12141" width="9.81640625" style="11" bestFit="1" customWidth="1"/>
    <col min="12142" max="12142" width="13.81640625" style="11" bestFit="1" customWidth="1"/>
    <col min="12143" max="12143" width="10.81640625" style="11" bestFit="1" customWidth="1"/>
    <col min="12144" max="12144" width="12.1796875" style="11" bestFit="1" customWidth="1"/>
    <col min="12145" max="12147" width="11" style="11" bestFit="1" customWidth="1"/>
    <col min="12148" max="12148" width="14.26953125" style="11" customWidth="1"/>
    <col min="12149" max="12152" width="10.81640625" style="11" customWidth="1"/>
    <col min="12153" max="12153" width="9.54296875" style="11" customWidth="1"/>
    <col min="12154" max="12155" width="6.7265625" style="11" customWidth="1"/>
    <col min="12156" max="12162" width="8.7265625" style="11" customWidth="1"/>
    <col min="12163" max="12163" width="9.7265625" style="11" bestFit="1" customWidth="1"/>
    <col min="12164" max="12164" width="38.54296875" style="11" bestFit="1" customWidth="1"/>
    <col min="12165" max="12165" width="8.7265625" style="11" bestFit="1" customWidth="1"/>
    <col min="12166" max="12166" width="11.1796875" style="11" bestFit="1" customWidth="1"/>
    <col min="12167" max="12167" width="7.7265625" style="11" bestFit="1" customWidth="1"/>
    <col min="12168" max="12168" width="9.453125" style="11" bestFit="1" customWidth="1"/>
    <col min="12169" max="12169" width="8.7265625" style="11" bestFit="1" customWidth="1"/>
    <col min="12170" max="12170" width="10.453125" style="11" bestFit="1" customWidth="1"/>
    <col min="12171" max="12171" width="9" style="11" bestFit="1" customWidth="1"/>
    <col min="12172" max="12172" width="9.54296875" style="11" bestFit="1" customWidth="1"/>
    <col min="12173" max="12173" width="10.54296875" style="11" bestFit="1" customWidth="1"/>
    <col min="12174" max="12174" width="8.54296875" style="11" bestFit="1" customWidth="1"/>
    <col min="12175" max="12175" width="10.54296875" style="11" bestFit="1" customWidth="1"/>
    <col min="12176" max="12176" width="11" style="11" bestFit="1" customWidth="1"/>
    <col min="12177" max="12177" width="16.54296875" style="11" bestFit="1" customWidth="1"/>
    <col min="12178" max="12178" width="11" style="11" bestFit="1" customWidth="1"/>
    <col min="12179" max="12179" width="10.26953125" style="11" bestFit="1" customWidth="1"/>
    <col min="12180" max="12180" width="12.453125" style="11" bestFit="1" customWidth="1"/>
    <col min="12181" max="12181" width="10.54296875" style="11" bestFit="1" customWidth="1"/>
    <col min="12182" max="12182" width="9" style="11" bestFit="1" customWidth="1"/>
    <col min="12183" max="12183" width="10.54296875" style="11" bestFit="1" customWidth="1"/>
    <col min="12184" max="12184" width="11.1796875" style="11" bestFit="1" customWidth="1"/>
    <col min="12185" max="12185" width="11.453125" style="11" bestFit="1" customWidth="1"/>
    <col min="12186" max="12186" width="12.7265625" style="11" bestFit="1" customWidth="1"/>
    <col min="12187" max="12187" width="13.453125" style="11" bestFit="1" customWidth="1"/>
    <col min="12188" max="12188" width="11.81640625" style="11" bestFit="1" customWidth="1"/>
    <col min="12189" max="12189" width="10.7265625" style="11" bestFit="1" customWidth="1"/>
    <col min="12190" max="12190" width="8.81640625" style="11" bestFit="1" customWidth="1"/>
    <col min="12191" max="12191" width="10" style="11" bestFit="1" customWidth="1"/>
    <col min="12192" max="12192" width="13.1796875" style="11" bestFit="1" customWidth="1"/>
    <col min="12193" max="12193" width="20.7265625" style="11" bestFit="1" customWidth="1"/>
    <col min="12194" max="12194" width="20.7265625" style="11" customWidth="1"/>
    <col min="12195" max="12195" width="9.453125" style="11" bestFit="1" customWidth="1"/>
    <col min="12196" max="12197" width="9.26953125" style="11" bestFit="1" customWidth="1"/>
    <col min="12198" max="12198" width="10.26953125" style="11" bestFit="1" customWidth="1"/>
    <col min="12199" max="12208" width="9.26953125" style="11" bestFit="1" customWidth="1"/>
    <col min="12209" max="12209" width="10.26953125" style="11" bestFit="1" customWidth="1"/>
    <col min="12210" max="12213" width="9.26953125" style="11" bestFit="1" customWidth="1"/>
    <col min="12214" max="12214" width="11.26953125" style="11" bestFit="1" customWidth="1"/>
    <col min="12215" max="12227" width="8.7265625" style="11" customWidth="1"/>
    <col min="12228" max="12228" width="11" style="11" bestFit="1" customWidth="1"/>
    <col min="12229" max="12229" width="4.7265625" style="11" customWidth="1"/>
    <col min="12230" max="12230" width="25.26953125" style="11" customWidth="1"/>
    <col min="12231" max="12231" width="23" style="11" customWidth="1"/>
    <col min="12232" max="12232" width="10.26953125" style="11" bestFit="1" customWidth="1"/>
    <col min="12233" max="12233" width="0" style="11" hidden="1" customWidth="1"/>
    <col min="12234" max="12234" width="31.7265625" style="11" customWidth="1"/>
    <col min="12235" max="12235" width="6" style="11" customWidth="1"/>
    <col min="12236" max="12237" width="10.26953125" style="11" bestFit="1" customWidth="1"/>
    <col min="12238" max="12245" width="8.7265625" style="11" customWidth="1"/>
    <col min="12246" max="12246" width="10.26953125" style="11" bestFit="1" customWidth="1"/>
    <col min="12247" max="12328" width="8.7265625" style="11" customWidth="1"/>
    <col min="12329" max="12329" width="9.1796875" style="11"/>
    <col min="12330" max="12330" width="4.7265625" style="11" customWidth="1"/>
    <col min="12331" max="12331" width="3.54296875" style="11" customWidth="1"/>
    <col min="12332" max="12332" width="5.54296875" style="11" customWidth="1"/>
    <col min="12333" max="12333" width="8.7265625" style="11" customWidth="1"/>
    <col min="12334" max="12334" width="7.453125" style="11" customWidth="1"/>
    <col min="12335" max="12335" width="11.81640625" style="11" customWidth="1"/>
    <col min="12336" max="12336" width="8.26953125" style="11" customWidth="1"/>
    <col min="12337" max="12337" width="4.7265625" style="11" customWidth="1"/>
    <col min="12338" max="12338" width="0" style="11" hidden="1" customWidth="1"/>
    <col min="12339" max="12339" width="3.26953125" style="11" customWidth="1"/>
    <col min="12340" max="12340" width="0" style="11" hidden="1" customWidth="1"/>
    <col min="12341" max="12341" width="12" style="11" customWidth="1"/>
    <col min="12342" max="12342" width="12.81640625" style="11" customWidth="1"/>
    <col min="12343" max="12343" width="37.7265625" style="11" customWidth="1"/>
    <col min="12344" max="12345" width="8.453125" style="11" customWidth="1"/>
    <col min="12346" max="12346" width="8.54296875" style="11" customWidth="1"/>
    <col min="12347" max="12347" width="8.26953125" style="11" customWidth="1"/>
    <col min="12348" max="12348" width="12.26953125" style="11" customWidth="1"/>
    <col min="12349" max="12351" width="5.453125" style="11" customWidth="1"/>
    <col min="12352" max="12352" width="6.1796875" style="11" customWidth="1"/>
    <col min="12353" max="12353" width="5.1796875" style="11" customWidth="1"/>
    <col min="12354" max="12354" width="6.26953125" style="11" customWidth="1"/>
    <col min="12355" max="12355" width="6.7265625" style="11" customWidth="1"/>
    <col min="12356" max="12356" width="6.1796875" style="11" customWidth="1"/>
    <col min="12357" max="12357" width="6.54296875" style="11" customWidth="1"/>
    <col min="12358" max="12358" width="6.7265625" style="11" customWidth="1"/>
    <col min="12359" max="12359" width="5.7265625" style="11" customWidth="1"/>
    <col min="12360" max="12360" width="6.1796875" style="11" customWidth="1"/>
    <col min="12361" max="12361" width="6" style="11" customWidth="1"/>
    <col min="12362" max="12362" width="6.26953125" style="11" customWidth="1"/>
    <col min="12363" max="12363" width="6.54296875" style="11" customWidth="1"/>
    <col min="12364" max="12364" width="6.1796875" style="11" customWidth="1"/>
    <col min="12365" max="12365" width="5.26953125" style="11" customWidth="1"/>
    <col min="12366" max="12366" width="6.453125" style="11" customWidth="1"/>
    <col min="12367" max="12368" width="6.1796875" style="11" customWidth="1"/>
    <col min="12369" max="12369" width="6.26953125" style="11" customWidth="1"/>
    <col min="12370" max="12370" width="5.26953125" style="11" customWidth="1"/>
    <col min="12371" max="12371" width="6.81640625" style="11" customWidth="1"/>
    <col min="12372" max="12372" width="6.54296875" style="11" customWidth="1"/>
    <col min="12373" max="12373" width="6" style="11" customWidth="1"/>
    <col min="12374" max="12374" width="7" style="11" customWidth="1"/>
    <col min="12375" max="12375" width="6.26953125" style="11" customWidth="1"/>
    <col min="12376" max="12376" width="6.54296875" style="11" customWidth="1"/>
    <col min="12377" max="12377" width="6.7265625" style="11" customWidth="1"/>
    <col min="12378" max="12378" width="5.26953125" style="11" customWidth="1"/>
    <col min="12379" max="12379" width="6" style="11" customWidth="1"/>
    <col min="12380" max="12380" width="5.7265625" style="11" customWidth="1"/>
    <col min="12381" max="12385" width="12.1796875" style="11" bestFit="1" customWidth="1"/>
    <col min="12386" max="12386" width="9.81640625" style="11" bestFit="1" customWidth="1"/>
    <col min="12387" max="12387" width="11" style="11" bestFit="1" customWidth="1"/>
    <col min="12388" max="12388" width="11.26953125" style="11" bestFit="1" customWidth="1"/>
    <col min="12389" max="12389" width="11" style="11" bestFit="1" customWidth="1"/>
    <col min="12390" max="12391" width="9.81640625" style="11" bestFit="1" customWidth="1"/>
    <col min="12392" max="12392" width="10.26953125" style="11" bestFit="1" customWidth="1"/>
    <col min="12393" max="12393" width="12.1796875" style="11" bestFit="1" customWidth="1"/>
    <col min="12394" max="12394" width="11" style="11" bestFit="1" customWidth="1"/>
    <col min="12395" max="12395" width="12.1796875" style="11" bestFit="1" customWidth="1"/>
    <col min="12396" max="12396" width="13.81640625" style="11" bestFit="1" customWidth="1"/>
    <col min="12397" max="12397" width="9.81640625" style="11" bestFit="1" customWidth="1"/>
    <col min="12398" max="12398" width="13.81640625" style="11" bestFit="1" customWidth="1"/>
    <col min="12399" max="12399" width="10.81640625" style="11" bestFit="1" customWidth="1"/>
    <col min="12400" max="12400" width="12.1796875" style="11" bestFit="1" customWidth="1"/>
    <col min="12401" max="12403" width="11" style="11" bestFit="1" customWidth="1"/>
    <col min="12404" max="12404" width="14.26953125" style="11" customWidth="1"/>
    <col min="12405" max="12408" width="10.81640625" style="11" customWidth="1"/>
    <col min="12409" max="12409" width="9.54296875" style="11" customWidth="1"/>
    <col min="12410" max="12411" width="6.7265625" style="11" customWidth="1"/>
    <col min="12412" max="12418" width="8.7265625" style="11" customWidth="1"/>
    <col min="12419" max="12419" width="9.7265625" style="11" bestFit="1" customWidth="1"/>
    <col min="12420" max="12420" width="38.54296875" style="11" bestFit="1" customWidth="1"/>
    <col min="12421" max="12421" width="8.7265625" style="11" bestFit="1" customWidth="1"/>
    <col min="12422" max="12422" width="11.1796875" style="11" bestFit="1" customWidth="1"/>
    <col min="12423" max="12423" width="7.7265625" style="11" bestFit="1" customWidth="1"/>
    <col min="12424" max="12424" width="9.453125" style="11" bestFit="1" customWidth="1"/>
    <col min="12425" max="12425" width="8.7265625" style="11" bestFit="1" customWidth="1"/>
    <col min="12426" max="12426" width="10.453125" style="11" bestFit="1" customWidth="1"/>
    <col min="12427" max="12427" width="9" style="11" bestFit="1" customWidth="1"/>
    <col min="12428" max="12428" width="9.54296875" style="11" bestFit="1" customWidth="1"/>
    <col min="12429" max="12429" width="10.54296875" style="11" bestFit="1" customWidth="1"/>
    <col min="12430" max="12430" width="8.54296875" style="11" bestFit="1" customWidth="1"/>
    <col min="12431" max="12431" width="10.54296875" style="11" bestFit="1" customWidth="1"/>
    <col min="12432" max="12432" width="11" style="11" bestFit="1" customWidth="1"/>
    <col min="12433" max="12433" width="16.54296875" style="11" bestFit="1" customWidth="1"/>
    <col min="12434" max="12434" width="11" style="11" bestFit="1" customWidth="1"/>
    <col min="12435" max="12435" width="10.26953125" style="11" bestFit="1" customWidth="1"/>
    <col min="12436" max="12436" width="12.453125" style="11" bestFit="1" customWidth="1"/>
    <col min="12437" max="12437" width="10.54296875" style="11" bestFit="1" customWidth="1"/>
    <col min="12438" max="12438" width="9" style="11" bestFit="1" customWidth="1"/>
    <col min="12439" max="12439" width="10.54296875" style="11" bestFit="1" customWidth="1"/>
    <col min="12440" max="12440" width="11.1796875" style="11" bestFit="1" customWidth="1"/>
    <col min="12441" max="12441" width="11.453125" style="11" bestFit="1" customWidth="1"/>
    <col min="12442" max="12442" width="12.7265625" style="11" bestFit="1" customWidth="1"/>
    <col min="12443" max="12443" width="13.453125" style="11" bestFit="1" customWidth="1"/>
    <col min="12444" max="12444" width="11.81640625" style="11" bestFit="1" customWidth="1"/>
    <col min="12445" max="12445" width="10.7265625" style="11" bestFit="1" customWidth="1"/>
    <col min="12446" max="12446" width="8.81640625" style="11" bestFit="1" customWidth="1"/>
    <col min="12447" max="12447" width="10" style="11" bestFit="1" customWidth="1"/>
    <col min="12448" max="12448" width="13.1796875" style="11" bestFit="1" customWidth="1"/>
    <col min="12449" max="12449" width="20.7265625" style="11" bestFit="1" customWidth="1"/>
    <col min="12450" max="12450" width="20.7265625" style="11" customWidth="1"/>
    <col min="12451" max="12451" width="9.453125" style="11" bestFit="1" customWidth="1"/>
    <col min="12452" max="12453" width="9.26953125" style="11" bestFit="1" customWidth="1"/>
    <col min="12454" max="12454" width="10.26953125" style="11" bestFit="1" customWidth="1"/>
    <col min="12455" max="12464" width="9.26953125" style="11" bestFit="1" customWidth="1"/>
    <col min="12465" max="12465" width="10.26953125" style="11" bestFit="1" customWidth="1"/>
    <col min="12466" max="12469" width="9.26953125" style="11" bestFit="1" customWidth="1"/>
    <col min="12470" max="12470" width="11.26953125" style="11" bestFit="1" customWidth="1"/>
    <col min="12471" max="12483" width="8.7265625" style="11" customWidth="1"/>
    <col min="12484" max="12484" width="11" style="11" bestFit="1" customWidth="1"/>
    <col min="12485" max="12485" width="4.7265625" style="11" customWidth="1"/>
    <col min="12486" max="12486" width="25.26953125" style="11" customWidth="1"/>
    <col min="12487" max="12487" width="23" style="11" customWidth="1"/>
    <col min="12488" max="12488" width="10.26953125" style="11" bestFit="1" customWidth="1"/>
    <col min="12489" max="12489" width="0" style="11" hidden="1" customWidth="1"/>
    <col min="12490" max="12490" width="31.7265625" style="11" customWidth="1"/>
    <col min="12491" max="12491" width="6" style="11" customWidth="1"/>
    <col min="12492" max="12493" width="10.26953125" style="11" bestFit="1" customWidth="1"/>
    <col min="12494" max="12501" width="8.7265625" style="11" customWidth="1"/>
    <col min="12502" max="12502" width="10.26953125" style="11" bestFit="1" customWidth="1"/>
    <col min="12503" max="12584" width="8.7265625" style="11" customWidth="1"/>
    <col min="12585" max="12585" width="9.1796875" style="11"/>
    <col min="12586" max="12586" width="4.7265625" style="11" customWidth="1"/>
    <col min="12587" max="12587" width="3.54296875" style="11" customWidth="1"/>
    <col min="12588" max="12588" width="5.54296875" style="11" customWidth="1"/>
    <col min="12589" max="12589" width="8.7265625" style="11" customWidth="1"/>
    <col min="12590" max="12590" width="7.453125" style="11" customWidth="1"/>
    <col min="12591" max="12591" width="11.81640625" style="11" customWidth="1"/>
    <col min="12592" max="12592" width="8.26953125" style="11" customWidth="1"/>
    <col min="12593" max="12593" width="4.7265625" style="11" customWidth="1"/>
    <col min="12594" max="12594" width="0" style="11" hidden="1" customWidth="1"/>
    <col min="12595" max="12595" width="3.26953125" style="11" customWidth="1"/>
    <col min="12596" max="12596" width="0" style="11" hidden="1" customWidth="1"/>
    <col min="12597" max="12597" width="12" style="11" customWidth="1"/>
    <col min="12598" max="12598" width="12.81640625" style="11" customWidth="1"/>
    <col min="12599" max="12599" width="37.7265625" style="11" customWidth="1"/>
    <col min="12600" max="12601" width="8.453125" style="11" customWidth="1"/>
    <col min="12602" max="12602" width="8.54296875" style="11" customWidth="1"/>
    <col min="12603" max="12603" width="8.26953125" style="11" customWidth="1"/>
    <col min="12604" max="12604" width="12.26953125" style="11" customWidth="1"/>
    <col min="12605" max="12607" width="5.453125" style="11" customWidth="1"/>
    <col min="12608" max="12608" width="6.1796875" style="11" customWidth="1"/>
    <col min="12609" max="12609" width="5.1796875" style="11" customWidth="1"/>
    <col min="12610" max="12610" width="6.26953125" style="11" customWidth="1"/>
    <col min="12611" max="12611" width="6.7265625" style="11" customWidth="1"/>
    <col min="12612" max="12612" width="6.1796875" style="11" customWidth="1"/>
    <col min="12613" max="12613" width="6.54296875" style="11" customWidth="1"/>
    <col min="12614" max="12614" width="6.7265625" style="11" customWidth="1"/>
    <col min="12615" max="12615" width="5.7265625" style="11" customWidth="1"/>
    <col min="12616" max="12616" width="6.1796875" style="11" customWidth="1"/>
    <col min="12617" max="12617" width="6" style="11" customWidth="1"/>
    <col min="12618" max="12618" width="6.26953125" style="11" customWidth="1"/>
    <col min="12619" max="12619" width="6.54296875" style="11" customWidth="1"/>
    <col min="12620" max="12620" width="6.1796875" style="11" customWidth="1"/>
    <col min="12621" max="12621" width="5.26953125" style="11" customWidth="1"/>
    <col min="12622" max="12622" width="6.453125" style="11" customWidth="1"/>
    <col min="12623" max="12624" width="6.1796875" style="11" customWidth="1"/>
    <col min="12625" max="12625" width="6.26953125" style="11" customWidth="1"/>
    <col min="12626" max="12626" width="5.26953125" style="11" customWidth="1"/>
    <col min="12627" max="12627" width="6.81640625" style="11" customWidth="1"/>
    <col min="12628" max="12628" width="6.54296875" style="11" customWidth="1"/>
    <col min="12629" max="12629" width="6" style="11" customWidth="1"/>
    <col min="12630" max="12630" width="7" style="11" customWidth="1"/>
    <col min="12631" max="12631" width="6.26953125" style="11" customWidth="1"/>
    <col min="12632" max="12632" width="6.54296875" style="11" customWidth="1"/>
    <col min="12633" max="12633" width="6.7265625" style="11" customWidth="1"/>
    <col min="12634" max="12634" width="5.26953125" style="11" customWidth="1"/>
    <col min="12635" max="12635" width="6" style="11" customWidth="1"/>
    <col min="12636" max="12636" width="5.7265625" style="11" customWidth="1"/>
    <col min="12637" max="12641" width="12.1796875" style="11" bestFit="1" customWidth="1"/>
    <col min="12642" max="12642" width="9.81640625" style="11" bestFit="1" customWidth="1"/>
    <col min="12643" max="12643" width="11" style="11" bestFit="1" customWidth="1"/>
    <col min="12644" max="12644" width="11.26953125" style="11" bestFit="1" customWidth="1"/>
    <col min="12645" max="12645" width="11" style="11" bestFit="1" customWidth="1"/>
    <col min="12646" max="12647" width="9.81640625" style="11" bestFit="1" customWidth="1"/>
    <col min="12648" max="12648" width="10.26953125" style="11" bestFit="1" customWidth="1"/>
    <col min="12649" max="12649" width="12.1796875" style="11" bestFit="1" customWidth="1"/>
    <col min="12650" max="12650" width="11" style="11" bestFit="1" customWidth="1"/>
    <col min="12651" max="12651" width="12.1796875" style="11" bestFit="1" customWidth="1"/>
    <col min="12652" max="12652" width="13.81640625" style="11" bestFit="1" customWidth="1"/>
    <col min="12653" max="12653" width="9.81640625" style="11" bestFit="1" customWidth="1"/>
    <col min="12654" max="12654" width="13.81640625" style="11" bestFit="1" customWidth="1"/>
    <col min="12655" max="12655" width="10.81640625" style="11" bestFit="1" customWidth="1"/>
    <col min="12656" max="12656" width="12.1796875" style="11" bestFit="1" customWidth="1"/>
    <col min="12657" max="12659" width="11" style="11" bestFit="1" customWidth="1"/>
    <col min="12660" max="12660" width="14.26953125" style="11" customWidth="1"/>
    <col min="12661" max="12664" width="10.81640625" style="11" customWidth="1"/>
    <col min="12665" max="12665" width="9.54296875" style="11" customWidth="1"/>
    <col min="12666" max="12667" width="6.7265625" style="11" customWidth="1"/>
    <col min="12668" max="12674" width="8.7265625" style="11" customWidth="1"/>
    <col min="12675" max="12675" width="9.7265625" style="11" bestFit="1" customWidth="1"/>
    <col min="12676" max="12676" width="38.54296875" style="11" bestFit="1" customWidth="1"/>
    <col min="12677" max="12677" width="8.7265625" style="11" bestFit="1" customWidth="1"/>
    <col min="12678" max="12678" width="11.1796875" style="11" bestFit="1" customWidth="1"/>
    <col min="12679" max="12679" width="7.7265625" style="11" bestFit="1" customWidth="1"/>
    <col min="12680" max="12680" width="9.453125" style="11" bestFit="1" customWidth="1"/>
    <col min="12681" max="12681" width="8.7265625" style="11" bestFit="1" customWidth="1"/>
    <col min="12682" max="12682" width="10.453125" style="11" bestFit="1" customWidth="1"/>
    <col min="12683" max="12683" width="9" style="11" bestFit="1" customWidth="1"/>
    <col min="12684" max="12684" width="9.54296875" style="11" bestFit="1" customWidth="1"/>
    <col min="12685" max="12685" width="10.54296875" style="11" bestFit="1" customWidth="1"/>
    <col min="12686" max="12686" width="8.54296875" style="11" bestFit="1" customWidth="1"/>
    <col min="12687" max="12687" width="10.54296875" style="11" bestFit="1" customWidth="1"/>
    <col min="12688" max="12688" width="11" style="11" bestFit="1" customWidth="1"/>
    <col min="12689" max="12689" width="16.54296875" style="11" bestFit="1" customWidth="1"/>
    <col min="12690" max="12690" width="11" style="11" bestFit="1" customWidth="1"/>
    <col min="12691" max="12691" width="10.26953125" style="11" bestFit="1" customWidth="1"/>
    <col min="12692" max="12692" width="12.453125" style="11" bestFit="1" customWidth="1"/>
    <col min="12693" max="12693" width="10.54296875" style="11" bestFit="1" customWidth="1"/>
    <col min="12694" max="12694" width="9" style="11" bestFit="1" customWidth="1"/>
    <col min="12695" max="12695" width="10.54296875" style="11" bestFit="1" customWidth="1"/>
    <col min="12696" max="12696" width="11.1796875" style="11" bestFit="1" customWidth="1"/>
    <col min="12697" max="12697" width="11.453125" style="11" bestFit="1" customWidth="1"/>
    <col min="12698" max="12698" width="12.7265625" style="11" bestFit="1" customWidth="1"/>
    <col min="12699" max="12699" width="13.453125" style="11" bestFit="1" customWidth="1"/>
    <col min="12700" max="12700" width="11.81640625" style="11" bestFit="1" customWidth="1"/>
    <col min="12701" max="12701" width="10.7265625" style="11" bestFit="1" customWidth="1"/>
    <col min="12702" max="12702" width="8.81640625" style="11" bestFit="1" customWidth="1"/>
    <col min="12703" max="12703" width="10" style="11" bestFit="1" customWidth="1"/>
    <col min="12704" max="12704" width="13.1796875" style="11" bestFit="1" customWidth="1"/>
    <col min="12705" max="12705" width="20.7265625" style="11" bestFit="1" customWidth="1"/>
    <col min="12706" max="12706" width="20.7265625" style="11" customWidth="1"/>
    <col min="12707" max="12707" width="9.453125" style="11" bestFit="1" customWidth="1"/>
    <col min="12708" max="12709" width="9.26953125" style="11" bestFit="1" customWidth="1"/>
    <col min="12710" max="12710" width="10.26953125" style="11" bestFit="1" customWidth="1"/>
    <col min="12711" max="12720" width="9.26953125" style="11" bestFit="1" customWidth="1"/>
    <col min="12721" max="12721" width="10.26953125" style="11" bestFit="1" customWidth="1"/>
    <col min="12722" max="12725" width="9.26953125" style="11" bestFit="1" customWidth="1"/>
    <col min="12726" max="12726" width="11.26953125" style="11" bestFit="1" customWidth="1"/>
    <col min="12727" max="12739" width="8.7265625" style="11" customWidth="1"/>
    <col min="12740" max="12740" width="11" style="11" bestFit="1" customWidth="1"/>
    <col min="12741" max="12741" width="4.7265625" style="11" customWidth="1"/>
    <col min="12742" max="12742" width="25.26953125" style="11" customWidth="1"/>
    <col min="12743" max="12743" width="23" style="11" customWidth="1"/>
    <col min="12744" max="12744" width="10.26953125" style="11" bestFit="1" customWidth="1"/>
    <col min="12745" max="12745" width="0" style="11" hidden="1" customWidth="1"/>
    <col min="12746" max="12746" width="31.7265625" style="11" customWidth="1"/>
    <col min="12747" max="12747" width="6" style="11" customWidth="1"/>
    <col min="12748" max="12749" width="10.26953125" style="11" bestFit="1" customWidth="1"/>
    <col min="12750" max="12757" width="8.7265625" style="11" customWidth="1"/>
    <col min="12758" max="12758" width="10.26953125" style="11" bestFit="1" customWidth="1"/>
    <col min="12759" max="12840" width="8.7265625" style="11" customWidth="1"/>
    <col min="12841" max="12841" width="9.1796875" style="11"/>
    <col min="12842" max="12842" width="4.7265625" style="11" customWidth="1"/>
    <col min="12843" max="12843" width="3.54296875" style="11" customWidth="1"/>
    <col min="12844" max="12844" width="5.54296875" style="11" customWidth="1"/>
    <col min="12845" max="12845" width="8.7265625" style="11" customWidth="1"/>
    <col min="12846" max="12846" width="7.453125" style="11" customWidth="1"/>
    <col min="12847" max="12847" width="11.81640625" style="11" customWidth="1"/>
    <col min="12848" max="12848" width="8.26953125" style="11" customWidth="1"/>
    <col min="12849" max="12849" width="4.7265625" style="11" customWidth="1"/>
    <col min="12850" max="12850" width="0" style="11" hidden="1" customWidth="1"/>
    <col min="12851" max="12851" width="3.26953125" style="11" customWidth="1"/>
    <col min="12852" max="12852" width="0" style="11" hidden="1" customWidth="1"/>
    <col min="12853" max="12853" width="12" style="11" customWidth="1"/>
    <col min="12854" max="12854" width="12.81640625" style="11" customWidth="1"/>
    <col min="12855" max="12855" width="37.7265625" style="11" customWidth="1"/>
    <col min="12856" max="12857" width="8.453125" style="11" customWidth="1"/>
    <col min="12858" max="12858" width="8.54296875" style="11" customWidth="1"/>
    <col min="12859" max="12859" width="8.26953125" style="11" customWidth="1"/>
    <col min="12860" max="12860" width="12.26953125" style="11" customWidth="1"/>
    <col min="12861" max="12863" width="5.453125" style="11" customWidth="1"/>
    <col min="12864" max="12864" width="6.1796875" style="11" customWidth="1"/>
    <col min="12865" max="12865" width="5.1796875" style="11" customWidth="1"/>
    <col min="12866" max="12866" width="6.26953125" style="11" customWidth="1"/>
    <col min="12867" max="12867" width="6.7265625" style="11" customWidth="1"/>
    <col min="12868" max="12868" width="6.1796875" style="11" customWidth="1"/>
    <col min="12869" max="12869" width="6.54296875" style="11" customWidth="1"/>
    <col min="12870" max="12870" width="6.7265625" style="11" customWidth="1"/>
    <col min="12871" max="12871" width="5.7265625" style="11" customWidth="1"/>
    <col min="12872" max="12872" width="6.1796875" style="11" customWidth="1"/>
    <col min="12873" max="12873" width="6" style="11" customWidth="1"/>
    <col min="12874" max="12874" width="6.26953125" style="11" customWidth="1"/>
    <col min="12875" max="12875" width="6.54296875" style="11" customWidth="1"/>
    <col min="12876" max="12876" width="6.1796875" style="11" customWidth="1"/>
    <col min="12877" max="12877" width="5.26953125" style="11" customWidth="1"/>
    <col min="12878" max="12878" width="6.453125" style="11" customWidth="1"/>
    <col min="12879" max="12880" width="6.1796875" style="11" customWidth="1"/>
    <col min="12881" max="12881" width="6.26953125" style="11" customWidth="1"/>
    <col min="12882" max="12882" width="5.26953125" style="11" customWidth="1"/>
    <col min="12883" max="12883" width="6.81640625" style="11" customWidth="1"/>
    <col min="12884" max="12884" width="6.54296875" style="11" customWidth="1"/>
    <col min="12885" max="12885" width="6" style="11" customWidth="1"/>
    <col min="12886" max="12886" width="7" style="11" customWidth="1"/>
    <col min="12887" max="12887" width="6.26953125" style="11" customWidth="1"/>
    <col min="12888" max="12888" width="6.54296875" style="11" customWidth="1"/>
    <col min="12889" max="12889" width="6.7265625" style="11" customWidth="1"/>
    <col min="12890" max="12890" width="5.26953125" style="11" customWidth="1"/>
    <col min="12891" max="12891" width="6" style="11" customWidth="1"/>
    <col min="12892" max="12892" width="5.7265625" style="11" customWidth="1"/>
    <col min="12893" max="12897" width="12.1796875" style="11" bestFit="1" customWidth="1"/>
    <col min="12898" max="12898" width="9.81640625" style="11" bestFit="1" customWidth="1"/>
    <col min="12899" max="12899" width="11" style="11" bestFit="1" customWidth="1"/>
    <col min="12900" max="12900" width="11.26953125" style="11" bestFit="1" customWidth="1"/>
    <col min="12901" max="12901" width="11" style="11" bestFit="1" customWidth="1"/>
    <col min="12902" max="12903" width="9.81640625" style="11" bestFit="1" customWidth="1"/>
    <col min="12904" max="12904" width="10.26953125" style="11" bestFit="1" customWidth="1"/>
    <col min="12905" max="12905" width="12.1796875" style="11" bestFit="1" customWidth="1"/>
    <col min="12906" max="12906" width="11" style="11" bestFit="1" customWidth="1"/>
    <col min="12907" max="12907" width="12.1796875" style="11" bestFit="1" customWidth="1"/>
    <col min="12908" max="12908" width="13.81640625" style="11" bestFit="1" customWidth="1"/>
    <col min="12909" max="12909" width="9.81640625" style="11" bestFit="1" customWidth="1"/>
    <col min="12910" max="12910" width="13.81640625" style="11" bestFit="1" customWidth="1"/>
    <col min="12911" max="12911" width="10.81640625" style="11" bestFit="1" customWidth="1"/>
    <col min="12912" max="12912" width="12.1796875" style="11" bestFit="1" customWidth="1"/>
    <col min="12913" max="12915" width="11" style="11" bestFit="1" customWidth="1"/>
    <col min="12916" max="12916" width="14.26953125" style="11" customWidth="1"/>
    <col min="12917" max="12920" width="10.81640625" style="11" customWidth="1"/>
    <col min="12921" max="12921" width="9.54296875" style="11" customWidth="1"/>
    <col min="12922" max="12923" width="6.7265625" style="11" customWidth="1"/>
    <col min="12924" max="12930" width="8.7265625" style="11" customWidth="1"/>
    <col min="12931" max="12931" width="9.7265625" style="11" bestFit="1" customWidth="1"/>
    <col min="12932" max="12932" width="38.54296875" style="11" bestFit="1" customWidth="1"/>
    <col min="12933" max="12933" width="8.7265625" style="11" bestFit="1" customWidth="1"/>
    <col min="12934" max="12934" width="11.1796875" style="11" bestFit="1" customWidth="1"/>
    <col min="12935" max="12935" width="7.7265625" style="11" bestFit="1" customWidth="1"/>
    <col min="12936" max="12936" width="9.453125" style="11" bestFit="1" customWidth="1"/>
    <col min="12937" max="12937" width="8.7265625" style="11" bestFit="1" customWidth="1"/>
    <col min="12938" max="12938" width="10.453125" style="11" bestFit="1" customWidth="1"/>
    <col min="12939" max="12939" width="9" style="11" bestFit="1" customWidth="1"/>
    <col min="12940" max="12940" width="9.54296875" style="11" bestFit="1" customWidth="1"/>
    <col min="12941" max="12941" width="10.54296875" style="11" bestFit="1" customWidth="1"/>
    <col min="12942" max="12942" width="8.54296875" style="11" bestFit="1" customWidth="1"/>
    <col min="12943" max="12943" width="10.54296875" style="11" bestFit="1" customWidth="1"/>
    <col min="12944" max="12944" width="11" style="11" bestFit="1" customWidth="1"/>
    <col min="12945" max="12945" width="16.54296875" style="11" bestFit="1" customWidth="1"/>
    <col min="12946" max="12946" width="11" style="11" bestFit="1" customWidth="1"/>
    <col min="12947" max="12947" width="10.26953125" style="11" bestFit="1" customWidth="1"/>
    <col min="12948" max="12948" width="12.453125" style="11" bestFit="1" customWidth="1"/>
    <col min="12949" max="12949" width="10.54296875" style="11" bestFit="1" customWidth="1"/>
    <col min="12950" max="12950" width="9" style="11" bestFit="1" customWidth="1"/>
    <col min="12951" max="12951" width="10.54296875" style="11" bestFit="1" customWidth="1"/>
    <col min="12952" max="12952" width="11.1796875" style="11" bestFit="1" customWidth="1"/>
    <col min="12953" max="12953" width="11.453125" style="11" bestFit="1" customWidth="1"/>
    <col min="12954" max="12954" width="12.7265625" style="11" bestFit="1" customWidth="1"/>
    <col min="12955" max="12955" width="13.453125" style="11" bestFit="1" customWidth="1"/>
    <col min="12956" max="12956" width="11.81640625" style="11" bestFit="1" customWidth="1"/>
    <col min="12957" max="12957" width="10.7265625" style="11" bestFit="1" customWidth="1"/>
    <col min="12958" max="12958" width="8.81640625" style="11" bestFit="1" customWidth="1"/>
    <col min="12959" max="12959" width="10" style="11" bestFit="1" customWidth="1"/>
    <col min="12960" max="12960" width="13.1796875" style="11" bestFit="1" customWidth="1"/>
    <col min="12961" max="12961" width="20.7265625" style="11" bestFit="1" customWidth="1"/>
    <col min="12962" max="12962" width="20.7265625" style="11" customWidth="1"/>
    <col min="12963" max="12963" width="9.453125" style="11" bestFit="1" customWidth="1"/>
    <col min="12964" max="12965" width="9.26953125" style="11" bestFit="1" customWidth="1"/>
    <col min="12966" max="12966" width="10.26953125" style="11" bestFit="1" customWidth="1"/>
    <col min="12967" max="12976" width="9.26953125" style="11" bestFit="1" customWidth="1"/>
    <col min="12977" max="12977" width="10.26953125" style="11" bestFit="1" customWidth="1"/>
    <col min="12978" max="12981" width="9.26953125" style="11" bestFit="1" customWidth="1"/>
    <col min="12982" max="12982" width="11.26953125" style="11" bestFit="1" customWidth="1"/>
    <col min="12983" max="12995" width="8.7265625" style="11" customWidth="1"/>
    <col min="12996" max="12996" width="11" style="11" bestFit="1" customWidth="1"/>
    <col min="12997" max="12997" width="4.7265625" style="11" customWidth="1"/>
    <col min="12998" max="12998" width="25.26953125" style="11" customWidth="1"/>
    <col min="12999" max="12999" width="23" style="11" customWidth="1"/>
    <col min="13000" max="13000" width="10.26953125" style="11" bestFit="1" customWidth="1"/>
    <col min="13001" max="13001" width="0" style="11" hidden="1" customWidth="1"/>
    <col min="13002" max="13002" width="31.7265625" style="11" customWidth="1"/>
    <col min="13003" max="13003" width="6" style="11" customWidth="1"/>
    <col min="13004" max="13005" width="10.26953125" style="11" bestFit="1" customWidth="1"/>
    <col min="13006" max="13013" width="8.7265625" style="11" customWidth="1"/>
    <col min="13014" max="13014" width="10.26953125" style="11" bestFit="1" customWidth="1"/>
    <col min="13015" max="13096" width="8.7265625" style="11" customWidth="1"/>
    <col min="13097" max="13097" width="9.1796875" style="11"/>
    <col min="13098" max="13098" width="4.7265625" style="11" customWidth="1"/>
    <col min="13099" max="13099" width="3.54296875" style="11" customWidth="1"/>
    <col min="13100" max="13100" width="5.54296875" style="11" customWidth="1"/>
    <col min="13101" max="13101" width="8.7265625" style="11" customWidth="1"/>
    <col min="13102" max="13102" width="7.453125" style="11" customWidth="1"/>
    <col min="13103" max="13103" width="11.81640625" style="11" customWidth="1"/>
    <col min="13104" max="13104" width="8.26953125" style="11" customWidth="1"/>
    <col min="13105" max="13105" width="4.7265625" style="11" customWidth="1"/>
    <col min="13106" max="13106" width="0" style="11" hidden="1" customWidth="1"/>
    <col min="13107" max="13107" width="3.26953125" style="11" customWidth="1"/>
    <col min="13108" max="13108" width="0" style="11" hidden="1" customWidth="1"/>
    <col min="13109" max="13109" width="12" style="11" customWidth="1"/>
    <col min="13110" max="13110" width="12.81640625" style="11" customWidth="1"/>
    <col min="13111" max="13111" width="37.7265625" style="11" customWidth="1"/>
    <col min="13112" max="13113" width="8.453125" style="11" customWidth="1"/>
    <col min="13114" max="13114" width="8.54296875" style="11" customWidth="1"/>
    <col min="13115" max="13115" width="8.26953125" style="11" customWidth="1"/>
    <col min="13116" max="13116" width="12.26953125" style="11" customWidth="1"/>
    <col min="13117" max="13119" width="5.453125" style="11" customWidth="1"/>
    <col min="13120" max="13120" width="6.1796875" style="11" customWidth="1"/>
    <col min="13121" max="13121" width="5.1796875" style="11" customWidth="1"/>
    <col min="13122" max="13122" width="6.26953125" style="11" customWidth="1"/>
    <col min="13123" max="13123" width="6.7265625" style="11" customWidth="1"/>
    <col min="13124" max="13124" width="6.1796875" style="11" customWidth="1"/>
    <col min="13125" max="13125" width="6.54296875" style="11" customWidth="1"/>
    <col min="13126" max="13126" width="6.7265625" style="11" customWidth="1"/>
    <col min="13127" max="13127" width="5.7265625" style="11" customWidth="1"/>
    <col min="13128" max="13128" width="6.1796875" style="11" customWidth="1"/>
    <col min="13129" max="13129" width="6" style="11" customWidth="1"/>
    <col min="13130" max="13130" width="6.26953125" style="11" customWidth="1"/>
    <col min="13131" max="13131" width="6.54296875" style="11" customWidth="1"/>
    <col min="13132" max="13132" width="6.1796875" style="11" customWidth="1"/>
    <col min="13133" max="13133" width="5.26953125" style="11" customWidth="1"/>
    <col min="13134" max="13134" width="6.453125" style="11" customWidth="1"/>
    <col min="13135" max="13136" width="6.1796875" style="11" customWidth="1"/>
    <col min="13137" max="13137" width="6.26953125" style="11" customWidth="1"/>
    <col min="13138" max="13138" width="5.26953125" style="11" customWidth="1"/>
    <col min="13139" max="13139" width="6.81640625" style="11" customWidth="1"/>
    <col min="13140" max="13140" width="6.54296875" style="11" customWidth="1"/>
    <col min="13141" max="13141" width="6" style="11" customWidth="1"/>
    <col min="13142" max="13142" width="7" style="11" customWidth="1"/>
    <col min="13143" max="13143" width="6.26953125" style="11" customWidth="1"/>
    <col min="13144" max="13144" width="6.54296875" style="11" customWidth="1"/>
    <col min="13145" max="13145" width="6.7265625" style="11" customWidth="1"/>
    <col min="13146" max="13146" width="5.26953125" style="11" customWidth="1"/>
    <col min="13147" max="13147" width="6" style="11" customWidth="1"/>
    <col min="13148" max="13148" width="5.7265625" style="11" customWidth="1"/>
    <col min="13149" max="13153" width="12.1796875" style="11" bestFit="1" customWidth="1"/>
    <col min="13154" max="13154" width="9.81640625" style="11" bestFit="1" customWidth="1"/>
    <col min="13155" max="13155" width="11" style="11" bestFit="1" customWidth="1"/>
    <col min="13156" max="13156" width="11.26953125" style="11" bestFit="1" customWidth="1"/>
    <col min="13157" max="13157" width="11" style="11" bestFit="1" customWidth="1"/>
    <col min="13158" max="13159" width="9.81640625" style="11" bestFit="1" customWidth="1"/>
    <col min="13160" max="13160" width="10.26953125" style="11" bestFit="1" customWidth="1"/>
    <col min="13161" max="13161" width="12.1796875" style="11" bestFit="1" customWidth="1"/>
    <col min="13162" max="13162" width="11" style="11" bestFit="1" customWidth="1"/>
    <col min="13163" max="13163" width="12.1796875" style="11" bestFit="1" customWidth="1"/>
    <col min="13164" max="13164" width="13.81640625" style="11" bestFit="1" customWidth="1"/>
    <col min="13165" max="13165" width="9.81640625" style="11" bestFit="1" customWidth="1"/>
    <col min="13166" max="13166" width="13.81640625" style="11" bestFit="1" customWidth="1"/>
    <col min="13167" max="13167" width="10.81640625" style="11" bestFit="1" customWidth="1"/>
    <col min="13168" max="13168" width="12.1796875" style="11" bestFit="1" customWidth="1"/>
    <col min="13169" max="13171" width="11" style="11" bestFit="1" customWidth="1"/>
    <col min="13172" max="13172" width="14.26953125" style="11" customWidth="1"/>
    <col min="13173" max="13176" width="10.81640625" style="11" customWidth="1"/>
    <col min="13177" max="13177" width="9.54296875" style="11" customWidth="1"/>
    <col min="13178" max="13179" width="6.7265625" style="11" customWidth="1"/>
    <col min="13180" max="13186" width="8.7265625" style="11" customWidth="1"/>
    <col min="13187" max="13187" width="9.7265625" style="11" bestFit="1" customWidth="1"/>
    <col min="13188" max="13188" width="38.54296875" style="11" bestFit="1" customWidth="1"/>
    <col min="13189" max="13189" width="8.7265625" style="11" bestFit="1" customWidth="1"/>
    <col min="13190" max="13190" width="11.1796875" style="11" bestFit="1" customWidth="1"/>
    <col min="13191" max="13191" width="7.7265625" style="11" bestFit="1" customWidth="1"/>
    <col min="13192" max="13192" width="9.453125" style="11" bestFit="1" customWidth="1"/>
    <col min="13193" max="13193" width="8.7265625" style="11" bestFit="1" customWidth="1"/>
    <col min="13194" max="13194" width="10.453125" style="11" bestFit="1" customWidth="1"/>
    <col min="13195" max="13195" width="9" style="11" bestFit="1" customWidth="1"/>
    <col min="13196" max="13196" width="9.54296875" style="11" bestFit="1" customWidth="1"/>
    <col min="13197" max="13197" width="10.54296875" style="11" bestFit="1" customWidth="1"/>
    <col min="13198" max="13198" width="8.54296875" style="11" bestFit="1" customWidth="1"/>
    <col min="13199" max="13199" width="10.54296875" style="11" bestFit="1" customWidth="1"/>
    <col min="13200" max="13200" width="11" style="11" bestFit="1" customWidth="1"/>
    <col min="13201" max="13201" width="16.54296875" style="11" bestFit="1" customWidth="1"/>
    <col min="13202" max="13202" width="11" style="11" bestFit="1" customWidth="1"/>
    <col min="13203" max="13203" width="10.26953125" style="11" bestFit="1" customWidth="1"/>
    <col min="13204" max="13204" width="12.453125" style="11" bestFit="1" customWidth="1"/>
    <col min="13205" max="13205" width="10.54296875" style="11" bestFit="1" customWidth="1"/>
    <col min="13206" max="13206" width="9" style="11" bestFit="1" customWidth="1"/>
    <col min="13207" max="13207" width="10.54296875" style="11" bestFit="1" customWidth="1"/>
    <col min="13208" max="13208" width="11.1796875" style="11" bestFit="1" customWidth="1"/>
    <col min="13209" max="13209" width="11.453125" style="11" bestFit="1" customWidth="1"/>
    <col min="13210" max="13210" width="12.7265625" style="11" bestFit="1" customWidth="1"/>
    <col min="13211" max="13211" width="13.453125" style="11" bestFit="1" customWidth="1"/>
    <col min="13212" max="13212" width="11.81640625" style="11" bestFit="1" customWidth="1"/>
    <col min="13213" max="13213" width="10.7265625" style="11" bestFit="1" customWidth="1"/>
    <col min="13214" max="13214" width="8.81640625" style="11" bestFit="1" customWidth="1"/>
    <col min="13215" max="13215" width="10" style="11" bestFit="1" customWidth="1"/>
    <col min="13216" max="13216" width="13.1796875" style="11" bestFit="1" customWidth="1"/>
    <col min="13217" max="13217" width="20.7265625" style="11" bestFit="1" customWidth="1"/>
    <col min="13218" max="13218" width="20.7265625" style="11" customWidth="1"/>
    <col min="13219" max="13219" width="9.453125" style="11" bestFit="1" customWidth="1"/>
    <col min="13220" max="13221" width="9.26953125" style="11" bestFit="1" customWidth="1"/>
    <col min="13222" max="13222" width="10.26953125" style="11" bestFit="1" customWidth="1"/>
    <col min="13223" max="13232" width="9.26953125" style="11" bestFit="1" customWidth="1"/>
    <col min="13233" max="13233" width="10.26953125" style="11" bestFit="1" customWidth="1"/>
    <col min="13234" max="13237" width="9.26953125" style="11" bestFit="1" customWidth="1"/>
    <col min="13238" max="13238" width="11.26953125" style="11" bestFit="1" customWidth="1"/>
    <col min="13239" max="13251" width="8.7265625" style="11" customWidth="1"/>
    <col min="13252" max="13252" width="11" style="11" bestFit="1" customWidth="1"/>
    <col min="13253" max="13253" width="4.7265625" style="11" customWidth="1"/>
    <col min="13254" max="13254" width="25.26953125" style="11" customWidth="1"/>
    <col min="13255" max="13255" width="23" style="11" customWidth="1"/>
    <col min="13256" max="13256" width="10.26953125" style="11" bestFit="1" customWidth="1"/>
    <col min="13257" max="13257" width="0" style="11" hidden="1" customWidth="1"/>
    <col min="13258" max="13258" width="31.7265625" style="11" customWidth="1"/>
    <col min="13259" max="13259" width="6" style="11" customWidth="1"/>
    <col min="13260" max="13261" width="10.26953125" style="11" bestFit="1" customWidth="1"/>
    <col min="13262" max="13269" width="8.7265625" style="11" customWidth="1"/>
    <col min="13270" max="13270" width="10.26953125" style="11" bestFit="1" customWidth="1"/>
    <col min="13271" max="13352" width="8.7265625" style="11" customWidth="1"/>
    <col min="13353" max="13353" width="9.1796875" style="11"/>
    <col min="13354" max="13354" width="4.7265625" style="11" customWidth="1"/>
    <col min="13355" max="13355" width="3.54296875" style="11" customWidth="1"/>
    <col min="13356" max="13356" width="5.54296875" style="11" customWidth="1"/>
    <col min="13357" max="13357" width="8.7265625" style="11" customWidth="1"/>
    <col min="13358" max="13358" width="7.453125" style="11" customWidth="1"/>
    <col min="13359" max="13359" width="11.81640625" style="11" customWidth="1"/>
    <col min="13360" max="13360" width="8.26953125" style="11" customWidth="1"/>
    <col min="13361" max="13361" width="4.7265625" style="11" customWidth="1"/>
    <col min="13362" max="13362" width="0" style="11" hidden="1" customWidth="1"/>
    <col min="13363" max="13363" width="3.26953125" style="11" customWidth="1"/>
    <col min="13364" max="13364" width="0" style="11" hidden="1" customWidth="1"/>
    <col min="13365" max="13365" width="12" style="11" customWidth="1"/>
    <col min="13366" max="13366" width="12.81640625" style="11" customWidth="1"/>
    <col min="13367" max="13367" width="37.7265625" style="11" customWidth="1"/>
    <col min="13368" max="13369" width="8.453125" style="11" customWidth="1"/>
    <col min="13370" max="13370" width="8.54296875" style="11" customWidth="1"/>
    <col min="13371" max="13371" width="8.26953125" style="11" customWidth="1"/>
    <col min="13372" max="13372" width="12.26953125" style="11" customWidth="1"/>
    <col min="13373" max="13375" width="5.453125" style="11" customWidth="1"/>
    <col min="13376" max="13376" width="6.1796875" style="11" customWidth="1"/>
    <col min="13377" max="13377" width="5.1796875" style="11" customWidth="1"/>
    <col min="13378" max="13378" width="6.26953125" style="11" customWidth="1"/>
    <col min="13379" max="13379" width="6.7265625" style="11" customWidth="1"/>
    <col min="13380" max="13380" width="6.1796875" style="11" customWidth="1"/>
    <col min="13381" max="13381" width="6.54296875" style="11" customWidth="1"/>
    <col min="13382" max="13382" width="6.7265625" style="11" customWidth="1"/>
    <col min="13383" max="13383" width="5.7265625" style="11" customWidth="1"/>
    <col min="13384" max="13384" width="6.1796875" style="11" customWidth="1"/>
    <col min="13385" max="13385" width="6" style="11" customWidth="1"/>
    <col min="13386" max="13386" width="6.26953125" style="11" customWidth="1"/>
    <col min="13387" max="13387" width="6.54296875" style="11" customWidth="1"/>
    <col min="13388" max="13388" width="6.1796875" style="11" customWidth="1"/>
    <col min="13389" max="13389" width="5.26953125" style="11" customWidth="1"/>
    <col min="13390" max="13390" width="6.453125" style="11" customWidth="1"/>
    <col min="13391" max="13392" width="6.1796875" style="11" customWidth="1"/>
    <col min="13393" max="13393" width="6.26953125" style="11" customWidth="1"/>
    <col min="13394" max="13394" width="5.26953125" style="11" customWidth="1"/>
    <col min="13395" max="13395" width="6.81640625" style="11" customWidth="1"/>
    <col min="13396" max="13396" width="6.54296875" style="11" customWidth="1"/>
    <col min="13397" max="13397" width="6" style="11" customWidth="1"/>
    <col min="13398" max="13398" width="7" style="11" customWidth="1"/>
    <col min="13399" max="13399" width="6.26953125" style="11" customWidth="1"/>
    <col min="13400" max="13400" width="6.54296875" style="11" customWidth="1"/>
    <col min="13401" max="13401" width="6.7265625" style="11" customWidth="1"/>
    <col min="13402" max="13402" width="5.26953125" style="11" customWidth="1"/>
    <col min="13403" max="13403" width="6" style="11" customWidth="1"/>
    <col min="13404" max="13404" width="5.7265625" style="11" customWidth="1"/>
    <col min="13405" max="13409" width="12.1796875" style="11" bestFit="1" customWidth="1"/>
    <col min="13410" max="13410" width="9.81640625" style="11" bestFit="1" customWidth="1"/>
    <col min="13411" max="13411" width="11" style="11" bestFit="1" customWidth="1"/>
    <col min="13412" max="13412" width="11.26953125" style="11" bestFit="1" customWidth="1"/>
    <col min="13413" max="13413" width="11" style="11" bestFit="1" customWidth="1"/>
    <col min="13414" max="13415" width="9.81640625" style="11" bestFit="1" customWidth="1"/>
    <col min="13416" max="13416" width="10.26953125" style="11" bestFit="1" customWidth="1"/>
    <col min="13417" max="13417" width="12.1796875" style="11" bestFit="1" customWidth="1"/>
    <col min="13418" max="13418" width="11" style="11" bestFit="1" customWidth="1"/>
    <col min="13419" max="13419" width="12.1796875" style="11" bestFit="1" customWidth="1"/>
    <col min="13420" max="13420" width="13.81640625" style="11" bestFit="1" customWidth="1"/>
    <col min="13421" max="13421" width="9.81640625" style="11" bestFit="1" customWidth="1"/>
    <col min="13422" max="13422" width="13.81640625" style="11" bestFit="1" customWidth="1"/>
    <col min="13423" max="13423" width="10.81640625" style="11" bestFit="1" customWidth="1"/>
    <col min="13424" max="13424" width="12.1796875" style="11" bestFit="1" customWidth="1"/>
    <col min="13425" max="13427" width="11" style="11" bestFit="1" customWidth="1"/>
    <col min="13428" max="13428" width="14.26953125" style="11" customWidth="1"/>
    <col min="13429" max="13432" width="10.81640625" style="11" customWidth="1"/>
    <col min="13433" max="13433" width="9.54296875" style="11" customWidth="1"/>
    <col min="13434" max="13435" width="6.7265625" style="11" customWidth="1"/>
    <col min="13436" max="13442" width="8.7265625" style="11" customWidth="1"/>
    <col min="13443" max="13443" width="9.7265625" style="11" bestFit="1" customWidth="1"/>
    <col min="13444" max="13444" width="38.54296875" style="11" bestFit="1" customWidth="1"/>
    <col min="13445" max="13445" width="8.7265625" style="11" bestFit="1" customWidth="1"/>
    <col min="13446" max="13446" width="11.1796875" style="11" bestFit="1" customWidth="1"/>
    <col min="13447" max="13447" width="7.7265625" style="11" bestFit="1" customWidth="1"/>
    <col min="13448" max="13448" width="9.453125" style="11" bestFit="1" customWidth="1"/>
    <col min="13449" max="13449" width="8.7265625" style="11" bestFit="1" customWidth="1"/>
    <col min="13450" max="13450" width="10.453125" style="11" bestFit="1" customWidth="1"/>
    <col min="13451" max="13451" width="9" style="11" bestFit="1" customWidth="1"/>
    <col min="13452" max="13452" width="9.54296875" style="11" bestFit="1" customWidth="1"/>
    <col min="13453" max="13453" width="10.54296875" style="11" bestFit="1" customWidth="1"/>
    <col min="13454" max="13454" width="8.54296875" style="11" bestFit="1" customWidth="1"/>
    <col min="13455" max="13455" width="10.54296875" style="11" bestFit="1" customWidth="1"/>
    <col min="13456" max="13456" width="11" style="11" bestFit="1" customWidth="1"/>
    <col min="13457" max="13457" width="16.54296875" style="11" bestFit="1" customWidth="1"/>
    <col min="13458" max="13458" width="11" style="11" bestFit="1" customWidth="1"/>
    <col min="13459" max="13459" width="10.26953125" style="11" bestFit="1" customWidth="1"/>
    <col min="13460" max="13460" width="12.453125" style="11" bestFit="1" customWidth="1"/>
    <col min="13461" max="13461" width="10.54296875" style="11" bestFit="1" customWidth="1"/>
    <col min="13462" max="13462" width="9" style="11" bestFit="1" customWidth="1"/>
    <col min="13463" max="13463" width="10.54296875" style="11" bestFit="1" customWidth="1"/>
    <col min="13464" max="13464" width="11.1796875" style="11" bestFit="1" customWidth="1"/>
    <col min="13465" max="13465" width="11.453125" style="11" bestFit="1" customWidth="1"/>
    <col min="13466" max="13466" width="12.7265625" style="11" bestFit="1" customWidth="1"/>
    <col min="13467" max="13467" width="13.453125" style="11" bestFit="1" customWidth="1"/>
    <col min="13468" max="13468" width="11.81640625" style="11" bestFit="1" customWidth="1"/>
    <col min="13469" max="13469" width="10.7265625" style="11" bestFit="1" customWidth="1"/>
    <col min="13470" max="13470" width="8.81640625" style="11" bestFit="1" customWidth="1"/>
    <col min="13471" max="13471" width="10" style="11" bestFit="1" customWidth="1"/>
    <col min="13472" max="13472" width="13.1796875" style="11" bestFit="1" customWidth="1"/>
    <col min="13473" max="13473" width="20.7265625" style="11" bestFit="1" customWidth="1"/>
    <col min="13474" max="13474" width="20.7265625" style="11" customWidth="1"/>
    <col min="13475" max="13475" width="9.453125" style="11" bestFit="1" customWidth="1"/>
    <col min="13476" max="13477" width="9.26953125" style="11" bestFit="1" customWidth="1"/>
    <col min="13478" max="13478" width="10.26953125" style="11" bestFit="1" customWidth="1"/>
    <col min="13479" max="13488" width="9.26953125" style="11" bestFit="1" customWidth="1"/>
    <col min="13489" max="13489" width="10.26953125" style="11" bestFit="1" customWidth="1"/>
    <col min="13490" max="13493" width="9.26953125" style="11" bestFit="1" customWidth="1"/>
    <col min="13494" max="13494" width="11.26953125" style="11" bestFit="1" customWidth="1"/>
    <col min="13495" max="13507" width="8.7265625" style="11" customWidth="1"/>
    <col min="13508" max="13508" width="11" style="11" bestFit="1" customWidth="1"/>
    <col min="13509" max="13509" width="4.7265625" style="11" customWidth="1"/>
    <col min="13510" max="13510" width="25.26953125" style="11" customWidth="1"/>
    <col min="13511" max="13511" width="23" style="11" customWidth="1"/>
    <col min="13512" max="13512" width="10.26953125" style="11" bestFit="1" customWidth="1"/>
    <col min="13513" max="13513" width="0" style="11" hidden="1" customWidth="1"/>
    <col min="13514" max="13514" width="31.7265625" style="11" customWidth="1"/>
    <col min="13515" max="13515" width="6" style="11" customWidth="1"/>
    <col min="13516" max="13517" width="10.26953125" style="11" bestFit="1" customWidth="1"/>
    <col min="13518" max="13525" width="8.7265625" style="11" customWidth="1"/>
    <col min="13526" max="13526" width="10.26953125" style="11" bestFit="1" customWidth="1"/>
    <col min="13527" max="13608" width="8.7265625" style="11" customWidth="1"/>
    <col min="13609" max="13609" width="9.1796875" style="11"/>
    <col min="13610" max="13610" width="4.7265625" style="11" customWidth="1"/>
    <col min="13611" max="13611" width="3.54296875" style="11" customWidth="1"/>
    <col min="13612" max="13612" width="5.54296875" style="11" customWidth="1"/>
    <col min="13613" max="13613" width="8.7265625" style="11" customWidth="1"/>
    <col min="13614" max="13614" width="7.453125" style="11" customWidth="1"/>
    <col min="13615" max="13615" width="11.81640625" style="11" customWidth="1"/>
    <col min="13616" max="13616" width="8.26953125" style="11" customWidth="1"/>
    <col min="13617" max="13617" width="4.7265625" style="11" customWidth="1"/>
    <col min="13618" max="13618" width="0" style="11" hidden="1" customWidth="1"/>
    <col min="13619" max="13619" width="3.26953125" style="11" customWidth="1"/>
    <col min="13620" max="13620" width="0" style="11" hidden="1" customWidth="1"/>
    <col min="13621" max="13621" width="12" style="11" customWidth="1"/>
    <col min="13622" max="13622" width="12.81640625" style="11" customWidth="1"/>
    <col min="13623" max="13623" width="37.7265625" style="11" customWidth="1"/>
    <col min="13624" max="13625" width="8.453125" style="11" customWidth="1"/>
    <col min="13626" max="13626" width="8.54296875" style="11" customWidth="1"/>
    <col min="13627" max="13627" width="8.26953125" style="11" customWidth="1"/>
    <col min="13628" max="13628" width="12.26953125" style="11" customWidth="1"/>
    <col min="13629" max="13631" width="5.453125" style="11" customWidth="1"/>
    <col min="13632" max="13632" width="6.1796875" style="11" customWidth="1"/>
    <col min="13633" max="13633" width="5.1796875" style="11" customWidth="1"/>
    <col min="13634" max="13634" width="6.26953125" style="11" customWidth="1"/>
    <col min="13635" max="13635" width="6.7265625" style="11" customWidth="1"/>
    <col min="13636" max="13636" width="6.1796875" style="11" customWidth="1"/>
    <col min="13637" max="13637" width="6.54296875" style="11" customWidth="1"/>
    <col min="13638" max="13638" width="6.7265625" style="11" customWidth="1"/>
    <col min="13639" max="13639" width="5.7265625" style="11" customWidth="1"/>
    <col min="13640" max="13640" width="6.1796875" style="11" customWidth="1"/>
    <col min="13641" max="13641" width="6" style="11" customWidth="1"/>
    <col min="13642" max="13642" width="6.26953125" style="11" customWidth="1"/>
    <col min="13643" max="13643" width="6.54296875" style="11" customWidth="1"/>
    <col min="13644" max="13644" width="6.1796875" style="11" customWidth="1"/>
    <col min="13645" max="13645" width="5.26953125" style="11" customWidth="1"/>
    <col min="13646" max="13646" width="6.453125" style="11" customWidth="1"/>
    <col min="13647" max="13648" width="6.1796875" style="11" customWidth="1"/>
    <col min="13649" max="13649" width="6.26953125" style="11" customWidth="1"/>
    <col min="13650" max="13650" width="5.26953125" style="11" customWidth="1"/>
    <col min="13651" max="13651" width="6.81640625" style="11" customWidth="1"/>
    <col min="13652" max="13652" width="6.54296875" style="11" customWidth="1"/>
    <col min="13653" max="13653" width="6" style="11" customWidth="1"/>
    <col min="13654" max="13654" width="7" style="11" customWidth="1"/>
    <col min="13655" max="13655" width="6.26953125" style="11" customWidth="1"/>
    <col min="13656" max="13656" width="6.54296875" style="11" customWidth="1"/>
    <col min="13657" max="13657" width="6.7265625" style="11" customWidth="1"/>
    <col min="13658" max="13658" width="5.26953125" style="11" customWidth="1"/>
    <col min="13659" max="13659" width="6" style="11" customWidth="1"/>
    <col min="13660" max="13660" width="5.7265625" style="11" customWidth="1"/>
    <col min="13661" max="13665" width="12.1796875" style="11" bestFit="1" customWidth="1"/>
    <col min="13666" max="13666" width="9.81640625" style="11" bestFit="1" customWidth="1"/>
    <col min="13667" max="13667" width="11" style="11" bestFit="1" customWidth="1"/>
    <col min="13668" max="13668" width="11.26953125" style="11" bestFit="1" customWidth="1"/>
    <col min="13669" max="13669" width="11" style="11" bestFit="1" customWidth="1"/>
    <col min="13670" max="13671" width="9.81640625" style="11" bestFit="1" customWidth="1"/>
    <col min="13672" max="13672" width="10.26953125" style="11" bestFit="1" customWidth="1"/>
    <col min="13673" max="13673" width="12.1796875" style="11" bestFit="1" customWidth="1"/>
    <col min="13674" max="13674" width="11" style="11" bestFit="1" customWidth="1"/>
    <col min="13675" max="13675" width="12.1796875" style="11" bestFit="1" customWidth="1"/>
    <col min="13676" max="13676" width="13.81640625" style="11" bestFit="1" customWidth="1"/>
    <col min="13677" max="13677" width="9.81640625" style="11" bestFit="1" customWidth="1"/>
    <col min="13678" max="13678" width="13.81640625" style="11" bestFit="1" customWidth="1"/>
    <col min="13679" max="13679" width="10.81640625" style="11" bestFit="1" customWidth="1"/>
    <col min="13680" max="13680" width="12.1796875" style="11" bestFit="1" customWidth="1"/>
    <col min="13681" max="13683" width="11" style="11" bestFit="1" customWidth="1"/>
    <col min="13684" max="13684" width="14.26953125" style="11" customWidth="1"/>
    <col min="13685" max="13688" width="10.81640625" style="11" customWidth="1"/>
    <col min="13689" max="13689" width="9.54296875" style="11" customWidth="1"/>
    <col min="13690" max="13691" width="6.7265625" style="11" customWidth="1"/>
    <col min="13692" max="13698" width="8.7265625" style="11" customWidth="1"/>
    <col min="13699" max="13699" width="9.7265625" style="11" bestFit="1" customWidth="1"/>
    <col min="13700" max="13700" width="38.54296875" style="11" bestFit="1" customWidth="1"/>
    <col min="13701" max="13701" width="8.7265625" style="11" bestFit="1" customWidth="1"/>
    <col min="13702" max="13702" width="11.1796875" style="11" bestFit="1" customWidth="1"/>
    <col min="13703" max="13703" width="7.7265625" style="11" bestFit="1" customWidth="1"/>
    <col min="13704" max="13704" width="9.453125" style="11" bestFit="1" customWidth="1"/>
    <col min="13705" max="13705" width="8.7265625" style="11" bestFit="1" customWidth="1"/>
    <col min="13706" max="13706" width="10.453125" style="11" bestFit="1" customWidth="1"/>
    <col min="13707" max="13707" width="9" style="11" bestFit="1" customWidth="1"/>
    <col min="13708" max="13708" width="9.54296875" style="11" bestFit="1" customWidth="1"/>
    <col min="13709" max="13709" width="10.54296875" style="11" bestFit="1" customWidth="1"/>
    <col min="13710" max="13710" width="8.54296875" style="11" bestFit="1" customWidth="1"/>
    <col min="13711" max="13711" width="10.54296875" style="11" bestFit="1" customWidth="1"/>
    <col min="13712" max="13712" width="11" style="11" bestFit="1" customWidth="1"/>
    <col min="13713" max="13713" width="16.54296875" style="11" bestFit="1" customWidth="1"/>
    <col min="13714" max="13714" width="11" style="11" bestFit="1" customWidth="1"/>
    <col min="13715" max="13715" width="10.26953125" style="11" bestFit="1" customWidth="1"/>
    <col min="13716" max="13716" width="12.453125" style="11" bestFit="1" customWidth="1"/>
    <col min="13717" max="13717" width="10.54296875" style="11" bestFit="1" customWidth="1"/>
    <col min="13718" max="13718" width="9" style="11" bestFit="1" customWidth="1"/>
    <col min="13719" max="13719" width="10.54296875" style="11" bestFit="1" customWidth="1"/>
    <col min="13720" max="13720" width="11.1796875" style="11" bestFit="1" customWidth="1"/>
    <col min="13721" max="13721" width="11.453125" style="11" bestFit="1" customWidth="1"/>
    <col min="13722" max="13722" width="12.7265625" style="11" bestFit="1" customWidth="1"/>
    <col min="13723" max="13723" width="13.453125" style="11" bestFit="1" customWidth="1"/>
    <col min="13724" max="13724" width="11.81640625" style="11" bestFit="1" customWidth="1"/>
    <col min="13725" max="13725" width="10.7265625" style="11" bestFit="1" customWidth="1"/>
    <col min="13726" max="13726" width="8.81640625" style="11" bestFit="1" customWidth="1"/>
    <col min="13727" max="13727" width="10" style="11" bestFit="1" customWidth="1"/>
    <col min="13728" max="13728" width="13.1796875" style="11" bestFit="1" customWidth="1"/>
    <col min="13729" max="13729" width="20.7265625" style="11" bestFit="1" customWidth="1"/>
    <col min="13730" max="13730" width="20.7265625" style="11" customWidth="1"/>
    <col min="13731" max="13731" width="9.453125" style="11" bestFit="1" customWidth="1"/>
    <col min="13732" max="13733" width="9.26953125" style="11" bestFit="1" customWidth="1"/>
    <col min="13734" max="13734" width="10.26953125" style="11" bestFit="1" customWidth="1"/>
    <col min="13735" max="13744" width="9.26953125" style="11" bestFit="1" customWidth="1"/>
    <col min="13745" max="13745" width="10.26953125" style="11" bestFit="1" customWidth="1"/>
    <col min="13746" max="13749" width="9.26953125" style="11" bestFit="1" customWidth="1"/>
    <col min="13750" max="13750" width="11.26953125" style="11" bestFit="1" customWidth="1"/>
    <col min="13751" max="13763" width="8.7265625" style="11" customWidth="1"/>
    <col min="13764" max="13764" width="11" style="11" bestFit="1" customWidth="1"/>
    <col min="13765" max="13765" width="4.7265625" style="11" customWidth="1"/>
    <col min="13766" max="13766" width="25.26953125" style="11" customWidth="1"/>
    <col min="13767" max="13767" width="23" style="11" customWidth="1"/>
    <col min="13768" max="13768" width="10.26953125" style="11" bestFit="1" customWidth="1"/>
    <col min="13769" max="13769" width="0" style="11" hidden="1" customWidth="1"/>
    <col min="13770" max="13770" width="31.7265625" style="11" customWidth="1"/>
    <col min="13771" max="13771" width="6" style="11" customWidth="1"/>
    <col min="13772" max="13773" width="10.26953125" style="11" bestFit="1" customWidth="1"/>
    <col min="13774" max="13781" width="8.7265625" style="11" customWidth="1"/>
    <col min="13782" max="13782" width="10.26953125" style="11" bestFit="1" customWidth="1"/>
    <col min="13783" max="13864" width="8.7265625" style="11" customWidth="1"/>
    <col min="13865" max="13865" width="9.1796875" style="11"/>
    <col min="13866" max="13866" width="4.7265625" style="11" customWidth="1"/>
    <col min="13867" max="13867" width="3.54296875" style="11" customWidth="1"/>
    <col min="13868" max="13868" width="5.54296875" style="11" customWidth="1"/>
    <col min="13869" max="13869" width="8.7265625" style="11" customWidth="1"/>
    <col min="13870" max="13870" width="7.453125" style="11" customWidth="1"/>
    <col min="13871" max="13871" width="11.81640625" style="11" customWidth="1"/>
    <col min="13872" max="13872" width="8.26953125" style="11" customWidth="1"/>
    <col min="13873" max="13873" width="4.7265625" style="11" customWidth="1"/>
    <col min="13874" max="13874" width="0" style="11" hidden="1" customWidth="1"/>
    <col min="13875" max="13875" width="3.26953125" style="11" customWidth="1"/>
    <col min="13876" max="13876" width="0" style="11" hidden="1" customWidth="1"/>
    <col min="13877" max="13877" width="12" style="11" customWidth="1"/>
    <col min="13878" max="13878" width="12.81640625" style="11" customWidth="1"/>
    <col min="13879" max="13879" width="37.7265625" style="11" customWidth="1"/>
    <col min="13880" max="13881" width="8.453125" style="11" customWidth="1"/>
    <col min="13882" max="13882" width="8.54296875" style="11" customWidth="1"/>
    <col min="13883" max="13883" width="8.26953125" style="11" customWidth="1"/>
    <col min="13884" max="13884" width="12.26953125" style="11" customWidth="1"/>
    <col min="13885" max="13887" width="5.453125" style="11" customWidth="1"/>
    <col min="13888" max="13888" width="6.1796875" style="11" customWidth="1"/>
    <col min="13889" max="13889" width="5.1796875" style="11" customWidth="1"/>
    <col min="13890" max="13890" width="6.26953125" style="11" customWidth="1"/>
    <col min="13891" max="13891" width="6.7265625" style="11" customWidth="1"/>
    <col min="13892" max="13892" width="6.1796875" style="11" customWidth="1"/>
    <col min="13893" max="13893" width="6.54296875" style="11" customWidth="1"/>
    <col min="13894" max="13894" width="6.7265625" style="11" customWidth="1"/>
    <col min="13895" max="13895" width="5.7265625" style="11" customWidth="1"/>
    <col min="13896" max="13896" width="6.1796875" style="11" customWidth="1"/>
    <col min="13897" max="13897" width="6" style="11" customWidth="1"/>
    <col min="13898" max="13898" width="6.26953125" style="11" customWidth="1"/>
    <col min="13899" max="13899" width="6.54296875" style="11" customWidth="1"/>
    <col min="13900" max="13900" width="6.1796875" style="11" customWidth="1"/>
    <col min="13901" max="13901" width="5.26953125" style="11" customWidth="1"/>
    <col min="13902" max="13902" width="6.453125" style="11" customWidth="1"/>
    <col min="13903" max="13904" width="6.1796875" style="11" customWidth="1"/>
    <col min="13905" max="13905" width="6.26953125" style="11" customWidth="1"/>
    <col min="13906" max="13906" width="5.26953125" style="11" customWidth="1"/>
    <col min="13907" max="13907" width="6.81640625" style="11" customWidth="1"/>
    <col min="13908" max="13908" width="6.54296875" style="11" customWidth="1"/>
    <col min="13909" max="13909" width="6" style="11" customWidth="1"/>
    <col min="13910" max="13910" width="7" style="11" customWidth="1"/>
    <col min="13911" max="13911" width="6.26953125" style="11" customWidth="1"/>
    <col min="13912" max="13912" width="6.54296875" style="11" customWidth="1"/>
    <col min="13913" max="13913" width="6.7265625" style="11" customWidth="1"/>
    <col min="13914" max="13914" width="5.26953125" style="11" customWidth="1"/>
    <col min="13915" max="13915" width="6" style="11" customWidth="1"/>
    <col min="13916" max="13916" width="5.7265625" style="11" customWidth="1"/>
    <col min="13917" max="13921" width="12.1796875" style="11" bestFit="1" customWidth="1"/>
    <col min="13922" max="13922" width="9.81640625" style="11" bestFit="1" customWidth="1"/>
    <col min="13923" max="13923" width="11" style="11" bestFit="1" customWidth="1"/>
    <col min="13924" max="13924" width="11.26953125" style="11" bestFit="1" customWidth="1"/>
    <col min="13925" max="13925" width="11" style="11" bestFit="1" customWidth="1"/>
    <col min="13926" max="13927" width="9.81640625" style="11" bestFit="1" customWidth="1"/>
    <col min="13928" max="13928" width="10.26953125" style="11" bestFit="1" customWidth="1"/>
    <col min="13929" max="13929" width="12.1796875" style="11" bestFit="1" customWidth="1"/>
    <col min="13930" max="13930" width="11" style="11" bestFit="1" customWidth="1"/>
    <col min="13931" max="13931" width="12.1796875" style="11" bestFit="1" customWidth="1"/>
    <col min="13932" max="13932" width="13.81640625" style="11" bestFit="1" customWidth="1"/>
    <col min="13933" max="13933" width="9.81640625" style="11" bestFit="1" customWidth="1"/>
    <col min="13934" max="13934" width="13.81640625" style="11" bestFit="1" customWidth="1"/>
    <col min="13935" max="13935" width="10.81640625" style="11" bestFit="1" customWidth="1"/>
    <col min="13936" max="13936" width="12.1796875" style="11" bestFit="1" customWidth="1"/>
    <col min="13937" max="13939" width="11" style="11" bestFit="1" customWidth="1"/>
    <col min="13940" max="13940" width="14.26953125" style="11" customWidth="1"/>
    <col min="13941" max="13944" width="10.81640625" style="11" customWidth="1"/>
    <col min="13945" max="13945" width="9.54296875" style="11" customWidth="1"/>
    <col min="13946" max="13947" width="6.7265625" style="11" customWidth="1"/>
    <col min="13948" max="13954" width="8.7265625" style="11" customWidth="1"/>
    <col min="13955" max="13955" width="9.7265625" style="11" bestFit="1" customWidth="1"/>
    <col min="13956" max="13956" width="38.54296875" style="11" bestFit="1" customWidth="1"/>
    <col min="13957" max="13957" width="8.7265625" style="11" bestFit="1" customWidth="1"/>
    <col min="13958" max="13958" width="11.1796875" style="11" bestFit="1" customWidth="1"/>
    <col min="13959" max="13959" width="7.7265625" style="11" bestFit="1" customWidth="1"/>
    <col min="13960" max="13960" width="9.453125" style="11" bestFit="1" customWidth="1"/>
    <col min="13961" max="13961" width="8.7265625" style="11" bestFit="1" customWidth="1"/>
    <col min="13962" max="13962" width="10.453125" style="11" bestFit="1" customWidth="1"/>
    <col min="13963" max="13963" width="9" style="11" bestFit="1" customWidth="1"/>
    <col min="13964" max="13964" width="9.54296875" style="11" bestFit="1" customWidth="1"/>
    <col min="13965" max="13965" width="10.54296875" style="11" bestFit="1" customWidth="1"/>
    <col min="13966" max="13966" width="8.54296875" style="11" bestFit="1" customWidth="1"/>
    <col min="13967" max="13967" width="10.54296875" style="11" bestFit="1" customWidth="1"/>
    <col min="13968" max="13968" width="11" style="11" bestFit="1" customWidth="1"/>
    <col min="13969" max="13969" width="16.54296875" style="11" bestFit="1" customWidth="1"/>
    <col min="13970" max="13970" width="11" style="11" bestFit="1" customWidth="1"/>
    <col min="13971" max="13971" width="10.26953125" style="11" bestFit="1" customWidth="1"/>
    <col min="13972" max="13972" width="12.453125" style="11" bestFit="1" customWidth="1"/>
    <col min="13973" max="13973" width="10.54296875" style="11" bestFit="1" customWidth="1"/>
    <col min="13974" max="13974" width="9" style="11" bestFit="1" customWidth="1"/>
    <col min="13975" max="13975" width="10.54296875" style="11" bestFit="1" customWidth="1"/>
    <col min="13976" max="13976" width="11.1796875" style="11" bestFit="1" customWidth="1"/>
    <col min="13977" max="13977" width="11.453125" style="11" bestFit="1" customWidth="1"/>
    <col min="13978" max="13978" width="12.7265625" style="11" bestFit="1" customWidth="1"/>
    <col min="13979" max="13979" width="13.453125" style="11" bestFit="1" customWidth="1"/>
    <col min="13980" max="13980" width="11.81640625" style="11" bestFit="1" customWidth="1"/>
    <col min="13981" max="13981" width="10.7265625" style="11" bestFit="1" customWidth="1"/>
    <col min="13982" max="13982" width="8.81640625" style="11" bestFit="1" customWidth="1"/>
    <col min="13983" max="13983" width="10" style="11" bestFit="1" customWidth="1"/>
    <col min="13984" max="13984" width="13.1796875" style="11" bestFit="1" customWidth="1"/>
    <col min="13985" max="13985" width="20.7265625" style="11" bestFit="1" customWidth="1"/>
    <col min="13986" max="13986" width="20.7265625" style="11" customWidth="1"/>
    <col min="13987" max="13987" width="9.453125" style="11" bestFit="1" customWidth="1"/>
    <col min="13988" max="13989" width="9.26953125" style="11" bestFit="1" customWidth="1"/>
    <col min="13990" max="13990" width="10.26953125" style="11" bestFit="1" customWidth="1"/>
    <col min="13991" max="14000" width="9.26953125" style="11" bestFit="1" customWidth="1"/>
    <col min="14001" max="14001" width="10.26953125" style="11" bestFit="1" customWidth="1"/>
    <col min="14002" max="14005" width="9.26953125" style="11" bestFit="1" customWidth="1"/>
    <col min="14006" max="14006" width="11.26953125" style="11" bestFit="1" customWidth="1"/>
    <col min="14007" max="14019" width="8.7265625" style="11" customWidth="1"/>
    <col min="14020" max="14020" width="11" style="11" bestFit="1" customWidth="1"/>
    <col min="14021" max="14021" width="4.7265625" style="11" customWidth="1"/>
    <col min="14022" max="14022" width="25.26953125" style="11" customWidth="1"/>
    <col min="14023" max="14023" width="23" style="11" customWidth="1"/>
    <col min="14024" max="14024" width="10.26953125" style="11" bestFit="1" customWidth="1"/>
    <col min="14025" max="14025" width="0" style="11" hidden="1" customWidth="1"/>
    <col min="14026" max="14026" width="31.7265625" style="11" customWidth="1"/>
    <col min="14027" max="14027" width="6" style="11" customWidth="1"/>
    <col min="14028" max="14029" width="10.26953125" style="11" bestFit="1" customWidth="1"/>
    <col min="14030" max="14037" width="8.7265625" style="11" customWidth="1"/>
    <col min="14038" max="14038" width="10.26953125" style="11" bestFit="1" customWidth="1"/>
    <col min="14039" max="14120" width="8.7265625" style="11" customWidth="1"/>
    <col min="14121" max="14121" width="9.1796875" style="11"/>
    <col min="14122" max="14122" width="4.7265625" style="11" customWidth="1"/>
    <col min="14123" max="14123" width="3.54296875" style="11" customWidth="1"/>
    <col min="14124" max="14124" width="5.54296875" style="11" customWidth="1"/>
    <col min="14125" max="14125" width="8.7265625" style="11" customWidth="1"/>
    <col min="14126" max="14126" width="7.453125" style="11" customWidth="1"/>
    <col min="14127" max="14127" width="11.81640625" style="11" customWidth="1"/>
    <col min="14128" max="14128" width="8.26953125" style="11" customWidth="1"/>
    <col min="14129" max="14129" width="4.7265625" style="11" customWidth="1"/>
    <col min="14130" max="14130" width="0" style="11" hidden="1" customWidth="1"/>
    <col min="14131" max="14131" width="3.26953125" style="11" customWidth="1"/>
    <col min="14132" max="14132" width="0" style="11" hidden="1" customWidth="1"/>
    <col min="14133" max="14133" width="12" style="11" customWidth="1"/>
    <col min="14134" max="14134" width="12.81640625" style="11" customWidth="1"/>
    <col min="14135" max="14135" width="37.7265625" style="11" customWidth="1"/>
    <col min="14136" max="14137" width="8.453125" style="11" customWidth="1"/>
    <col min="14138" max="14138" width="8.54296875" style="11" customWidth="1"/>
    <col min="14139" max="14139" width="8.26953125" style="11" customWidth="1"/>
    <col min="14140" max="14140" width="12.26953125" style="11" customWidth="1"/>
    <col min="14141" max="14143" width="5.453125" style="11" customWidth="1"/>
    <col min="14144" max="14144" width="6.1796875" style="11" customWidth="1"/>
    <col min="14145" max="14145" width="5.1796875" style="11" customWidth="1"/>
    <col min="14146" max="14146" width="6.26953125" style="11" customWidth="1"/>
    <col min="14147" max="14147" width="6.7265625" style="11" customWidth="1"/>
    <col min="14148" max="14148" width="6.1796875" style="11" customWidth="1"/>
    <col min="14149" max="14149" width="6.54296875" style="11" customWidth="1"/>
    <col min="14150" max="14150" width="6.7265625" style="11" customWidth="1"/>
    <col min="14151" max="14151" width="5.7265625" style="11" customWidth="1"/>
    <col min="14152" max="14152" width="6.1796875" style="11" customWidth="1"/>
    <col min="14153" max="14153" width="6" style="11" customWidth="1"/>
    <col min="14154" max="14154" width="6.26953125" style="11" customWidth="1"/>
    <col min="14155" max="14155" width="6.54296875" style="11" customWidth="1"/>
    <col min="14156" max="14156" width="6.1796875" style="11" customWidth="1"/>
    <col min="14157" max="14157" width="5.26953125" style="11" customWidth="1"/>
    <col min="14158" max="14158" width="6.453125" style="11" customWidth="1"/>
    <col min="14159" max="14160" width="6.1796875" style="11" customWidth="1"/>
    <col min="14161" max="14161" width="6.26953125" style="11" customWidth="1"/>
    <col min="14162" max="14162" width="5.26953125" style="11" customWidth="1"/>
    <col min="14163" max="14163" width="6.81640625" style="11" customWidth="1"/>
    <col min="14164" max="14164" width="6.54296875" style="11" customWidth="1"/>
    <col min="14165" max="14165" width="6" style="11" customWidth="1"/>
    <col min="14166" max="14166" width="7" style="11" customWidth="1"/>
    <col min="14167" max="14167" width="6.26953125" style="11" customWidth="1"/>
    <col min="14168" max="14168" width="6.54296875" style="11" customWidth="1"/>
    <col min="14169" max="14169" width="6.7265625" style="11" customWidth="1"/>
    <col min="14170" max="14170" width="5.26953125" style="11" customWidth="1"/>
    <col min="14171" max="14171" width="6" style="11" customWidth="1"/>
    <col min="14172" max="14172" width="5.7265625" style="11" customWidth="1"/>
    <col min="14173" max="14177" width="12.1796875" style="11" bestFit="1" customWidth="1"/>
    <col min="14178" max="14178" width="9.81640625" style="11" bestFit="1" customWidth="1"/>
    <col min="14179" max="14179" width="11" style="11" bestFit="1" customWidth="1"/>
    <col min="14180" max="14180" width="11.26953125" style="11" bestFit="1" customWidth="1"/>
    <col min="14181" max="14181" width="11" style="11" bestFit="1" customWidth="1"/>
    <col min="14182" max="14183" width="9.81640625" style="11" bestFit="1" customWidth="1"/>
    <col min="14184" max="14184" width="10.26953125" style="11" bestFit="1" customWidth="1"/>
    <col min="14185" max="14185" width="12.1796875" style="11" bestFit="1" customWidth="1"/>
    <col min="14186" max="14186" width="11" style="11" bestFit="1" customWidth="1"/>
    <col min="14187" max="14187" width="12.1796875" style="11" bestFit="1" customWidth="1"/>
    <col min="14188" max="14188" width="13.81640625" style="11" bestFit="1" customWidth="1"/>
    <col min="14189" max="14189" width="9.81640625" style="11" bestFit="1" customWidth="1"/>
    <col min="14190" max="14190" width="13.81640625" style="11" bestFit="1" customWidth="1"/>
    <col min="14191" max="14191" width="10.81640625" style="11" bestFit="1" customWidth="1"/>
    <col min="14192" max="14192" width="12.1796875" style="11" bestFit="1" customWidth="1"/>
    <col min="14193" max="14195" width="11" style="11" bestFit="1" customWidth="1"/>
    <col min="14196" max="14196" width="14.26953125" style="11" customWidth="1"/>
    <col min="14197" max="14200" width="10.81640625" style="11" customWidth="1"/>
    <col min="14201" max="14201" width="9.54296875" style="11" customWidth="1"/>
    <col min="14202" max="14203" width="6.7265625" style="11" customWidth="1"/>
    <col min="14204" max="14210" width="8.7265625" style="11" customWidth="1"/>
    <col min="14211" max="14211" width="9.7265625" style="11" bestFit="1" customWidth="1"/>
    <col min="14212" max="14212" width="38.54296875" style="11" bestFit="1" customWidth="1"/>
    <col min="14213" max="14213" width="8.7265625" style="11" bestFit="1" customWidth="1"/>
    <col min="14214" max="14214" width="11.1796875" style="11" bestFit="1" customWidth="1"/>
    <col min="14215" max="14215" width="7.7265625" style="11" bestFit="1" customWidth="1"/>
    <col min="14216" max="14216" width="9.453125" style="11" bestFit="1" customWidth="1"/>
    <col min="14217" max="14217" width="8.7265625" style="11" bestFit="1" customWidth="1"/>
    <col min="14218" max="14218" width="10.453125" style="11" bestFit="1" customWidth="1"/>
    <col min="14219" max="14219" width="9" style="11" bestFit="1" customWidth="1"/>
    <col min="14220" max="14220" width="9.54296875" style="11" bestFit="1" customWidth="1"/>
    <col min="14221" max="14221" width="10.54296875" style="11" bestFit="1" customWidth="1"/>
    <col min="14222" max="14222" width="8.54296875" style="11" bestFit="1" customWidth="1"/>
    <col min="14223" max="14223" width="10.54296875" style="11" bestFit="1" customWidth="1"/>
    <col min="14224" max="14224" width="11" style="11" bestFit="1" customWidth="1"/>
    <col min="14225" max="14225" width="16.54296875" style="11" bestFit="1" customWidth="1"/>
    <col min="14226" max="14226" width="11" style="11" bestFit="1" customWidth="1"/>
    <col min="14227" max="14227" width="10.26953125" style="11" bestFit="1" customWidth="1"/>
    <col min="14228" max="14228" width="12.453125" style="11" bestFit="1" customWidth="1"/>
    <col min="14229" max="14229" width="10.54296875" style="11" bestFit="1" customWidth="1"/>
    <col min="14230" max="14230" width="9" style="11" bestFit="1" customWidth="1"/>
    <col min="14231" max="14231" width="10.54296875" style="11" bestFit="1" customWidth="1"/>
    <col min="14232" max="14232" width="11.1796875" style="11" bestFit="1" customWidth="1"/>
    <col min="14233" max="14233" width="11.453125" style="11" bestFit="1" customWidth="1"/>
    <col min="14234" max="14234" width="12.7265625" style="11" bestFit="1" customWidth="1"/>
    <col min="14235" max="14235" width="13.453125" style="11" bestFit="1" customWidth="1"/>
    <col min="14236" max="14236" width="11.81640625" style="11" bestFit="1" customWidth="1"/>
    <col min="14237" max="14237" width="10.7265625" style="11" bestFit="1" customWidth="1"/>
    <col min="14238" max="14238" width="8.81640625" style="11" bestFit="1" customWidth="1"/>
    <col min="14239" max="14239" width="10" style="11" bestFit="1" customWidth="1"/>
    <col min="14240" max="14240" width="13.1796875" style="11" bestFit="1" customWidth="1"/>
    <col min="14241" max="14241" width="20.7265625" style="11" bestFit="1" customWidth="1"/>
    <col min="14242" max="14242" width="20.7265625" style="11" customWidth="1"/>
    <col min="14243" max="14243" width="9.453125" style="11" bestFit="1" customWidth="1"/>
    <col min="14244" max="14245" width="9.26953125" style="11" bestFit="1" customWidth="1"/>
    <col min="14246" max="14246" width="10.26953125" style="11" bestFit="1" customWidth="1"/>
    <col min="14247" max="14256" width="9.26953125" style="11" bestFit="1" customWidth="1"/>
    <col min="14257" max="14257" width="10.26953125" style="11" bestFit="1" customWidth="1"/>
    <col min="14258" max="14261" width="9.26953125" style="11" bestFit="1" customWidth="1"/>
    <col min="14262" max="14262" width="11.26953125" style="11" bestFit="1" customWidth="1"/>
    <col min="14263" max="14275" width="8.7265625" style="11" customWidth="1"/>
    <col min="14276" max="14276" width="11" style="11" bestFit="1" customWidth="1"/>
    <col min="14277" max="14277" width="4.7265625" style="11" customWidth="1"/>
    <col min="14278" max="14278" width="25.26953125" style="11" customWidth="1"/>
    <col min="14279" max="14279" width="23" style="11" customWidth="1"/>
    <col min="14280" max="14280" width="10.26953125" style="11" bestFit="1" customWidth="1"/>
    <col min="14281" max="14281" width="0" style="11" hidden="1" customWidth="1"/>
    <col min="14282" max="14282" width="31.7265625" style="11" customWidth="1"/>
    <col min="14283" max="14283" width="6" style="11" customWidth="1"/>
    <col min="14284" max="14285" width="10.26953125" style="11" bestFit="1" customWidth="1"/>
    <col min="14286" max="14293" width="8.7265625" style="11" customWidth="1"/>
    <col min="14294" max="14294" width="10.26953125" style="11" bestFit="1" customWidth="1"/>
    <col min="14295" max="14376" width="8.7265625" style="11" customWidth="1"/>
    <col min="14377" max="14377" width="9.1796875" style="11"/>
    <col min="14378" max="14378" width="4.7265625" style="11" customWidth="1"/>
    <col min="14379" max="14379" width="3.54296875" style="11" customWidth="1"/>
    <col min="14380" max="14380" width="5.54296875" style="11" customWidth="1"/>
    <col min="14381" max="14381" width="8.7265625" style="11" customWidth="1"/>
    <col min="14382" max="14382" width="7.453125" style="11" customWidth="1"/>
    <col min="14383" max="14383" width="11.81640625" style="11" customWidth="1"/>
    <col min="14384" max="14384" width="8.26953125" style="11" customWidth="1"/>
    <col min="14385" max="14385" width="4.7265625" style="11" customWidth="1"/>
    <col min="14386" max="14386" width="0" style="11" hidden="1" customWidth="1"/>
    <col min="14387" max="14387" width="3.26953125" style="11" customWidth="1"/>
    <col min="14388" max="14388" width="0" style="11" hidden="1" customWidth="1"/>
    <col min="14389" max="14389" width="12" style="11" customWidth="1"/>
    <col min="14390" max="14390" width="12.81640625" style="11" customWidth="1"/>
    <col min="14391" max="14391" width="37.7265625" style="11" customWidth="1"/>
    <col min="14392" max="14393" width="8.453125" style="11" customWidth="1"/>
    <col min="14394" max="14394" width="8.54296875" style="11" customWidth="1"/>
    <col min="14395" max="14395" width="8.26953125" style="11" customWidth="1"/>
    <col min="14396" max="14396" width="12.26953125" style="11" customWidth="1"/>
    <col min="14397" max="14399" width="5.453125" style="11" customWidth="1"/>
    <col min="14400" max="14400" width="6.1796875" style="11" customWidth="1"/>
    <col min="14401" max="14401" width="5.1796875" style="11" customWidth="1"/>
    <col min="14402" max="14402" width="6.26953125" style="11" customWidth="1"/>
    <col min="14403" max="14403" width="6.7265625" style="11" customWidth="1"/>
    <col min="14404" max="14404" width="6.1796875" style="11" customWidth="1"/>
    <col min="14405" max="14405" width="6.54296875" style="11" customWidth="1"/>
    <col min="14406" max="14406" width="6.7265625" style="11" customWidth="1"/>
    <col min="14407" max="14407" width="5.7265625" style="11" customWidth="1"/>
    <col min="14408" max="14408" width="6.1796875" style="11" customWidth="1"/>
    <col min="14409" max="14409" width="6" style="11" customWidth="1"/>
    <col min="14410" max="14410" width="6.26953125" style="11" customWidth="1"/>
    <col min="14411" max="14411" width="6.54296875" style="11" customWidth="1"/>
    <col min="14412" max="14412" width="6.1796875" style="11" customWidth="1"/>
    <col min="14413" max="14413" width="5.26953125" style="11" customWidth="1"/>
    <col min="14414" max="14414" width="6.453125" style="11" customWidth="1"/>
    <col min="14415" max="14416" width="6.1796875" style="11" customWidth="1"/>
    <col min="14417" max="14417" width="6.26953125" style="11" customWidth="1"/>
    <col min="14418" max="14418" width="5.26953125" style="11" customWidth="1"/>
    <col min="14419" max="14419" width="6.81640625" style="11" customWidth="1"/>
    <col min="14420" max="14420" width="6.54296875" style="11" customWidth="1"/>
    <col min="14421" max="14421" width="6" style="11" customWidth="1"/>
    <col min="14422" max="14422" width="7" style="11" customWidth="1"/>
    <col min="14423" max="14423" width="6.26953125" style="11" customWidth="1"/>
    <col min="14424" max="14424" width="6.54296875" style="11" customWidth="1"/>
    <col min="14425" max="14425" width="6.7265625" style="11" customWidth="1"/>
    <col min="14426" max="14426" width="5.26953125" style="11" customWidth="1"/>
    <col min="14427" max="14427" width="6" style="11" customWidth="1"/>
    <col min="14428" max="14428" width="5.7265625" style="11" customWidth="1"/>
    <col min="14429" max="14433" width="12.1796875" style="11" bestFit="1" customWidth="1"/>
    <col min="14434" max="14434" width="9.81640625" style="11" bestFit="1" customWidth="1"/>
    <col min="14435" max="14435" width="11" style="11" bestFit="1" customWidth="1"/>
    <col min="14436" max="14436" width="11.26953125" style="11" bestFit="1" customWidth="1"/>
    <col min="14437" max="14437" width="11" style="11" bestFit="1" customWidth="1"/>
    <col min="14438" max="14439" width="9.81640625" style="11" bestFit="1" customWidth="1"/>
    <col min="14440" max="14440" width="10.26953125" style="11" bestFit="1" customWidth="1"/>
    <col min="14441" max="14441" width="12.1796875" style="11" bestFit="1" customWidth="1"/>
    <col min="14442" max="14442" width="11" style="11" bestFit="1" customWidth="1"/>
    <col min="14443" max="14443" width="12.1796875" style="11" bestFit="1" customWidth="1"/>
    <col min="14444" max="14444" width="13.81640625" style="11" bestFit="1" customWidth="1"/>
    <col min="14445" max="14445" width="9.81640625" style="11" bestFit="1" customWidth="1"/>
    <col min="14446" max="14446" width="13.81640625" style="11" bestFit="1" customWidth="1"/>
    <col min="14447" max="14447" width="10.81640625" style="11" bestFit="1" customWidth="1"/>
    <col min="14448" max="14448" width="12.1796875" style="11" bestFit="1" customWidth="1"/>
    <col min="14449" max="14451" width="11" style="11" bestFit="1" customWidth="1"/>
    <col min="14452" max="14452" width="14.26953125" style="11" customWidth="1"/>
    <col min="14453" max="14456" width="10.81640625" style="11" customWidth="1"/>
    <col min="14457" max="14457" width="9.54296875" style="11" customWidth="1"/>
    <col min="14458" max="14459" width="6.7265625" style="11" customWidth="1"/>
    <col min="14460" max="14466" width="8.7265625" style="11" customWidth="1"/>
    <col min="14467" max="14467" width="9.7265625" style="11" bestFit="1" customWidth="1"/>
    <col min="14468" max="14468" width="38.54296875" style="11" bestFit="1" customWidth="1"/>
    <col min="14469" max="14469" width="8.7265625" style="11" bestFit="1" customWidth="1"/>
    <col min="14470" max="14470" width="11.1796875" style="11" bestFit="1" customWidth="1"/>
    <col min="14471" max="14471" width="7.7265625" style="11" bestFit="1" customWidth="1"/>
    <col min="14472" max="14472" width="9.453125" style="11" bestFit="1" customWidth="1"/>
    <col min="14473" max="14473" width="8.7265625" style="11" bestFit="1" customWidth="1"/>
    <col min="14474" max="14474" width="10.453125" style="11" bestFit="1" customWidth="1"/>
    <col min="14475" max="14475" width="9" style="11" bestFit="1" customWidth="1"/>
    <col min="14476" max="14476" width="9.54296875" style="11" bestFit="1" customWidth="1"/>
    <col min="14477" max="14477" width="10.54296875" style="11" bestFit="1" customWidth="1"/>
    <col min="14478" max="14478" width="8.54296875" style="11" bestFit="1" customWidth="1"/>
    <col min="14479" max="14479" width="10.54296875" style="11" bestFit="1" customWidth="1"/>
    <col min="14480" max="14480" width="11" style="11" bestFit="1" customWidth="1"/>
    <col min="14481" max="14481" width="16.54296875" style="11" bestFit="1" customWidth="1"/>
    <col min="14482" max="14482" width="11" style="11" bestFit="1" customWidth="1"/>
    <col min="14483" max="14483" width="10.26953125" style="11" bestFit="1" customWidth="1"/>
    <col min="14484" max="14484" width="12.453125" style="11" bestFit="1" customWidth="1"/>
    <col min="14485" max="14485" width="10.54296875" style="11" bestFit="1" customWidth="1"/>
    <col min="14486" max="14486" width="9" style="11" bestFit="1" customWidth="1"/>
    <col min="14487" max="14487" width="10.54296875" style="11" bestFit="1" customWidth="1"/>
    <col min="14488" max="14488" width="11.1796875" style="11" bestFit="1" customWidth="1"/>
    <col min="14489" max="14489" width="11.453125" style="11" bestFit="1" customWidth="1"/>
    <col min="14490" max="14490" width="12.7265625" style="11" bestFit="1" customWidth="1"/>
    <col min="14491" max="14491" width="13.453125" style="11" bestFit="1" customWidth="1"/>
    <col min="14492" max="14492" width="11.81640625" style="11" bestFit="1" customWidth="1"/>
    <col min="14493" max="14493" width="10.7265625" style="11" bestFit="1" customWidth="1"/>
    <col min="14494" max="14494" width="8.81640625" style="11" bestFit="1" customWidth="1"/>
    <col min="14495" max="14495" width="10" style="11" bestFit="1" customWidth="1"/>
    <col min="14496" max="14496" width="13.1796875" style="11" bestFit="1" customWidth="1"/>
    <col min="14497" max="14497" width="20.7265625" style="11" bestFit="1" customWidth="1"/>
    <col min="14498" max="14498" width="20.7265625" style="11" customWidth="1"/>
    <col min="14499" max="14499" width="9.453125" style="11" bestFit="1" customWidth="1"/>
    <col min="14500" max="14501" width="9.26953125" style="11" bestFit="1" customWidth="1"/>
    <col min="14502" max="14502" width="10.26953125" style="11" bestFit="1" customWidth="1"/>
    <col min="14503" max="14512" width="9.26953125" style="11" bestFit="1" customWidth="1"/>
    <col min="14513" max="14513" width="10.26953125" style="11" bestFit="1" customWidth="1"/>
    <col min="14514" max="14517" width="9.26953125" style="11" bestFit="1" customWidth="1"/>
    <col min="14518" max="14518" width="11.26953125" style="11" bestFit="1" customWidth="1"/>
    <col min="14519" max="14531" width="8.7265625" style="11" customWidth="1"/>
    <col min="14532" max="14532" width="11" style="11" bestFit="1" customWidth="1"/>
    <col min="14533" max="14533" width="4.7265625" style="11" customWidth="1"/>
    <col min="14534" max="14534" width="25.26953125" style="11" customWidth="1"/>
    <col min="14535" max="14535" width="23" style="11" customWidth="1"/>
    <col min="14536" max="14536" width="10.26953125" style="11" bestFit="1" customWidth="1"/>
    <col min="14537" max="14537" width="0" style="11" hidden="1" customWidth="1"/>
    <col min="14538" max="14538" width="31.7265625" style="11" customWidth="1"/>
    <col min="14539" max="14539" width="6" style="11" customWidth="1"/>
    <col min="14540" max="14541" width="10.26953125" style="11" bestFit="1" customWidth="1"/>
    <col min="14542" max="14549" width="8.7265625" style="11" customWidth="1"/>
    <col min="14550" max="14550" width="10.26953125" style="11" bestFit="1" customWidth="1"/>
    <col min="14551" max="14632" width="8.7265625" style="11" customWidth="1"/>
    <col min="14633" max="14633" width="9.1796875" style="11"/>
    <col min="14634" max="14634" width="4.7265625" style="11" customWidth="1"/>
    <col min="14635" max="14635" width="3.54296875" style="11" customWidth="1"/>
    <col min="14636" max="14636" width="5.54296875" style="11" customWidth="1"/>
    <col min="14637" max="14637" width="8.7265625" style="11" customWidth="1"/>
    <col min="14638" max="14638" width="7.453125" style="11" customWidth="1"/>
    <col min="14639" max="14639" width="11.81640625" style="11" customWidth="1"/>
    <col min="14640" max="14640" width="8.26953125" style="11" customWidth="1"/>
    <col min="14641" max="14641" width="4.7265625" style="11" customWidth="1"/>
    <col min="14642" max="14642" width="0" style="11" hidden="1" customWidth="1"/>
    <col min="14643" max="14643" width="3.26953125" style="11" customWidth="1"/>
    <col min="14644" max="14644" width="0" style="11" hidden="1" customWidth="1"/>
    <col min="14645" max="14645" width="12" style="11" customWidth="1"/>
    <col min="14646" max="14646" width="12.81640625" style="11" customWidth="1"/>
    <col min="14647" max="14647" width="37.7265625" style="11" customWidth="1"/>
    <col min="14648" max="14649" width="8.453125" style="11" customWidth="1"/>
    <col min="14650" max="14650" width="8.54296875" style="11" customWidth="1"/>
    <col min="14651" max="14651" width="8.26953125" style="11" customWidth="1"/>
    <col min="14652" max="14652" width="12.26953125" style="11" customWidth="1"/>
    <col min="14653" max="14655" width="5.453125" style="11" customWidth="1"/>
    <col min="14656" max="14656" width="6.1796875" style="11" customWidth="1"/>
    <col min="14657" max="14657" width="5.1796875" style="11" customWidth="1"/>
    <col min="14658" max="14658" width="6.26953125" style="11" customWidth="1"/>
    <col min="14659" max="14659" width="6.7265625" style="11" customWidth="1"/>
    <col min="14660" max="14660" width="6.1796875" style="11" customWidth="1"/>
    <col min="14661" max="14661" width="6.54296875" style="11" customWidth="1"/>
    <col min="14662" max="14662" width="6.7265625" style="11" customWidth="1"/>
    <col min="14663" max="14663" width="5.7265625" style="11" customWidth="1"/>
    <col min="14664" max="14664" width="6.1796875" style="11" customWidth="1"/>
    <col min="14665" max="14665" width="6" style="11" customWidth="1"/>
    <col min="14666" max="14666" width="6.26953125" style="11" customWidth="1"/>
    <col min="14667" max="14667" width="6.54296875" style="11" customWidth="1"/>
    <col min="14668" max="14668" width="6.1796875" style="11" customWidth="1"/>
    <col min="14669" max="14669" width="5.26953125" style="11" customWidth="1"/>
    <col min="14670" max="14670" width="6.453125" style="11" customWidth="1"/>
    <col min="14671" max="14672" width="6.1796875" style="11" customWidth="1"/>
    <col min="14673" max="14673" width="6.26953125" style="11" customWidth="1"/>
    <col min="14674" max="14674" width="5.26953125" style="11" customWidth="1"/>
    <col min="14675" max="14675" width="6.81640625" style="11" customWidth="1"/>
    <col min="14676" max="14676" width="6.54296875" style="11" customWidth="1"/>
    <col min="14677" max="14677" width="6" style="11" customWidth="1"/>
    <col min="14678" max="14678" width="7" style="11" customWidth="1"/>
    <col min="14679" max="14679" width="6.26953125" style="11" customWidth="1"/>
    <col min="14680" max="14680" width="6.54296875" style="11" customWidth="1"/>
    <col min="14681" max="14681" width="6.7265625" style="11" customWidth="1"/>
    <col min="14682" max="14682" width="5.26953125" style="11" customWidth="1"/>
    <col min="14683" max="14683" width="6" style="11" customWidth="1"/>
    <col min="14684" max="14684" width="5.7265625" style="11" customWidth="1"/>
    <col min="14685" max="14689" width="12.1796875" style="11" bestFit="1" customWidth="1"/>
    <col min="14690" max="14690" width="9.81640625" style="11" bestFit="1" customWidth="1"/>
    <col min="14691" max="14691" width="11" style="11" bestFit="1" customWidth="1"/>
    <col min="14692" max="14692" width="11.26953125" style="11" bestFit="1" customWidth="1"/>
    <col min="14693" max="14693" width="11" style="11" bestFit="1" customWidth="1"/>
    <col min="14694" max="14695" width="9.81640625" style="11" bestFit="1" customWidth="1"/>
    <col min="14696" max="14696" width="10.26953125" style="11" bestFit="1" customWidth="1"/>
    <col min="14697" max="14697" width="12.1796875" style="11" bestFit="1" customWidth="1"/>
    <col min="14698" max="14698" width="11" style="11" bestFit="1" customWidth="1"/>
    <col min="14699" max="14699" width="12.1796875" style="11" bestFit="1" customWidth="1"/>
    <col min="14700" max="14700" width="13.81640625" style="11" bestFit="1" customWidth="1"/>
    <col min="14701" max="14701" width="9.81640625" style="11" bestFit="1" customWidth="1"/>
    <col min="14702" max="14702" width="13.81640625" style="11" bestFit="1" customWidth="1"/>
    <col min="14703" max="14703" width="10.81640625" style="11" bestFit="1" customWidth="1"/>
    <col min="14704" max="14704" width="12.1796875" style="11" bestFit="1" customWidth="1"/>
    <col min="14705" max="14707" width="11" style="11" bestFit="1" customWidth="1"/>
    <col min="14708" max="14708" width="14.26953125" style="11" customWidth="1"/>
    <col min="14709" max="14712" width="10.81640625" style="11" customWidth="1"/>
    <col min="14713" max="14713" width="9.54296875" style="11" customWidth="1"/>
    <col min="14714" max="14715" width="6.7265625" style="11" customWidth="1"/>
    <col min="14716" max="14722" width="8.7265625" style="11" customWidth="1"/>
    <col min="14723" max="14723" width="9.7265625" style="11" bestFit="1" customWidth="1"/>
    <col min="14724" max="14724" width="38.54296875" style="11" bestFit="1" customWidth="1"/>
    <col min="14725" max="14725" width="8.7265625" style="11" bestFit="1" customWidth="1"/>
    <col min="14726" max="14726" width="11.1796875" style="11" bestFit="1" customWidth="1"/>
    <col min="14727" max="14727" width="7.7265625" style="11" bestFit="1" customWidth="1"/>
    <col min="14728" max="14728" width="9.453125" style="11" bestFit="1" customWidth="1"/>
    <col min="14729" max="14729" width="8.7265625" style="11" bestFit="1" customWidth="1"/>
    <col min="14730" max="14730" width="10.453125" style="11" bestFit="1" customWidth="1"/>
    <col min="14731" max="14731" width="9" style="11" bestFit="1" customWidth="1"/>
    <col min="14732" max="14732" width="9.54296875" style="11" bestFit="1" customWidth="1"/>
    <col min="14733" max="14733" width="10.54296875" style="11" bestFit="1" customWidth="1"/>
    <col min="14734" max="14734" width="8.54296875" style="11" bestFit="1" customWidth="1"/>
    <col min="14735" max="14735" width="10.54296875" style="11" bestFit="1" customWidth="1"/>
    <col min="14736" max="14736" width="11" style="11" bestFit="1" customWidth="1"/>
    <col min="14737" max="14737" width="16.54296875" style="11" bestFit="1" customWidth="1"/>
    <col min="14738" max="14738" width="11" style="11" bestFit="1" customWidth="1"/>
    <col min="14739" max="14739" width="10.26953125" style="11" bestFit="1" customWidth="1"/>
    <col min="14740" max="14740" width="12.453125" style="11" bestFit="1" customWidth="1"/>
    <col min="14741" max="14741" width="10.54296875" style="11" bestFit="1" customWidth="1"/>
    <col min="14742" max="14742" width="9" style="11" bestFit="1" customWidth="1"/>
    <col min="14743" max="14743" width="10.54296875" style="11" bestFit="1" customWidth="1"/>
    <col min="14744" max="14744" width="11.1796875" style="11" bestFit="1" customWidth="1"/>
    <col min="14745" max="14745" width="11.453125" style="11" bestFit="1" customWidth="1"/>
    <col min="14746" max="14746" width="12.7265625" style="11" bestFit="1" customWidth="1"/>
    <col min="14747" max="14747" width="13.453125" style="11" bestFit="1" customWidth="1"/>
    <col min="14748" max="14748" width="11.81640625" style="11" bestFit="1" customWidth="1"/>
    <col min="14749" max="14749" width="10.7265625" style="11" bestFit="1" customWidth="1"/>
    <col min="14750" max="14750" width="8.81640625" style="11" bestFit="1" customWidth="1"/>
    <col min="14751" max="14751" width="10" style="11" bestFit="1" customWidth="1"/>
    <col min="14752" max="14752" width="13.1796875" style="11" bestFit="1" customWidth="1"/>
    <col min="14753" max="14753" width="20.7265625" style="11" bestFit="1" customWidth="1"/>
    <col min="14754" max="14754" width="20.7265625" style="11" customWidth="1"/>
    <col min="14755" max="14755" width="9.453125" style="11" bestFit="1" customWidth="1"/>
    <col min="14756" max="14757" width="9.26953125" style="11" bestFit="1" customWidth="1"/>
    <col min="14758" max="14758" width="10.26953125" style="11" bestFit="1" customWidth="1"/>
    <col min="14759" max="14768" width="9.26953125" style="11" bestFit="1" customWidth="1"/>
    <col min="14769" max="14769" width="10.26953125" style="11" bestFit="1" customWidth="1"/>
    <col min="14770" max="14773" width="9.26953125" style="11" bestFit="1" customWidth="1"/>
    <col min="14774" max="14774" width="11.26953125" style="11" bestFit="1" customWidth="1"/>
    <col min="14775" max="14787" width="8.7265625" style="11" customWidth="1"/>
    <col min="14788" max="14788" width="11" style="11" bestFit="1" customWidth="1"/>
    <col min="14789" max="14789" width="4.7265625" style="11" customWidth="1"/>
    <col min="14790" max="14790" width="25.26953125" style="11" customWidth="1"/>
    <col min="14791" max="14791" width="23" style="11" customWidth="1"/>
    <col min="14792" max="14792" width="10.26953125" style="11" bestFit="1" customWidth="1"/>
    <col min="14793" max="14793" width="0" style="11" hidden="1" customWidth="1"/>
    <col min="14794" max="14794" width="31.7265625" style="11" customWidth="1"/>
    <col min="14795" max="14795" width="6" style="11" customWidth="1"/>
    <col min="14796" max="14797" width="10.26953125" style="11" bestFit="1" customWidth="1"/>
    <col min="14798" max="14805" width="8.7265625" style="11" customWidth="1"/>
    <col min="14806" max="14806" width="10.26953125" style="11" bestFit="1" customWidth="1"/>
    <col min="14807" max="14888" width="8.7265625" style="11" customWidth="1"/>
    <col min="14889" max="14889" width="9.1796875" style="11"/>
    <col min="14890" max="14890" width="4.7265625" style="11" customWidth="1"/>
    <col min="14891" max="14891" width="3.54296875" style="11" customWidth="1"/>
    <col min="14892" max="14892" width="5.54296875" style="11" customWidth="1"/>
    <col min="14893" max="14893" width="8.7265625" style="11" customWidth="1"/>
    <col min="14894" max="14894" width="7.453125" style="11" customWidth="1"/>
    <col min="14895" max="14895" width="11.81640625" style="11" customWidth="1"/>
    <col min="14896" max="14896" width="8.26953125" style="11" customWidth="1"/>
    <col min="14897" max="14897" width="4.7265625" style="11" customWidth="1"/>
    <col min="14898" max="14898" width="0" style="11" hidden="1" customWidth="1"/>
    <col min="14899" max="14899" width="3.26953125" style="11" customWidth="1"/>
    <col min="14900" max="14900" width="0" style="11" hidden="1" customWidth="1"/>
    <col min="14901" max="14901" width="12" style="11" customWidth="1"/>
    <col min="14902" max="14902" width="12.81640625" style="11" customWidth="1"/>
    <col min="14903" max="14903" width="37.7265625" style="11" customWidth="1"/>
    <col min="14904" max="14905" width="8.453125" style="11" customWidth="1"/>
    <col min="14906" max="14906" width="8.54296875" style="11" customWidth="1"/>
    <col min="14907" max="14907" width="8.26953125" style="11" customWidth="1"/>
    <col min="14908" max="14908" width="12.26953125" style="11" customWidth="1"/>
    <col min="14909" max="14911" width="5.453125" style="11" customWidth="1"/>
    <col min="14912" max="14912" width="6.1796875" style="11" customWidth="1"/>
    <col min="14913" max="14913" width="5.1796875" style="11" customWidth="1"/>
    <col min="14914" max="14914" width="6.26953125" style="11" customWidth="1"/>
    <col min="14915" max="14915" width="6.7265625" style="11" customWidth="1"/>
    <col min="14916" max="14916" width="6.1796875" style="11" customWidth="1"/>
    <col min="14917" max="14917" width="6.54296875" style="11" customWidth="1"/>
    <col min="14918" max="14918" width="6.7265625" style="11" customWidth="1"/>
    <col min="14919" max="14919" width="5.7265625" style="11" customWidth="1"/>
    <col min="14920" max="14920" width="6.1796875" style="11" customWidth="1"/>
    <col min="14921" max="14921" width="6" style="11" customWidth="1"/>
    <col min="14922" max="14922" width="6.26953125" style="11" customWidth="1"/>
    <col min="14923" max="14923" width="6.54296875" style="11" customWidth="1"/>
    <col min="14924" max="14924" width="6.1796875" style="11" customWidth="1"/>
    <col min="14925" max="14925" width="5.26953125" style="11" customWidth="1"/>
    <col min="14926" max="14926" width="6.453125" style="11" customWidth="1"/>
    <col min="14927" max="14928" width="6.1796875" style="11" customWidth="1"/>
    <col min="14929" max="14929" width="6.26953125" style="11" customWidth="1"/>
    <col min="14930" max="14930" width="5.26953125" style="11" customWidth="1"/>
    <col min="14931" max="14931" width="6.81640625" style="11" customWidth="1"/>
    <col min="14932" max="14932" width="6.54296875" style="11" customWidth="1"/>
    <col min="14933" max="14933" width="6" style="11" customWidth="1"/>
    <col min="14934" max="14934" width="7" style="11" customWidth="1"/>
    <col min="14935" max="14935" width="6.26953125" style="11" customWidth="1"/>
    <col min="14936" max="14936" width="6.54296875" style="11" customWidth="1"/>
    <col min="14937" max="14937" width="6.7265625" style="11" customWidth="1"/>
    <col min="14938" max="14938" width="5.26953125" style="11" customWidth="1"/>
    <col min="14939" max="14939" width="6" style="11" customWidth="1"/>
    <col min="14940" max="14940" width="5.7265625" style="11" customWidth="1"/>
    <col min="14941" max="14945" width="12.1796875" style="11" bestFit="1" customWidth="1"/>
    <col min="14946" max="14946" width="9.81640625" style="11" bestFit="1" customWidth="1"/>
    <col min="14947" max="14947" width="11" style="11" bestFit="1" customWidth="1"/>
    <col min="14948" max="14948" width="11.26953125" style="11" bestFit="1" customWidth="1"/>
    <col min="14949" max="14949" width="11" style="11" bestFit="1" customWidth="1"/>
    <col min="14950" max="14951" width="9.81640625" style="11" bestFit="1" customWidth="1"/>
    <col min="14952" max="14952" width="10.26953125" style="11" bestFit="1" customWidth="1"/>
    <col min="14953" max="14953" width="12.1796875" style="11" bestFit="1" customWidth="1"/>
    <col min="14954" max="14954" width="11" style="11" bestFit="1" customWidth="1"/>
    <col min="14955" max="14955" width="12.1796875" style="11" bestFit="1" customWidth="1"/>
    <col min="14956" max="14956" width="13.81640625" style="11" bestFit="1" customWidth="1"/>
    <col min="14957" max="14957" width="9.81640625" style="11" bestFit="1" customWidth="1"/>
    <col min="14958" max="14958" width="13.81640625" style="11" bestFit="1" customWidth="1"/>
    <col min="14959" max="14959" width="10.81640625" style="11" bestFit="1" customWidth="1"/>
    <col min="14960" max="14960" width="12.1796875" style="11" bestFit="1" customWidth="1"/>
    <col min="14961" max="14963" width="11" style="11" bestFit="1" customWidth="1"/>
    <col min="14964" max="14964" width="14.26953125" style="11" customWidth="1"/>
    <col min="14965" max="14968" width="10.81640625" style="11" customWidth="1"/>
    <col min="14969" max="14969" width="9.54296875" style="11" customWidth="1"/>
    <col min="14970" max="14971" width="6.7265625" style="11" customWidth="1"/>
    <col min="14972" max="14978" width="8.7265625" style="11" customWidth="1"/>
    <col min="14979" max="14979" width="9.7265625" style="11" bestFit="1" customWidth="1"/>
    <col min="14980" max="14980" width="38.54296875" style="11" bestFit="1" customWidth="1"/>
    <col min="14981" max="14981" width="8.7265625" style="11" bestFit="1" customWidth="1"/>
    <col min="14982" max="14982" width="11.1796875" style="11" bestFit="1" customWidth="1"/>
    <col min="14983" max="14983" width="7.7265625" style="11" bestFit="1" customWidth="1"/>
    <col min="14984" max="14984" width="9.453125" style="11" bestFit="1" customWidth="1"/>
    <col min="14985" max="14985" width="8.7265625" style="11" bestFit="1" customWidth="1"/>
    <col min="14986" max="14986" width="10.453125" style="11" bestFit="1" customWidth="1"/>
    <col min="14987" max="14987" width="9" style="11" bestFit="1" customWidth="1"/>
    <col min="14988" max="14988" width="9.54296875" style="11" bestFit="1" customWidth="1"/>
    <col min="14989" max="14989" width="10.54296875" style="11" bestFit="1" customWidth="1"/>
    <col min="14990" max="14990" width="8.54296875" style="11" bestFit="1" customWidth="1"/>
    <col min="14991" max="14991" width="10.54296875" style="11" bestFit="1" customWidth="1"/>
    <col min="14992" max="14992" width="11" style="11" bestFit="1" customWidth="1"/>
    <col min="14993" max="14993" width="16.54296875" style="11" bestFit="1" customWidth="1"/>
    <col min="14994" max="14994" width="11" style="11" bestFit="1" customWidth="1"/>
    <col min="14995" max="14995" width="10.26953125" style="11" bestFit="1" customWidth="1"/>
    <col min="14996" max="14996" width="12.453125" style="11" bestFit="1" customWidth="1"/>
    <col min="14997" max="14997" width="10.54296875" style="11" bestFit="1" customWidth="1"/>
    <col min="14998" max="14998" width="9" style="11" bestFit="1" customWidth="1"/>
    <col min="14999" max="14999" width="10.54296875" style="11" bestFit="1" customWidth="1"/>
    <col min="15000" max="15000" width="11.1796875" style="11" bestFit="1" customWidth="1"/>
    <col min="15001" max="15001" width="11.453125" style="11" bestFit="1" customWidth="1"/>
    <col min="15002" max="15002" width="12.7265625" style="11" bestFit="1" customWidth="1"/>
    <col min="15003" max="15003" width="13.453125" style="11" bestFit="1" customWidth="1"/>
    <col min="15004" max="15004" width="11.81640625" style="11" bestFit="1" customWidth="1"/>
    <col min="15005" max="15005" width="10.7265625" style="11" bestFit="1" customWidth="1"/>
    <col min="15006" max="15006" width="8.81640625" style="11" bestFit="1" customWidth="1"/>
    <col min="15007" max="15007" width="10" style="11" bestFit="1" customWidth="1"/>
    <col min="15008" max="15008" width="13.1796875" style="11" bestFit="1" customWidth="1"/>
    <col min="15009" max="15009" width="20.7265625" style="11" bestFit="1" customWidth="1"/>
    <col min="15010" max="15010" width="20.7265625" style="11" customWidth="1"/>
    <col min="15011" max="15011" width="9.453125" style="11" bestFit="1" customWidth="1"/>
    <col min="15012" max="15013" width="9.26953125" style="11" bestFit="1" customWidth="1"/>
    <col min="15014" max="15014" width="10.26953125" style="11" bestFit="1" customWidth="1"/>
    <col min="15015" max="15024" width="9.26953125" style="11" bestFit="1" customWidth="1"/>
    <col min="15025" max="15025" width="10.26953125" style="11" bestFit="1" customWidth="1"/>
    <col min="15026" max="15029" width="9.26953125" style="11" bestFit="1" customWidth="1"/>
    <col min="15030" max="15030" width="11.26953125" style="11" bestFit="1" customWidth="1"/>
    <col min="15031" max="15043" width="8.7265625" style="11" customWidth="1"/>
    <col min="15044" max="15044" width="11" style="11" bestFit="1" customWidth="1"/>
    <col min="15045" max="15045" width="4.7265625" style="11" customWidth="1"/>
    <col min="15046" max="15046" width="25.26953125" style="11" customWidth="1"/>
    <col min="15047" max="15047" width="23" style="11" customWidth="1"/>
    <col min="15048" max="15048" width="10.26953125" style="11" bestFit="1" customWidth="1"/>
    <col min="15049" max="15049" width="0" style="11" hidden="1" customWidth="1"/>
    <col min="15050" max="15050" width="31.7265625" style="11" customWidth="1"/>
    <col min="15051" max="15051" width="6" style="11" customWidth="1"/>
    <col min="15052" max="15053" width="10.26953125" style="11" bestFit="1" customWidth="1"/>
    <col min="15054" max="15061" width="8.7265625" style="11" customWidth="1"/>
    <col min="15062" max="15062" width="10.26953125" style="11" bestFit="1" customWidth="1"/>
    <col min="15063" max="15144" width="8.7265625" style="11" customWidth="1"/>
    <col min="15145" max="15145" width="9.1796875" style="11"/>
    <col min="15146" max="15146" width="4.7265625" style="11" customWidth="1"/>
    <col min="15147" max="15147" width="3.54296875" style="11" customWidth="1"/>
    <col min="15148" max="15148" width="5.54296875" style="11" customWidth="1"/>
    <col min="15149" max="15149" width="8.7265625" style="11" customWidth="1"/>
    <col min="15150" max="15150" width="7.453125" style="11" customWidth="1"/>
    <col min="15151" max="15151" width="11.81640625" style="11" customWidth="1"/>
    <col min="15152" max="15152" width="8.26953125" style="11" customWidth="1"/>
    <col min="15153" max="15153" width="4.7265625" style="11" customWidth="1"/>
    <col min="15154" max="15154" width="0" style="11" hidden="1" customWidth="1"/>
    <col min="15155" max="15155" width="3.26953125" style="11" customWidth="1"/>
    <col min="15156" max="15156" width="0" style="11" hidden="1" customWidth="1"/>
    <col min="15157" max="15157" width="12" style="11" customWidth="1"/>
    <col min="15158" max="15158" width="12.81640625" style="11" customWidth="1"/>
    <col min="15159" max="15159" width="37.7265625" style="11" customWidth="1"/>
    <col min="15160" max="15161" width="8.453125" style="11" customWidth="1"/>
    <col min="15162" max="15162" width="8.54296875" style="11" customWidth="1"/>
    <col min="15163" max="15163" width="8.26953125" style="11" customWidth="1"/>
    <col min="15164" max="15164" width="12.26953125" style="11" customWidth="1"/>
    <col min="15165" max="15167" width="5.453125" style="11" customWidth="1"/>
    <col min="15168" max="15168" width="6.1796875" style="11" customWidth="1"/>
    <col min="15169" max="15169" width="5.1796875" style="11" customWidth="1"/>
    <col min="15170" max="15170" width="6.26953125" style="11" customWidth="1"/>
    <col min="15171" max="15171" width="6.7265625" style="11" customWidth="1"/>
    <col min="15172" max="15172" width="6.1796875" style="11" customWidth="1"/>
    <col min="15173" max="15173" width="6.54296875" style="11" customWidth="1"/>
    <col min="15174" max="15174" width="6.7265625" style="11" customWidth="1"/>
    <col min="15175" max="15175" width="5.7265625" style="11" customWidth="1"/>
    <col min="15176" max="15176" width="6.1796875" style="11" customWidth="1"/>
    <col min="15177" max="15177" width="6" style="11" customWidth="1"/>
    <col min="15178" max="15178" width="6.26953125" style="11" customWidth="1"/>
    <col min="15179" max="15179" width="6.54296875" style="11" customWidth="1"/>
    <col min="15180" max="15180" width="6.1796875" style="11" customWidth="1"/>
    <col min="15181" max="15181" width="5.26953125" style="11" customWidth="1"/>
    <col min="15182" max="15182" width="6.453125" style="11" customWidth="1"/>
    <col min="15183" max="15184" width="6.1796875" style="11" customWidth="1"/>
    <col min="15185" max="15185" width="6.26953125" style="11" customWidth="1"/>
    <col min="15186" max="15186" width="5.26953125" style="11" customWidth="1"/>
    <col min="15187" max="15187" width="6.81640625" style="11" customWidth="1"/>
    <col min="15188" max="15188" width="6.54296875" style="11" customWidth="1"/>
    <col min="15189" max="15189" width="6" style="11" customWidth="1"/>
    <col min="15190" max="15190" width="7" style="11" customWidth="1"/>
    <col min="15191" max="15191" width="6.26953125" style="11" customWidth="1"/>
    <col min="15192" max="15192" width="6.54296875" style="11" customWidth="1"/>
    <col min="15193" max="15193" width="6.7265625" style="11" customWidth="1"/>
    <col min="15194" max="15194" width="5.26953125" style="11" customWidth="1"/>
    <col min="15195" max="15195" width="6" style="11" customWidth="1"/>
    <col min="15196" max="15196" width="5.7265625" style="11" customWidth="1"/>
    <col min="15197" max="15201" width="12.1796875" style="11" bestFit="1" customWidth="1"/>
    <col min="15202" max="15202" width="9.81640625" style="11" bestFit="1" customWidth="1"/>
    <col min="15203" max="15203" width="11" style="11" bestFit="1" customWidth="1"/>
    <col min="15204" max="15204" width="11.26953125" style="11" bestFit="1" customWidth="1"/>
    <col min="15205" max="15205" width="11" style="11" bestFit="1" customWidth="1"/>
    <col min="15206" max="15207" width="9.81640625" style="11" bestFit="1" customWidth="1"/>
    <col min="15208" max="15208" width="10.26953125" style="11" bestFit="1" customWidth="1"/>
    <col min="15209" max="15209" width="12.1796875" style="11" bestFit="1" customWidth="1"/>
    <col min="15210" max="15210" width="11" style="11" bestFit="1" customWidth="1"/>
    <col min="15211" max="15211" width="12.1796875" style="11" bestFit="1" customWidth="1"/>
    <col min="15212" max="15212" width="13.81640625" style="11" bestFit="1" customWidth="1"/>
    <col min="15213" max="15213" width="9.81640625" style="11" bestFit="1" customWidth="1"/>
    <col min="15214" max="15214" width="13.81640625" style="11" bestFit="1" customWidth="1"/>
    <col min="15215" max="15215" width="10.81640625" style="11" bestFit="1" customWidth="1"/>
    <col min="15216" max="15216" width="12.1796875" style="11" bestFit="1" customWidth="1"/>
    <col min="15217" max="15219" width="11" style="11" bestFit="1" customWidth="1"/>
    <col min="15220" max="15220" width="14.26953125" style="11" customWidth="1"/>
    <col min="15221" max="15224" width="10.81640625" style="11" customWidth="1"/>
    <col min="15225" max="15225" width="9.54296875" style="11" customWidth="1"/>
    <col min="15226" max="15227" width="6.7265625" style="11" customWidth="1"/>
    <col min="15228" max="15234" width="8.7265625" style="11" customWidth="1"/>
    <col min="15235" max="15235" width="9.7265625" style="11" bestFit="1" customWidth="1"/>
    <col min="15236" max="15236" width="38.54296875" style="11" bestFit="1" customWidth="1"/>
    <col min="15237" max="15237" width="8.7265625" style="11" bestFit="1" customWidth="1"/>
    <col min="15238" max="15238" width="11.1796875" style="11" bestFit="1" customWidth="1"/>
    <col min="15239" max="15239" width="7.7265625" style="11" bestFit="1" customWidth="1"/>
    <col min="15240" max="15240" width="9.453125" style="11" bestFit="1" customWidth="1"/>
    <col min="15241" max="15241" width="8.7265625" style="11" bestFit="1" customWidth="1"/>
    <col min="15242" max="15242" width="10.453125" style="11" bestFit="1" customWidth="1"/>
    <col min="15243" max="15243" width="9" style="11" bestFit="1" customWidth="1"/>
    <col min="15244" max="15244" width="9.54296875" style="11" bestFit="1" customWidth="1"/>
    <col min="15245" max="15245" width="10.54296875" style="11" bestFit="1" customWidth="1"/>
    <col min="15246" max="15246" width="8.54296875" style="11" bestFit="1" customWidth="1"/>
    <col min="15247" max="15247" width="10.54296875" style="11" bestFit="1" customWidth="1"/>
    <col min="15248" max="15248" width="11" style="11" bestFit="1" customWidth="1"/>
    <col min="15249" max="15249" width="16.54296875" style="11" bestFit="1" customWidth="1"/>
    <col min="15250" max="15250" width="11" style="11" bestFit="1" customWidth="1"/>
    <col min="15251" max="15251" width="10.26953125" style="11" bestFit="1" customWidth="1"/>
    <col min="15252" max="15252" width="12.453125" style="11" bestFit="1" customWidth="1"/>
    <col min="15253" max="15253" width="10.54296875" style="11" bestFit="1" customWidth="1"/>
    <col min="15254" max="15254" width="9" style="11" bestFit="1" customWidth="1"/>
    <col min="15255" max="15255" width="10.54296875" style="11" bestFit="1" customWidth="1"/>
    <col min="15256" max="15256" width="11.1796875" style="11" bestFit="1" customWidth="1"/>
    <col min="15257" max="15257" width="11.453125" style="11" bestFit="1" customWidth="1"/>
    <col min="15258" max="15258" width="12.7265625" style="11" bestFit="1" customWidth="1"/>
    <col min="15259" max="15259" width="13.453125" style="11" bestFit="1" customWidth="1"/>
    <col min="15260" max="15260" width="11.81640625" style="11" bestFit="1" customWidth="1"/>
    <col min="15261" max="15261" width="10.7265625" style="11" bestFit="1" customWidth="1"/>
    <col min="15262" max="15262" width="8.81640625" style="11" bestFit="1" customWidth="1"/>
    <col min="15263" max="15263" width="10" style="11" bestFit="1" customWidth="1"/>
    <col min="15264" max="15264" width="13.1796875" style="11" bestFit="1" customWidth="1"/>
    <col min="15265" max="15265" width="20.7265625" style="11" bestFit="1" customWidth="1"/>
    <col min="15266" max="15266" width="20.7265625" style="11" customWidth="1"/>
    <col min="15267" max="15267" width="9.453125" style="11" bestFit="1" customWidth="1"/>
    <col min="15268" max="15269" width="9.26953125" style="11" bestFit="1" customWidth="1"/>
    <col min="15270" max="15270" width="10.26953125" style="11" bestFit="1" customWidth="1"/>
    <col min="15271" max="15280" width="9.26953125" style="11" bestFit="1" customWidth="1"/>
    <col min="15281" max="15281" width="10.26953125" style="11" bestFit="1" customWidth="1"/>
    <col min="15282" max="15285" width="9.26953125" style="11" bestFit="1" customWidth="1"/>
    <col min="15286" max="15286" width="11.26953125" style="11" bestFit="1" customWidth="1"/>
    <col min="15287" max="15299" width="8.7265625" style="11" customWidth="1"/>
    <col min="15300" max="15300" width="11" style="11" bestFit="1" customWidth="1"/>
    <col min="15301" max="15301" width="4.7265625" style="11" customWidth="1"/>
    <col min="15302" max="15302" width="25.26953125" style="11" customWidth="1"/>
    <col min="15303" max="15303" width="23" style="11" customWidth="1"/>
    <col min="15304" max="15304" width="10.26953125" style="11" bestFit="1" customWidth="1"/>
    <col min="15305" max="15305" width="0" style="11" hidden="1" customWidth="1"/>
    <col min="15306" max="15306" width="31.7265625" style="11" customWidth="1"/>
    <col min="15307" max="15307" width="6" style="11" customWidth="1"/>
    <col min="15308" max="15309" width="10.26953125" style="11" bestFit="1" customWidth="1"/>
    <col min="15310" max="15317" width="8.7265625" style="11" customWidth="1"/>
    <col min="15318" max="15318" width="10.26953125" style="11" bestFit="1" customWidth="1"/>
    <col min="15319" max="15400" width="8.7265625" style="11" customWidth="1"/>
    <col min="15401" max="15401" width="9.1796875" style="11"/>
    <col min="15402" max="15402" width="4.7265625" style="11" customWidth="1"/>
    <col min="15403" max="15403" width="3.54296875" style="11" customWidth="1"/>
    <col min="15404" max="15404" width="5.54296875" style="11" customWidth="1"/>
    <col min="15405" max="15405" width="8.7265625" style="11" customWidth="1"/>
    <col min="15406" max="15406" width="7.453125" style="11" customWidth="1"/>
    <col min="15407" max="15407" width="11.81640625" style="11" customWidth="1"/>
    <col min="15408" max="15408" width="8.26953125" style="11" customWidth="1"/>
    <col min="15409" max="15409" width="4.7265625" style="11" customWidth="1"/>
    <col min="15410" max="15410" width="0" style="11" hidden="1" customWidth="1"/>
    <col min="15411" max="15411" width="3.26953125" style="11" customWidth="1"/>
    <col min="15412" max="15412" width="0" style="11" hidden="1" customWidth="1"/>
    <col min="15413" max="15413" width="12" style="11" customWidth="1"/>
    <col min="15414" max="15414" width="12.81640625" style="11" customWidth="1"/>
    <col min="15415" max="15415" width="37.7265625" style="11" customWidth="1"/>
    <col min="15416" max="15417" width="8.453125" style="11" customWidth="1"/>
    <col min="15418" max="15418" width="8.54296875" style="11" customWidth="1"/>
    <col min="15419" max="15419" width="8.26953125" style="11" customWidth="1"/>
    <col min="15420" max="15420" width="12.26953125" style="11" customWidth="1"/>
    <col min="15421" max="15423" width="5.453125" style="11" customWidth="1"/>
    <col min="15424" max="15424" width="6.1796875" style="11" customWidth="1"/>
    <col min="15425" max="15425" width="5.1796875" style="11" customWidth="1"/>
    <col min="15426" max="15426" width="6.26953125" style="11" customWidth="1"/>
    <col min="15427" max="15427" width="6.7265625" style="11" customWidth="1"/>
    <col min="15428" max="15428" width="6.1796875" style="11" customWidth="1"/>
    <col min="15429" max="15429" width="6.54296875" style="11" customWidth="1"/>
    <col min="15430" max="15430" width="6.7265625" style="11" customWidth="1"/>
    <col min="15431" max="15431" width="5.7265625" style="11" customWidth="1"/>
    <col min="15432" max="15432" width="6.1796875" style="11" customWidth="1"/>
    <col min="15433" max="15433" width="6" style="11" customWidth="1"/>
    <col min="15434" max="15434" width="6.26953125" style="11" customWidth="1"/>
    <col min="15435" max="15435" width="6.54296875" style="11" customWidth="1"/>
    <col min="15436" max="15436" width="6.1796875" style="11" customWidth="1"/>
    <col min="15437" max="15437" width="5.26953125" style="11" customWidth="1"/>
    <col min="15438" max="15438" width="6.453125" style="11" customWidth="1"/>
    <col min="15439" max="15440" width="6.1796875" style="11" customWidth="1"/>
    <col min="15441" max="15441" width="6.26953125" style="11" customWidth="1"/>
    <col min="15442" max="15442" width="5.26953125" style="11" customWidth="1"/>
    <col min="15443" max="15443" width="6.81640625" style="11" customWidth="1"/>
    <col min="15444" max="15444" width="6.54296875" style="11" customWidth="1"/>
    <col min="15445" max="15445" width="6" style="11" customWidth="1"/>
    <col min="15446" max="15446" width="7" style="11" customWidth="1"/>
    <col min="15447" max="15447" width="6.26953125" style="11" customWidth="1"/>
    <col min="15448" max="15448" width="6.54296875" style="11" customWidth="1"/>
    <col min="15449" max="15449" width="6.7265625" style="11" customWidth="1"/>
    <col min="15450" max="15450" width="5.26953125" style="11" customWidth="1"/>
    <col min="15451" max="15451" width="6" style="11" customWidth="1"/>
    <col min="15452" max="15452" width="5.7265625" style="11" customWidth="1"/>
    <col min="15453" max="15457" width="12.1796875" style="11" bestFit="1" customWidth="1"/>
    <col min="15458" max="15458" width="9.81640625" style="11" bestFit="1" customWidth="1"/>
    <col min="15459" max="15459" width="11" style="11" bestFit="1" customWidth="1"/>
    <col min="15460" max="15460" width="11.26953125" style="11" bestFit="1" customWidth="1"/>
    <col min="15461" max="15461" width="11" style="11" bestFit="1" customWidth="1"/>
    <col min="15462" max="15463" width="9.81640625" style="11" bestFit="1" customWidth="1"/>
    <col min="15464" max="15464" width="10.26953125" style="11" bestFit="1" customWidth="1"/>
    <col min="15465" max="15465" width="12.1796875" style="11" bestFit="1" customWidth="1"/>
    <col min="15466" max="15466" width="11" style="11" bestFit="1" customWidth="1"/>
    <col min="15467" max="15467" width="12.1796875" style="11" bestFit="1" customWidth="1"/>
    <col min="15468" max="15468" width="13.81640625" style="11" bestFit="1" customWidth="1"/>
    <col min="15469" max="15469" width="9.81640625" style="11" bestFit="1" customWidth="1"/>
    <col min="15470" max="15470" width="13.81640625" style="11" bestFit="1" customWidth="1"/>
    <col min="15471" max="15471" width="10.81640625" style="11" bestFit="1" customWidth="1"/>
    <col min="15472" max="15472" width="12.1796875" style="11" bestFit="1" customWidth="1"/>
    <col min="15473" max="15475" width="11" style="11" bestFit="1" customWidth="1"/>
    <col min="15476" max="15476" width="14.26953125" style="11" customWidth="1"/>
    <col min="15477" max="15480" width="10.81640625" style="11" customWidth="1"/>
    <col min="15481" max="15481" width="9.54296875" style="11" customWidth="1"/>
    <col min="15482" max="15483" width="6.7265625" style="11" customWidth="1"/>
    <col min="15484" max="15490" width="8.7265625" style="11" customWidth="1"/>
    <col min="15491" max="15491" width="9.7265625" style="11" bestFit="1" customWidth="1"/>
    <col min="15492" max="15492" width="38.54296875" style="11" bestFit="1" customWidth="1"/>
    <col min="15493" max="15493" width="8.7265625" style="11" bestFit="1" customWidth="1"/>
    <col min="15494" max="15494" width="11.1796875" style="11" bestFit="1" customWidth="1"/>
    <col min="15495" max="15495" width="7.7265625" style="11" bestFit="1" customWidth="1"/>
    <col min="15496" max="15496" width="9.453125" style="11" bestFit="1" customWidth="1"/>
    <col min="15497" max="15497" width="8.7265625" style="11" bestFit="1" customWidth="1"/>
    <col min="15498" max="15498" width="10.453125" style="11" bestFit="1" customWidth="1"/>
    <col min="15499" max="15499" width="9" style="11" bestFit="1" customWidth="1"/>
    <col min="15500" max="15500" width="9.54296875" style="11" bestFit="1" customWidth="1"/>
    <col min="15501" max="15501" width="10.54296875" style="11" bestFit="1" customWidth="1"/>
    <col min="15502" max="15502" width="8.54296875" style="11" bestFit="1" customWidth="1"/>
    <col min="15503" max="15503" width="10.54296875" style="11" bestFit="1" customWidth="1"/>
    <col min="15504" max="15504" width="11" style="11" bestFit="1" customWidth="1"/>
    <col min="15505" max="15505" width="16.54296875" style="11" bestFit="1" customWidth="1"/>
    <col min="15506" max="15506" width="11" style="11" bestFit="1" customWidth="1"/>
    <col min="15507" max="15507" width="10.26953125" style="11" bestFit="1" customWidth="1"/>
    <col min="15508" max="15508" width="12.453125" style="11" bestFit="1" customWidth="1"/>
    <col min="15509" max="15509" width="10.54296875" style="11" bestFit="1" customWidth="1"/>
    <col min="15510" max="15510" width="9" style="11" bestFit="1" customWidth="1"/>
    <col min="15511" max="15511" width="10.54296875" style="11" bestFit="1" customWidth="1"/>
    <col min="15512" max="15512" width="11.1796875" style="11" bestFit="1" customWidth="1"/>
    <col min="15513" max="15513" width="11.453125" style="11" bestFit="1" customWidth="1"/>
    <col min="15514" max="15514" width="12.7265625" style="11" bestFit="1" customWidth="1"/>
    <col min="15515" max="15515" width="13.453125" style="11" bestFit="1" customWidth="1"/>
    <col min="15516" max="15516" width="11.81640625" style="11" bestFit="1" customWidth="1"/>
    <col min="15517" max="15517" width="10.7265625" style="11" bestFit="1" customWidth="1"/>
    <col min="15518" max="15518" width="8.81640625" style="11" bestFit="1" customWidth="1"/>
    <col min="15519" max="15519" width="10" style="11" bestFit="1" customWidth="1"/>
    <col min="15520" max="15520" width="13.1796875" style="11" bestFit="1" customWidth="1"/>
    <col min="15521" max="15521" width="20.7265625" style="11" bestFit="1" customWidth="1"/>
    <col min="15522" max="15522" width="20.7265625" style="11" customWidth="1"/>
    <col min="15523" max="15523" width="9.453125" style="11" bestFit="1" customWidth="1"/>
    <col min="15524" max="15525" width="9.26953125" style="11" bestFit="1" customWidth="1"/>
    <col min="15526" max="15526" width="10.26953125" style="11" bestFit="1" customWidth="1"/>
    <col min="15527" max="15536" width="9.26953125" style="11" bestFit="1" customWidth="1"/>
    <col min="15537" max="15537" width="10.26953125" style="11" bestFit="1" customWidth="1"/>
    <col min="15538" max="15541" width="9.26953125" style="11" bestFit="1" customWidth="1"/>
    <col min="15542" max="15542" width="11.26953125" style="11" bestFit="1" customWidth="1"/>
    <col min="15543" max="15555" width="8.7265625" style="11" customWidth="1"/>
    <col min="15556" max="15556" width="11" style="11" bestFit="1" customWidth="1"/>
    <col min="15557" max="15557" width="4.7265625" style="11" customWidth="1"/>
    <col min="15558" max="15558" width="25.26953125" style="11" customWidth="1"/>
    <col min="15559" max="15559" width="23" style="11" customWidth="1"/>
    <col min="15560" max="15560" width="10.26953125" style="11" bestFit="1" customWidth="1"/>
    <col min="15561" max="15561" width="0" style="11" hidden="1" customWidth="1"/>
    <col min="15562" max="15562" width="31.7265625" style="11" customWidth="1"/>
    <col min="15563" max="15563" width="6" style="11" customWidth="1"/>
    <col min="15564" max="15565" width="10.26953125" style="11" bestFit="1" customWidth="1"/>
    <col min="15566" max="15573" width="8.7265625" style="11" customWidth="1"/>
    <col min="15574" max="15574" width="10.26953125" style="11" bestFit="1" customWidth="1"/>
    <col min="15575" max="15656" width="8.7265625" style="11" customWidth="1"/>
    <col min="15657" max="15657" width="9.1796875" style="11"/>
    <col min="15658" max="15658" width="4.7265625" style="11" customWidth="1"/>
    <col min="15659" max="15659" width="3.54296875" style="11" customWidth="1"/>
    <col min="15660" max="15660" width="5.54296875" style="11" customWidth="1"/>
    <col min="15661" max="15661" width="8.7265625" style="11" customWidth="1"/>
    <col min="15662" max="15662" width="7.453125" style="11" customWidth="1"/>
    <col min="15663" max="15663" width="11.81640625" style="11" customWidth="1"/>
    <col min="15664" max="15664" width="8.26953125" style="11" customWidth="1"/>
    <col min="15665" max="15665" width="4.7265625" style="11" customWidth="1"/>
    <col min="15666" max="15666" width="0" style="11" hidden="1" customWidth="1"/>
    <col min="15667" max="15667" width="3.26953125" style="11" customWidth="1"/>
    <col min="15668" max="15668" width="0" style="11" hidden="1" customWidth="1"/>
    <col min="15669" max="15669" width="12" style="11" customWidth="1"/>
    <col min="15670" max="15670" width="12.81640625" style="11" customWidth="1"/>
    <col min="15671" max="15671" width="37.7265625" style="11" customWidth="1"/>
    <col min="15672" max="15673" width="8.453125" style="11" customWidth="1"/>
    <col min="15674" max="15674" width="8.54296875" style="11" customWidth="1"/>
    <col min="15675" max="15675" width="8.26953125" style="11" customWidth="1"/>
    <col min="15676" max="15676" width="12.26953125" style="11" customWidth="1"/>
    <col min="15677" max="15679" width="5.453125" style="11" customWidth="1"/>
    <col min="15680" max="15680" width="6.1796875" style="11" customWidth="1"/>
    <col min="15681" max="15681" width="5.1796875" style="11" customWidth="1"/>
    <col min="15682" max="15682" width="6.26953125" style="11" customWidth="1"/>
    <col min="15683" max="15683" width="6.7265625" style="11" customWidth="1"/>
    <col min="15684" max="15684" width="6.1796875" style="11" customWidth="1"/>
    <col min="15685" max="15685" width="6.54296875" style="11" customWidth="1"/>
    <col min="15686" max="15686" width="6.7265625" style="11" customWidth="1"/>
    <col min="15687" max="15687" width="5.7265625" style="11" customWidth="1"/>
    <col min="15688" max="15688" width="6.1796875" style="11" customWidth="1"/>
    <col min="15689" max="15689" width="6" style="11" customWidth="1"/>
    <col min="15690" max="15690" width="6.26953125" style="11" customWidth="1"/>
    <col min="15691" max="15691" width="6.54296875" style="11" customWidth="1"/>
    <col min="15692" max="15692" width="6.1796875" style="11" customWidth="1"/>
    <col min="15693" max="15693" width="5.26953125" style="11" customWidth="1"/>
    <col min="15694" max="15694" width="6.453125" style="11" customWidth="1"/>
    <col min="15695" max="15696" width="6.1796875" style="11" customWidth="1"/>
    <col min="15697" max="15697" width="6.26953125" style="11" customWidth="1"/>
    <col min="15698" max="15698" width="5.26953125" style="11" customWidth="1"/>
    <col min="15699" max="15699" width="6.81640625" style="11" customWidth="1"/>
    <col min="15700" max="15700" width="6.54296875" style="11" customWidth="1"/>
    <col min="15701" max="15701" width="6" style="11" customWidth="1"/>
    <col min="15702" max="15702" width="7" style="11" customWidth="1"/>
    <col min="15703" max="15703" width="6.26953125" style="11" customWidth="1"/>
    <col min="15704" max="15704" width="6.54296875" style="11" customWidth="1"/>
    <col min="15705" max="15705" width="6.7265625" style="11" customWidth="1"/>
    <col min="15706" max="15706" width="5.26953125" style="11" customWidth="1"/>
    <col min="15707" max="15707" width="6" style="11" customWidth="1"/>
    <col min="15708" max="15708" width="5.7265625" style="11" customWidth="1"/>
    <col min="15709" max="15713" width="12.1796875" style="11" bestFit="1" customWidth="1"/>
    <col min="15714" max="15714" width="9.81640625" style="11" bestFit="1" customWidth="1"/>
    <col min="15715" max="15715" width="11" style="11" bestFit="1" customWidth="1"/>
    <col min="15716" max="15716" width="11.26953125" style="11" bestFit="1" customWidth="1"/>
    <col min="15717" max="15717" width="11" style="11" bestFit="1" customWidth="1"/>
    <col min="15718" max="15719" width="9.81640625" style="11" bestFit="1" customWidth="1"/>
    <col min="15720" max="15720" width="10.26953125" style="11" bestFit="1" customWidth="1"/>
    <col min="15721" max="15721" width="12.1796875" style="11" bestFit="1" customWidth="1"/>
    <col min="15722" max="15722" width="11" style="11" bestFit="1" customWidth="1"/>
    <col min="15723" max="15723" width="12.1796875" style="11" bestFit="1" customWidth="1"/>
    <col min="15724" max="15724" width="13.81640625" style="11" bestFit="1" customWidth="1"/>
    <col min="15725" max="15725" width="9.81640625" style="11" bestFit="1" customWidth="1"/>
    <col min="15726" max="15726" width="13.81640625" style="11" bestFit="1" customWidth="1"/>
    <col min="15727" max="15727" width="10.81640625" style="11" bestFit="1" customWidth="1"/>
    <col min="15728" max="15728" width="12.1796875" style="11" bestFit="1" customWidth="1"/>
    <col min="15729" max="15731" width="11" style="11" bestFit="1" customWidth="1"/>
    <col min="15732" max="15732" width="14.26953125" style="11" customWidth="1"/>
    <col min="15733" max="15736" width="10.81640625" style="11" customWidth="1"/>
    <col min="15737" max="15737" width="9.54296875" style="11" customWidth="1"/>
    <col min="15738" max="15739" width="6.7265625" style="11" customWidth="1"/>
    <col min="15740" max="15746" width="8.7265625" style="11" customWidth="1"/>
    <col min="15747" max="15747" width="9.7265625" style="11" bestFit="1" customWidth="1"/>
    <col min="15748" max="15748" width="38.54296875" style="11" bestFit="1" customWidth="1"/>
    <col min="15749" max="15749" width="8.7265625" style="11" bestFit="1" customWidth="1"/>
    <col min="15750" max="15750" width="11.1796875" style="11" bestFit="1" customWidth="1"/>
    <col min="15751" max="15751" width="7.7265625" style="11" bestFit="1" customWidth="1"/>
    <col min="15752" max="15752" width="9.453125" style="11" bestFit="1" customWidth="1"/>
    <col min="15753" max="15753" width="8.7265625" style="11" bestFit="1" customWidth="1"/>
    <col min="15754" max="15754" width="10.453125" style="11" bestFit="1" customWidth="1"/>
    <col min="15755" max="15755" width="9" style="11" bestFit="1" customWidth="1"/>
    <col min="15756" max="15756" width="9.54296875" style="11" bestFit="1" customWidth="1"/>
    <col min="15757" max="15757" width="10.54296875" style="11" bestFit="1" customWidth="1"/>
    <col min="15758" max="15758" width="8.54296875" style="11" bestFit="1" customWidth="1"/>
    <col min="15759" max="15759" width="10.54296875" style="11" bestFit="1" customWidth="1"/>
    <col min="15760" max="15760" width="11" style="11" bestFit="1" customWidth="1"/>
    <col min="15761" max="15761" width="16.54296875" style="11" bestFit="1" customWidth="1"/>
    <col min="15762" max="15762" width="11" style="11" bestFit="1" customWidth="1"/>
    <col min="15763" max="15763" width="10.26953125" style="11" bestFit="1" customWidth="1"/>
    <col min="15764" max="15764" width="12.453125" style="11" bestFit="1" customWidth="1"/>
    <col min="15765" max="15765" width="10.54296875" style="11" bestFit="1" customWidth="1"/>
    <col min="15766" max="15766" width="9" style="11" bestFit="1" customWidth="1"/>
    <col min="15767" max="15767" width="10.54296875" style="11" bestFit="1" customWidth="1"/>
    <col min="15768" max="15768" width="11.1796875" style="11" bestFit="1" customWidth="1"/>
    <col min="15769" max="15769" width="11.453125" style="11" bestFit="1" customWidth="1"/>
    <col min="15770" max="15770" width="12.7265625" style="11" bestFit="1" customWidth="1"/>
    <col min="15771" max="15771" width="13.453125" style="11" bestFit="1" customWidth="1"/>
    <col min="15772" max="15772" width="11.81640625" style="11" bestFit="1" customWidth="1"/>
    <col min="15773" max="15773" width="10.7265625" style="11" bestFit="1" customWidth="1"/>
    <col min="15774" max="15774" width="8.81640625" style="11" bestFit="1" customWidth="1"/>
    <col min="15775" max="15775" width="10" style="11" bestFit="1" customWidth="1"/>
    <col min="15776" max="15776" width="13.1796875" style="11" bestFit="1" customWidth="1"/>
    <col min="15777" max="15777" width="20.7265625" style="11" bestFit="1" customWidth="1"/>
    <col min="15778" max="15778" width="20.7265625" style="11" customWidth="1"/>
    <col min="15779" max="15779" width="9.453125" style="11" bestFit="1" customWidth="1"/>
    <col min="15780" max="15781" width="9.26953125" style="11" bestFit="1" customWidth="1"/>
    <col min="15782" max="15782" width="10.26953125" style="11" bestFit="1" customWidth="1"/>
    <col min="15783" max="15792" width="9.26953125" style="11" bestFit="1" customWidth="1"/>
    <col min="15793" max="15793" width="10.26953125" style="11" bestFit="1" customWidth="1"/>
    <col min="15794" max="15797" width="9.26953125" style="11" bestFit="1" customWidth="1"/>
    <col min="15798" max="15798" width="11.26953125" style="11" bestFit="1" customWidth="1"/>
    <col min="15799" max="15811" width="8.7265625" style="11" customWidth="1"/>
    <col min="15812" max="15812" width="11" style="11" bestFit="1" customWidth="1"/>
    <col min="15813" max="15813" width="4.7265625" style="11" customWidth="1"/>
    <col min="15814" max="15814" width="25.26953125" style="11" customWidth="1"/>
    <col min="15815" max="15815" width="23" style="11" customWidth="1"/>
    <col min="15816" max="15816" width="10.26953125" style="11" bestFit="1" customWidth="1"/>
    <col min="15817" max="15817" width="0" style="11" hidden="1" customWidth="1"/>
    <col min="15818" max="15818" width="31.7265625" style="11" customWidth="1"/>
    <col min="15819" max="15819" width="6" style="11" customWidth="1"/>
    <col min="15820" max="15821" width="10.26953125" style="11" bestFit="1" customWidth="1"/>
    <col min="15822" max="15829" width="8.7265625" style="11" customWidth="1"/>
    <col min="15830" max="15830" width="10.26953125" style="11" bestFit="1" customWidth="1"/>
    <col min="15831" max="15912" width="8.7265625" style="11" customWidth="1"/>
    <col min="15913" max="15913" width="9.1796875" style="11"/>
    <col min="15914" max="15914" width="4.7265625" style="11" customWidth="1"/>
    <col min="15915" max="15915" width="3.54296875" style="11" customWidth="1"/>
    <col min="15916" max="15916" width="5.54296875" style="11" customWidth="1"/>
    <col min="15917" max="15917" width="8.7265625" style="11" customWidth="1"/>
    <col min="15918" max="15918" width="7.453125" style="11" customWidth="1"/>
    <col min="15919" max="15919" width="11.81640625" style="11" customWidth="1"/>
    <col min="15920" max="15920" width="8.26953125" style="11" customWidth="1"/>
    <col min="15921" max="15921" width="4.7265625" style="11" customWidth="1"/>
    <col min="15922" max="15922" width="0" style="11" hidden="1" customWidth="1"/>
    <col min="15923" max="15923" width="3.26953125" style="11" customWidth="1"/>
    <col min="15924" max="15924" width="0" style="11" hidden="1" customWidth="1"/>
    <col min="15925" max="15925" width="12" style="11" customWidth="1"/>
    <col min="15926" max="15926" width="12.81640625" style="11" customWidth="1"/>
    <col min="15927" max="15927" width="37.7265625" style="11" customWidth="1"/>
    <col min="15928" max="15929" width="8.453125" style="11" customWidth="1"/>
    <col min="15930" max="15930" width="8.54296875" style="11" customWidth="1"/>
    <col min="15931" max="15931" width="8.26953125" style="11" customWidth="1"/>
    <col min="15932" max="15932" width="12.26953125" style="11" customWidth="1"/>
    <col min="15933" max="15935" width="5.453125" style="11" customWidth="1"/>
    <col min="15936" max="15936" width="6.1796875" style="11" customWidth="1"/>
    <col min="15937" max="15937" width="5.1796875" style="11" customWidth="1"/>
    <col min="15938" max="15938" width="6.26953125" style="11" customWidth="1"/>
    <col min="15939" max="15939" width="6.7265625" style="11" customWidth="1"/>
    <col min="15940" max="15940" width="6.1796875" style="11" customWidth="1"/>
    <col min="15941" max="15941" width="6.54296875" style="11" customWidth="1"/>
    <col min="15942" max="15942" width="6.7265625" style="11" customWidth="1"/>
    <col min="15943" max="15943" width="5.7265625" style="11" customWidth="1"/>
    <col min="15944" max="15944" width="6.1796875" style="11" customWidth="1"/>
    <col min="15945" max="15945" width="6" style="11" customWidth="1"/>
    <col min="15946" max="15946" width="6.26953125" style="11" customWidth="1"/>
    <col min="15947" max="15947" width="6.54296875" style="11" customWidth="1"/>
    <col min="15948" max="15948" width="6.1796875" style="11" customWidth="1"/>
    <col min="15949" max="15949" width="5.26953125" style="11" customWidth="1"/>
    <col min="15950" max="15950" width="6.453125" style="11" customWidth="1"/>
    <col min="15951" max="15952" width="6.1796875" style="11" customWidth="1"/>
    <col min="15953" max="15953" width="6.26953125" style="11" customWidth="1"/>
    <col min="15954" max="15954" width="5.26953125" style="11" customWidth="1"/>
    <col min="15955" max="15955" width="6.81640625" style="11" customWidth="1"/>
    <col min="15956" max="15956" width="6.54296875" style="11" customWidth="1"/>
    <col min="15957" max="15957" width="6" style="11" customWidth="1"/>
    <col min="15958" max="15958" width="7" style="11" customWidth="1"/>
    <col min="15959" max="15959" width="6.26953125" style="11" customWidth="1"/>
    <col min="15960" max="15960" width="6.54296875" style="11" customWidth="1"/>
    <col min="15961" max="15961" width="6.7265625" style="11" customWidth="1"/>
    <col min="15962" max="15962" width="5.26953125" style="11" customWidth="1"/>
    <col min="15963" max="15963" width="6" style="11" customWidth="1"/>
    <col min="15964" max="15964" width="5.7265625" style="11" customWidth="1"/>
    <col min="15965" max="15969" width="12.1796875" style="11" bestFit="1" customWidth="1"/>
    <col min="15970" max="15970" width="9.81640625" style="11" bestFit="1" customWidth="1"/>
    <col min="15971" max="15971" width="11" style="11" bestFit="1" customWidth="1"/>
    <col min="15972" max="15972" width="11.26953125" style="11" bestFit="1" customWidth="1"/>
    <col min="15973" max="15973" width="11" style="11" bestFit="1" customWidth="1"/>
    <col min="15974" max="15975" width="9.81640625" style="11" bestFit="1" customWidth="1"/>
    <col min="15976" max="15976" width="10.26953125" style="11" bestFit="1" customWidth="1"/>
    <col min="15977" max="15977" width="12.1796875" style="11" bestFit="1" customWidth="1"/>
    <col min="15978" max="15978" width="11" style="11" bestFit="1" customWidth="1"/>
    <col min="15979" max="15979" width="12.1796875" style="11" bestFit="1" customWidth="1"/>
    <col min="15980" max="15980" width="13.81640625" style="11" bestFit="1" customWidth="1"/>
    <col min="15981" max="15981" width="9.81640625" style="11" bestFit="1" customWidth="1"/>
    <col min="15982" max="15982" width="13.81640625" style="11" bestFit="1" customWidth="1"/>
    <col min="15983" max="15983" width="10.81640625" style="11" bestFit="1" customWidth="1"/>
    <col min="15984" max="15984" width="12.1796875" style="11" bestFit="1" customWidth="1"/>
    <col min="15985" max="15987" width="11" style="11" bestFit="1" customWidth="1"/>
    <col min="15988" max="15988" width="14.26953125" style="11" customWidth="1"/>
    <col min="15989" max="15992" width="10.81640625" style="11" customWidth="1"/>
    <col min="15993" max="15993" width="9.54296875" style="11" customWidth="1"/>
    <col min="15994" max="15995" width="6.7265625" style="11" customWidth="1"/>
    <col min="15996" max="16002" width="8.7265625" style="11" customWidth="1"/>
    <col min="16003" max="16003" width="9.7265625" style="11" bestFit="1" customWidth="1"/>
    <col min="16004" max="16004" width="38.54296875" style="11" bestFit="1" customWidth="1"/>
    <col min="16005" max="16005" width="8.7265625" style="11" bestFit="1" customWidth="1"/>
    <col min="16006" max="16006" width="11.1796875" style="11" bestFit="1" customWidth="1"/>
    <col min="16007" max="16007" width="7.7265625" style="11" bestFit="1" customWidth="1"/>
    <col min="16008" max="16008" width="9.453125" style="11" bestFit="1" customWidth="1"/>
    <col min="16009" max="16009" width="8.7265625" style="11" bestFit="1" customWidth="1"/>
    <col min="16010" max="16010" width="10.453125" style="11" bestFit="1" customWidth="1"/>
    <col min="16011" max="16011" width="9" style="11" bestFit="1" customWidth="1"/>
    <col min="16012" max="16012" width="9.54296875" style="11" bestFit="1" customWidth="1"/>
    <col min="16013" max="16013" width="10.54296875" style="11" bestFit="1" customWidth="1"/>
    <col min="16014" max="16014" width="8.54296875" style="11" bestFit="1" customWidth="1"/>
    <col min="16015" max="16015" width="10.54296875" style="11" bestFit="1" customWidth="1"/>
    <col min="16016" max="16016" width="11" style="11" bestFit="1" customWidth="1"/>
    <col min="16017" max="16017" width="16.54296875" style="11" bestFit="1" customWidth="1"/>
    <col min="16018" max="16018" width="11" style="11" bestFit="1" customWidth="1"/>
    <col min="16019" max="16019" width="10.26953125" style="11" bestFit="1" customWidth="1"/>
    <col min="16020" max="16020" width="12.453125" style="11" bestFit="1" customWidth="1"/>
    <col min="16021" max="16021" width="10.54296875" style="11" bestFit="1" customWidth="1"/>
    <col min="16022" max="16022" width="9" style="11" bestFit="1" customWidth="1"/>
    <col min="16023" max="16023" width="10.54296875" style="11" bestFit="1" customWidth="1"/>
    <col min="16024" max="16024" width="11.1796875" style="11" bestFit="1" customWidth="1"/>
    <col min="16025" max="16025" width="11.453125" style="11" bestFit="1" customWidth="1"/>
    <col min="16026" max="16026" width="12.7265625" style="11" bestFit="1" customWidth="1"/>
    <col min="16027" max="16027" width="13.453125" style="11" bestFit="1" customWidth="1"/>
    <col min="16028" max="16028" width="11.81640625" style="11" bestFit="1" customWidth="1"/>
    <col min="16029" max="16029" width="10.7265625" style="11" bestFit="1" customWidth="1"/>
    <col min="16030" max="16030" width="8.81640625" style="11" bestFit="1" customWidth="1"/>
    <col min="16031" max="16031" width="10" style="11" bestFit="1" customWidth="1"/>
    <col min="16032" max="16032" width="13.1796875" style="11" bestFit="1" customWidth="1"/>
    <col min="16033" max="16033" width="20.7265625" style="11" bestFit="1" customWidth="1"/>
    <col min="16034" max="16034" width="20.7265625" style="11" customWidth="1"/>
    <col min="16035" max="16035" width="9.453125" style="11" bestFit="1" customWidth="1"/>
    <col min="16036" max="16037" width="9.26953125" style="11" bestFit="1" customWidth="1"/>
    <col min="16038" max="16038" width="10.26953125" style="11" bestFit="1" customWidth="1"/>
    <col min="16039" max="16048" width="9.26953125" style="11" bestFit="1" customWidth="1"/>
    <col min="16049" max="16049" width="10.26953125" style="11" bestFit="1" customWidth="1"/>
    <col min="16050" max="16053" width="9.26953125" style="11" bestFit="1" customWidth="1"/>
    <col min="16054" max="16054" width="11.26953125" style="11" bestFit="1" customWidth="1"/>
    <col min="16055" max="16067" width="8.7265625" style="11" customWidth="1"/>
    <col min="16068" max="16068" width="11" style="11" bestFit="1" customWidth="1"/>
    <col min="16069" max="16069" width="4.7265625" style="11" customWidth="1"/>
    <col min="16070" max="16070" width="25.26953125" style="11" customWidth="1"/>
    <col min="16071" max="16071" width="23" style="11" customWidth="1"/>
    <col min="16072" max="16072" width="10.26953125" style="11" bestFit="1" customWidth="1"/>
    <col min="16073" max="16073" width="0" style="11" hidden="1" customWidth="1"/>
    <col min="16074" max="16074" width="31.7265625" style="11" customWidth="1"/>
    <col min="16075" max="16075" width="6" style="11" customWidth="1"/>
    <col min="16076" max="16077" width="10.26953125" style="11" bestFit="1" customWidth="1"/>
    <col min="16078" max="16085" width="8.7265625" style="11" customWidth="1"/>
    <col min="16086" max="16086" width="10.26953125" style="11" bestFit="1" customWidth="1"/>
    <col min="16087" max="16168" width="8.7265625" style="11" customWidth="1"/>
    <col min="16169" max="16384" width="9.1796875" style="11"/>
  </cols>
  <sheetData>
    <row r="1" spans="1:19" ht="3.75" customHeight="1" x14ac:dyDescent="0.35">
      <c r="A1" s="1"/>
      <c r="B1" s="1"/>
      <c r="D1" s="3"/>
      <c r="E1" s="1"/>
      <c r="F1" s="4"/>
      <c r="G1" s="5"/>
      <c r="L1" s="1"/>
      <c r="N1" s="1"/>
      <c r="P1" s="8"/>
      <c r="Q1" s="9"/>
      <c r="R1" s="9"/>
      <c r="S1" s="10"/>
    </row>
    <row r="2" spans="1:19" ht="3" customHeight="1" x14ac:dyDescent="0.35">
      <c r="Q2" s="10"/>
      <c r="R2" s="10"/>
      <c r="S2" s="10"/>
    </row>
    <row r="3" spans="1:19" ht="18" x14ac:dyDescent="0.5">
      <c r="A3" s="13" t="str">
        <f>+"Rencana Aplikasi &amp; Dosis Bahan per Ha WILAYAH  "&amp;[1]BOOM!N5</f>
        <v>Rencana Aplikasi &amp; Dosis Bahan per Ha WILAYAH  07 - 13 Des 2025</v>
      </c>
      <c r="B3" s="14"/>
      <c r="C3" s="14"/>
      <c r="D3" s="15"/>
      <c r="E3" s="16"/>
      <c r="F3" s="16"/>
      <c r="G3" s="16"/>
      <c r="I3" s="17"/>
      <c r="J3" s="17"/>
      <c r="K3" s="17"/>
      <c r="L3" s="17"/>
      <c r="M3" s="18"/>
      <c r="N3" s="17" t="s">
        <v>3</v>
      </c>
      <c r="O3" s="19"/>
      <c r="P3" s="20"/>
      <c r="Q3" s="17"/>
      <c r="R3" s="17"/>
      <c r="S3" s="89">
        <f>200/74147</f>
        <v>2.6973444643748228E-3</v>
      </c>
    </row>
    <row r="4" spans="1:19" ht="4.5" customHeight="1" x14ac:dyDescent="0.35">
      <c r="A4" s="22"/>
      <c r="B4" s="14"/>
      <c r="C4" s="14"/>
      <c r="D4" s="15"/>
      <c r="E4" s="16"/>
      <c r="F4" s="16"/>
      <c r="G4" s="16"/>
      <c r="H4" s="17"/>
      <c r="I4" s="17"/>
      <c r="J4" s="17"/>
      <c r="K4" s="17"/>
      <c r="L4" s="17"/>
      <c r="M4" s="18"/>
      <c r="N4" s="17"/>
      <c r="O4" s="19"/>
      <c r="P4" s="20"/>
      <c r="Q4" s="17"/>
      <c r="R4" s="17"/>
      <c r="S4" s="17"/>
    </row>
    <row r="5" spans="1:19" ht="18.5" thickBot="1" x14ac:dyDescent="0.45">
      <c r="A5" s="22"/>
      <c r="B5" s="14"/>
      <c r="C5" s="14"/>
      <c r="D5" s="14" t="s">
        <v>9</v>
      </c>
      <c r="E5" s="16"/>
      <c r="F5" s="14" t="s">
        <v>9</v>
      </c>
      <c r="G5" s="16"/>
      <c r="H5" s="16"/>
      <c r="I5" s="16">
        <v>0</v>
      </c>
      <c r="J5" s="16"/>
      <c r="K5" s="23">
        <v>39447</v>
      </c>
      <c r="L5" s="23"/>
      <c r="M5" s="15"/>
      <c r="N5" s="24" t="str">
        <f>+[1]BOOM!N5</f>
        <v>07 - 13 Des 2025</v>
      </c>
      <c r="O5" s="25"/>
      <c r="P5" s="26"/>
      <c r="Q5" s="14" t="s">
        <v>9</v>
      </c>
      <c r="R5" s="90" t="s">
        <v>9</v>
      </c>
      <c r="S5" s="90"/>
    </row>
    <row r="6" spans="1:19" x14ac:dyDescent="0.35">
      <c r="A6" s="114" t="s">
        <v>10</v>
      </c>
      <c r="B6" s="114" t="s">
        <v>11</v>
      </c>
      <c r="C6" s="118" t="s">
        <v>12</v>
      </c>
      <c r="D6" s="114" t="s">
        <v>13</v>
      </c>
      <c r="E6" s="120" t="s">
        <v>14</v>
      </c>
      <c r="F6" s="120"/>
      <c r="G6" s="28" t="s">
        <v>15</v>
      </c>
      <c r="H6" s="121" t="s">
        <v>16</v>
      </c>
      <c r="I6" s="122"/>
      <c r="J6" s="114" t="s">
        <v>17</v>
      </c>
      <c r="K6" s="116" t="s">
        <v>18</v>
      </c>
      <c r="L6" s="114" t="s">
        <v>19</v>
      </c>
      <c r="M6" s="114" t="s">
        <v>20</v>
      </c>
      <c r="N6" s="27"/>
      <c r="O6" s="111" t="s">
        <v>92</v>
      </c>
      <c r="P6" s="29" t="s">
        <v>21</v>
      </c>
      <c r="Q6" s="91"/>
      <c r="R6" s="92" t="s">
        <v>22</v>
      </c>
      <c r="S6" s="92" t="s">
        <v>23</v>
      </c>
    </row>
    <row r="7" spans="1:19" x14ac:dyDescent="0.35">
      <c r="A7" s="115"/>
      <c r="B7" s="115"/>
      <c r="C7" s="119"/>
      <c r="D7" s="115"/>
      <c r="E7" s="30" t="s">
        <v>24</v>
      </c>
      <c r="F7" s="30" t="s">
        <v>25</v>
      </c>
      <c r="G7" s="31" t="s">
        <v>26</v>
      </c>
      <c r="H7" s="32" t="s">
        <v>27</v>
      </c>
      <c r="I7" s="33" t="s">
        <v>28</v>
      </c>
      <c r="J7" s="115"/>
      <c r="K7" s="117"/>
      <c r="L7" s="115"/>
      <c r="M7" s="115"/>
      <c r="N7" s="34" t="s">
        <v>29</v>
      </c>
      <c r="O7" s="112" t="s">
        <v>93</v>
      </c>
      <c r="P7" s="35" t="s">
        <v>30</v>
      </c>
      <c r="Q7" s="93" t="s">
        <v>31</v>
      </c>
      <c r="R7" s="94" t="s">
        <v>32</v>
      </c>
      <c r="S7" s="94" t="s">
        <v>32</v>
      </c>
    </row>
    <row r="8" spans="1:19" ht="15" thickBot="1" x14ac:dyDescent="0.4">
      <c r="A8" s="36"/>
      <c r="B8" s="36"/>
      <c r="C8" s="37"/>
      <c r="D8" s="38"/>
      <c r="E8" s="36"/>
      <c r="F8" s="39"/>
      <c r="G8" s="36"/>
      <c r="H8" s="40"/>
      <c r="I8" s="41"/>
      <c r="J8" s="42"/>
      <c r="K8" s="43"/>
      <c r="L8" s="38"/>
      <c r="M8" s="38"/>
      <c r="N8" s="44"/>
      <c r="O8" s="45"/>
      <c r="P8" s="46"/>
      <c r="Q8" s="95"/>
      <c r="R8" s="95"/>
      <c r="S8" s="95"/>
    </row>
    <row r="9" spans="1:19" customFormat="1" ht="23" customHeight="1" x14ac:dyDescent="0.35">
      <c r="A9" s="87"/>
      <c r="B9" s="88"/>
      <c r="C9" s="47"/>
      <c r="D9" s="48"/>
      <c r="E9" s="5"/>
      <c r="F9" s="49"/>
      <c r="G9" s="5"/>
      <c r="H9" s="50"/>
      <c r="I9" s="50"/>
      <c r="J9" s="51"/>
      <c r="K9" s="52"/>
      <c r="L9" s="53"/>
      <c r="M9" s="48"/>
      <c r="N9" s="16" t="s">
        <v>36</v>
      </c>
      <c r="O9" s="58" t="str">
        <f>IF(Q9&lt;=2,"Bersih",IF(Q9&lt;=4,"Ringan",IF(Q9&lt;=8,"Sedang","Berat")))</f>
        <v>Bersih</v>
      </c>
      <c r="P9" s="54"/>
      <c r="Q9" s="96"/>
      <c r="R9" s="96"/>
      <c r="S9" s="96"/>
    </row>
    <row r="10" spans="1:19" customFormat="1" x14ac:dyDescent="0.35">
      <c r="A10" s="55" t="s">
        <v>33</v>
      </c>
      <c r="B10" s="55" t="str">
        <f>+VLOOKUP($D10,[1]STS!$A$9:$E$1405,3,0)</f>
        <v>05</v>
      </c>
      <c r="C10" s="86">
        <f>+VLOOKUP($D10,[1]STS!$A$9:$E$1405,4,0)</f>
        <v>16</v>
      </c>
      <c r="D10" s="69" t="s">
        <v>169</v>
      </c>
      <c r="E10" s="97">
        <f>+IF(ISERROR(VLOOKUP($D10,[1]STS!$E$9:$G$1503,3,0)=0),0,VLOOKUP($D10,[1]STS!$E$9:$G$1503,3,0))</f>
        <v>7.36</v>
      </c>
      <c r="F10" s="98">
        <v>7.36</v>
      </c>
      <c r="G10" s="99">
        <f>+IF(ISERROR(VLOOKUP(D10,[1]STS!$E$9:$AO$1503,37,0)=0),0,VLOOKUP(D10,[1]STS!$E$9:$AO$1503,37,0))</f>
        <v>10.878518441358029</v>
      </c>
      <c r="H10" s="77" t="str">
        <f>+IF(ISERROR(VLOOKUP(D10,[1]STS!$E$9:$I$1503,5,0)=0),0,VLOOKUP(D10,[1]STS!$E$9:$I$1503,5,0))</f>
        <v>FC</v>
      </c>
      <c r="I10" s="56"/>
      <c r="J10" s="66" t="str">
        <f>VLOOKUP(D10,[1]STS!$E$9:$BC$1359,51,0)</f>
        <v>GP3SS</v>
      </c>
      <c r="K10" s="57"/>
      <c r="L10" s="78" t="str">
        <f>+VLOOKUP(N10,'[1]MSTR AKT'!$C$4:$E$460,3,0)</f>
        <v>Etri 1</v>
      </c>
      <c r="M10" s="79">
        <f>+IF(ISERROR(VLOOKUP($N10,'[1]MSTR AKT'!$C$4:$D$460,2,0)=0),0,VLOOKUP($N10,'[1]MSTR AKT'!$C$4:$D$460,2,0))</f>
        <v>1315111111</v>
      </c>
      <c r="N10" s="70" t="s">
        <v>3</v>
      </c>
      <c r="O10" s="58" t="str">
        <f t="shared" ref="O10:O25" si="0">IF(Q10&lt;=2,"Bersih",IF(Q10&lt;=4,"Ringan",IF(Q10&lt;=8,"Sedang","Berat")))</f>
        <v>Ringan</v>
      </c>
      <c r="P10" s="58">
        <v>45999</v>
      </c>
      <c r="Q10" s="100">
        <v>4</v>
      </c>
      <c r="R10" s="101">
        <v>29.44</v>
      </c>
      <c r="S10" s="102">
        <f t="shared" ref="S10:S51" si="1">+R10*100255</f>
        <v>2951507.2</v>
      </c>
    </row>
    <row r="11" spans="1:19" customFormat="1" x14ac:dyDescent="0.35">
      <c r="A11" s="55" t="s">
        <v>33</v>
      </c>
      <c r="B11" s="55" t="str">
        <f>+VLOOKUP($D11,[1]STS!$A$9:$E$1405,3,0)</f>
        <v>05</v>
      </c>
      <c r="C11" s="86">
        <f>+VLOOKUP($D11,[1]STS!$A$9:$E$1405,4,0)</f>
        <v>16</v>
      </c>
      <c r="D11" s="69" t="s">
        <v>129</v>
      </c>
      <c r="E11" s="97">
        <f>+IF(ISERROR(VLOOKUP($D11,[1]STS!$E$9:$G$1503,3,0)=0),0,VLOOKUP($D11,[1]STS!$E$9:$G$1503,3,0))</f>
        <v>10.88</v>
      </c>
      <c r="F11" s="98">
        <v>10.88</v>
      </c>
      <c r="G11" s="99">
        <f>+IF(ISERROR(VLOOKUP(D11,[1]STS!$E$9:$AO$1503,37,0)=0),0,VLOOKUP(D11,[1]STS!$E$9:$AO$1503,37,0))</f>
        <v>10.511851774691362</v>
      </c>
      <c r="H11" s="77" t="str">
        <f>+IF(ISERROR(VLOOKUP(D11,[1]STS!$E$9:$I$1503,5,0)=0),0,VLOOKUP(D11,[1]STS!$E$9:$I$1503,5,0))</f>
        <v>FC</v>
      </c>
      <c r="I11" s="56"/>
      <c r="J11" s="66" t="str">
        <f>VLOOKUP(D11,[1]STS!$E$9:$BC$1359,51,0)</f>
        <v>F18CK</v>
      </c>
      <c r="K11" s="57"/>
      <c r="L11" s="78" t="str">
        <f>+VLOOKUP(N11,'[1]MSTR AKT'!$C$4:$E$460,3,0)</f>
        <v>Etri 1</v>
      </c>
      <c r="M11" s="79">
        <f>+IF(ISERROR(VLOOKUP($N11,'[1]MSTR AKT'!$C$4:$D$460,2,0)=0),0,VLOOKUP($N11,'[1]MSTR AKT'!$C$4:$D$460,2,0))</f>
        <v>1315111111</v>
      </c>
      <c r="N11" s="70" t="s">
        <v>3</v>
      </c>
      <c r="O11" s="58" t="str">
        <f t="shared" si="0"/>
        <v>Ringan</v>
      </c>
      <c r="P11" s="58">
        <v>46000</v>
      </c>
      <c r="Q11" s="100">
        <v>4</v>
      </c>
      <c r="R11" s="101">
        <v>43.52</v>
      </c>
      <c r="S11" s="102">
        <f t="shared" si="1"/>
        <v>4363097.6000000006</v>
      </c>
    </row>
    <row r="12" spans="1:19" customFormat="1" x14ac:dyDescent="0.35">
      <c r="A12" s="55" t="s">
        <v>33</v>
      </c>
      <c r="B12" s="55" t="str">
        <f>+VLOOKUP($D12,[1]STS!$A$9:$E$1405,3,0)</f>
        <v>05</v>
      </c>
      <c r="C12" s="86">
        <f>+VLOOKUP($D12,[1]STS!$A$9:$E$1405,4,0)</f>
        <v>16</v>
      </c>
      <c r="D12" s="69" t="s">
        <v>65</v>
      </c>
      <c r="E12" s="97">
        <f>+IF(ISERROR(VLOOKUP($D12,[1]STS!$E$9:$G$1503,3,0)=0),0,VLOOKUP($D12,[1]STS!$E$9:$G$1503,3,0))</f>
        <v>13.05</v>
      </c>
      <c r="F12" s="98">
        <v>13.05</v>
      </c>
      <c r="G12" s="99">
        <f>+IF(ISERROR(VLOOKUP(D12,[1]STS!$E$9:$AO$1503,37,0)=0),0,VLOOKUP(D12,[1]STS!$E$9:$AO$1503,37,0))</f>
        <v>14.211851774691361</v>
      </c>
      <c r="H12" s="77" t="str">
        <f>+IF(ISERROR(VLOOKUP(D12,[1]STS!$E$9:$I$1503,5,0)=0),0,VLOOKUP(D12,[1]STS!$E$9:$I$1503,5,0))</f>
        <v>FC</v>
      </c>
      <c r="I12" s="56"/>
      <c r="J12" s="66" t="str">
        <f>VLOOKUP(D12,[1]STS!$E$9:$BC$1359,51,0)</f>
        <v>GP3CK</v>
      </c>
      <c r="K12" s="57"/>
      <c r="L12" s="78" t="str">
        <f>+VLOOKUP(N12,'[1]MSTR AKT'!$C$4:$E$460,3,0)</f>
        <v>Etri 1</v>
      </c>
      <c r="M12" s="79">
        <f>+IF(ISERROR(VLOOKUP($N12,'[1]MSTR AKT'!$C$4:$D$460,2,0)=0),0,VLOOKUP($N12,'[1]MSTR AKT'!$C$4:$D$460,2,0))</f>
        <v>1315111111</v>
      </c>
      <c r="N12" s="70" t="s">
        <v>3</v>
      </c>
      <c r="O12" s="58" t="str">
        <f t="shared" si="0"/>
        <v>Ringan</v>
      </c>
      <c r="P12" s="58">
        <v>46000</v>
      </c>
      <c r="Q12" s="100">
        <v>4</v>
      </c>
      <c r="R12" s="101">
        <v>52.2</v>
      </c>
      <c r="S12" s="102">
        <f t="shared" si="1"/>
        <v>5233311</v>
      </c>
    </row>
    <row r="13" spans="1:19" customFormat="1" x14ac:dyDescent="0.35">
      <c r="A13" s="55" t="s">
        <v>33</v>
      </c>
      <c r="B13" s="55" t="str">
        <f>+VLOOKUP($D13,[1]STS!$A$9:$E$1405,3,0)</f>
        <v>05</v>
      </c>
      <c r="C13" s="86">
        <f>+VLOOKUP($D13,[1]STS!$A$9:$E$1405,4,0)</f>
        <v>16</v>
      </c>
      <c r="D13" s="69" t="s">
        <v>69</v>
      </c>
      <c r="E13" s="97">
        <f>+IF(ISERROR(VLOOKUP($D13,[1]STS!$E$9:$G$1503,3,0)=0),0,VLOOKUP($D13,[1]STS!$E$9:$G$1503,3,0))</f>
        <v>7.31</v>
      </c>
      <c r="F13" s="98">
        <v>7.31</v>
      </c>
      <c r="G13" s="99">
        <f>+IF(ISERROR(VLOOKUP(D13,[1]STS!$E$9:$AO$1503,37,0)=0),0,VLOOKUP(D13,[1]STS!$E$9:$AO$1503,37,0))</f>
        <v>12.078518441358028</v>
      </c>
      <c r="H13" s="77" t="str">
        <f>+IF(ISERROR(VLOOKUP(D13,[1]STS!$E$9:$I$1503,5,0)=0),0,VLOOKUP(D13,[1]STS!$E$9:$I$1503,5,0))</f>
        <v>FC</v>
      </c>
      <c r="I13" s="56"/>
      <c r="J13" s="66" t="str">
        <f>VLOOKUP(D13,[1]STS!$E$9:$BC$1359,51,0)</f>
        <v>GP3CK</v>
      </c>
      <c r="K13" s="57"/>
      <c r="L13" s="78" t="str">
        <f>+VLOOKUP(N13,'[1]MSTR AKT'!$C$4:$E$460,3,0)</f>
        <v>Etri 1</v>
      </c>
      <c r="M13" s="79">
        <f>+IF(ISERROR(VLOOKUP($N13,'[1]MSTR AKT'!$C$4:$D$460,2,0)=0),0,VLOOKUP($N13,'[1]MSTR AKT'!$C$4:$D$460,2,0))</f>
        <v>1315111111</v>
      </c>
      <c r="N13" s="70" t="s">
        <v>3</v>
      </c>
      <c r="O13" s="58" t="str">
        <f t="shared" si="0"/>
        <v>Ringan</v>
      </c>
      <c r="P13" s="58">
        <v>46004</v>
      </c>
      <c r="Q13" s="100">
        <v>4</v>
      </c>
      <c r="R13" s="101">
        <v>29.24</v>
      </c>
      <c r="S13" s="102">
        <f t="shared" si="1"/>
        <v>2931456.1999999997</v>
      </c>
    </row>
    <row r="14" spans="1:19" customFormat="1" x14ac:dyDescent="0.35">
      <c r="A14" s="55" t="s">
        <v>33</v>
      </c>
      <c r="B14" s="55" t="str">
        <f>+VLOOKUP($D14,[1]STS!$A$9:$E$1405,3,0)</f>
        <v>05</v>
      </c>
      <c r="C14" s="86">
        <f>+VLOOKUP($D14,[1]STS!$A$9:$E$1405,4,0)</f>
        <v>16</v>
      </c>
      <c r="D14" s="69" t="s">
        <v>58</v>
      </c>
      <c r="E14" s="97">
        <f>+IF(ISERROR(VLOOKUP($D14,[1]STS!$E$9:$G$1503,3,0)=0),0,VLOOKUP($D14,[1]STS!$E$9:$G$1503,3,0))</f>
        <v>11.28</v>
      </c>
      <c r="F14" s="98">
        <v>11.28</v>
      </c>
      <c r="G14" s="99">
        <f>+IF(ISERROR(VLOOKUP(D14,[1]STS!$E$9:$AO$1503,37,0)=0),0,VLOOKUP(D14,[1]STS!$E$9:$AO$1503,37,0))</f>
        <v>16.311851774691362</v>
      </c>
      <c r="H14" s="77" t="str">
        <f>+IF(ISERROR(VLOOKUP(D14,[1]STS!$E$9:$I$1503,5,0)=0),0,VLOOKUP(D14,[1]STS!$E$9:$I$1503,5,0))</f>
        <v>FC</v>
      </c>
      <c r="I14" s="56"/>
      <c r="J14" s="66" t="str">
        <f>VLOOKUP(D14,[1]STS!$E$9:$BC$1359,51,0)</f>
        <v>F18CK</v>
      </c>
      <c r="K14" s="57"/>
      <c r="L14" s="78" t="str">
        <f>+VLOOKUP(N14,'[1]MSTR AKT'!$C$4:$E$460,3,0)</f>
        <v>Etri 1</v>
      </c>
      <c r="M14" s="79">
        <f>+IF(ISERROR(VLOOKUP($N14,'[1]MSTR AKT'!$C$4:$D$460,2,0)=0),0,VLOOKUP($N14,'[1]MSTR AKT'!$C$4:$D$460,2,0))</f>
        <v>1315111111</v>
      </c>
      <c r="N14" s="70" t="s">
        <v>3</v>
      </c>
      <c r="O14" s="58" t="str">
        <f t="shared" si="0"/>
        <v>Ringan</v>
      </c>
      <c r="P14" s="58">
        <v>46004</v>
      </c>
      <c r="Q14" s="100">
        <v>4</v>
      </c>
      <c r="R14" s="101">
        <v>45.12</v>
      </c>
      <c r="S14" s="102">
        <f t="shared" si="1"/>
        <v>4523505.5999999996</v>
      </c>
    </row>
    <row r="15" spans="1:19" customFormat="1" x14ac:dyDescent="0.35">
      <c r="A15" s="55" t="s">
        <v>33</v>
      </c>
      <c r="B15" s="55" t="str">
        <f>+VLOOKUP($D15,[1]STS!$A$9:$E$1405,3,0)</f>
        <v>05</v>
      </c>
      <c r="C15" s="86">
        <f>+VLOOKUP($D15,[1]STS!$A$9:$E$1405,4,0)</f>
        <v>16</v>
      </c>
      <c r="D15" s="69" t="s">
        <v>130</v>
      </c>
      <c r="E15" s="97">
        <f>+IF(ISERROR(VLOOKUP($D15,[1]STS!$E$9:$G$1503,3,0)=0),0,VLOOKUP($D15,[1]STS!$E$9:$G$1503,3,0))</f>
        <v>3.95</v>
      </c>
      <c r="F15" s="98">
        <v>3.95</v>
      </c>
      <c r="G15" s="99">
        <f>+IF(ISERROR(VLOOKUP(D15,[1]STS!$E$9:$AO$1503,37,0)=0),0,VLOOKUP(D15,[1]STS!$E$9:$AO$1503,37,0))</f>
        <v>1.4118517746913615</v>
      </c>
      <c r="H15" s="77" t="str">
        <f>+IF(ISERROR(VLOOKUP(D15,[1]STS!$E$9:$I$1503,5,0)=0),0,VLOOKUP(D15,[1]STS!$E$9:$I$1503,5,0))</f>
        <v>SC</v>
      </c>
      <c r="I15" s="56"/>
      <c r="J15" s="66" t="str">
        <f>VLOOKUP(D15,[1]STS!$E$9:$BC$1359,51,0)</f>
        <v>F18</v>
      </c>
      <c r="K15" s="57"/>
      <c r="L15" s="78" t="str">
        <f>+VLOOKUP(N15,'[1]MSTR AKT'!$C$4:$E$460,3,0)</f>
        <v>Etri 1</v>
      </c>
      <c r="M15" s="79">
        <f>+IF(ISERROR(VLOOKUP($N15,'[1]MSTR AKT'!$C$4:$D$460,2,0)=0),0,VLOOKUP($N15,'[1]MSTR AKT'!$C$4:$D$460,2,0))</f>
        <v>1315111111</v>
      </c>
      <c r="N15" s="70" t="s">
        <v>3</v>
      </c>
      <c r="O15" s="58" t="str">
        <f t="shared" si="0"/>
        <v>Ringan</v>
      </c>
      <c r="P15" s="58">
        <v>46004</v>
      </c>
      <c r="Q15" s="100">
        <v>4</v>
      </c>
      <c r="R15" s="101">
        <v>15.8</v>
      </c>
      <c r="S15" s="102">
        <f>+R15*100255</f>
        <v>1584029</v>
      </c>
    </row>
    <row r="16" spans="1:19" customFormat="1" x14ac:dyDescent="0.35">
      <c r="A16" s="55" t="s">
        <v>33</v>
      </c>
      <c r="B16" s="55" t="str">
        <f>+VLOOKUP($D16,[1]STS!$A$9:$E$1405,3,0)</f>
        <v>05</v>
      </c>
      <c r="C16" s="86">
        <f>+VLOOKUP($D16,[1]STS!$A$9:$E$1405,4,0)</f>
        <v>16</v>
      </c>
      <c r="D16" s="69" t="s">
        <v>233</v>
      </c>
      <c r="E16" s="97">
        <f>+IF(ISERROR(VLOOKUP($D16,[1]STS!$E$9:$G$1503,3,0)=0),0,VLOOKUP($D16,[1]STS!$E$9:$G$1503,3,0))</f>
        <v>6.76</v>
      </c>
      <c r="F16" s="98">
        <v>6.76</v>
      </c>
      <c r="G16" s="99">
        <f>+IF(ISERROR(VLOOKUP(D16,[1]STS!$E$9:$AO$1503,37,0)=0),0,VLOOKUP(D16,[1]STS!$E$9:$AO$1503,37,0))</f>
        <v>8.9451851080246954</v>
      </c>
      <c r="H16" s="77" t="str">
        <f>+IF(ISERROR(VLOOKUP(D16,[1]STS!$E$9:$I$1503,5,0)=0),0,VLOOKUP(D16,[1]STS!$E$9:$I$1503,5,0))</f>
        <v>FC</v>
      </c>
      <c r="I16" s="56"/>
      <c r="J16" s="66" t="str">
        <f>VLOOKUP(D16,[1]STS!$E$9:$BC$1359,51,0)</f>
        <v>F18CK</v>
      </c>
      <c r="K16" s="57"/>
      <c r="L16" s="78" t="str">
        <f>+VLOOKUP(N16,'[1]MSTR AKT'!$C$4:$E$460,3,0)</f>
        <v>Etri 1</v>
      </c>
      <c r="M16" s="79">
        <f>+IF(ISERROR(VLOOKUP($N16,'[1]MSTR AKT'!$C$4:$D$460,2,0)=0),0,VLOOKUP($N16,'[1]MSTR AKT'!$C$4:$D$460,2,0))</f>
        <v>1315111111</v>
      </c>
      <c r="N16" s="70" t="s">
        <v>3</v>
      </c>
      <c r="O16" s="58" t="str">
        <f t="shared" si="0"/>
        <v>Ringan</v>
      </c>
      <c r="P16" s="58">
        <v>46004</v>
      </c>
      <c r="Q16" s="100">
        <v>4</v>
      </c>
      <c r="R16" s="101">
        <v>27.04</v>
      </c>
      <c r="S16" s="102">
        <f>+R16*100255</f>
        <v>2710895.1999999997</v>
      </c>
    </row>
    <row r="17" spans="1:19" customFormat="1" x14ac:dyDescent="0.35">
      <c r="A17" s="55" t="s">
        <v>33</v>
      </c>
      <c r="B17" s="55" t="str">
        <f>+VLOOKUP($D17,[1]STS!$A$9:$E$1405,3,0)</f>
        <v>05</v>
      </c>
      <c r="C17" s="86">
        <f>+VLOOKUP($D17,[1]STS!$A$9:$E$1405,4,0)</f>
        <v>16</v>
      </c>
      <c r="D17" s="69" t="s">
        <v>239</v>
      </c>
      <c r="E17" s="97">
        <f>+IF(ISERROR(VLOOKUP($D17,[1]STS!$E$9:$G$1503,3,0)=0),0,VLOOKUP($D17,[1]STS!$E$9:$G$1503,3,0))</f>
        <v>10.29</v>
      </c>
      <c r="F17" s="98">
        <v>9.36</v>
      </c>
      <c r="G17" s="99">
        <f>+IF(ISERROR(VLOOKUP(D17,[1]STS!$E$9:$AO$1503,37,0)=0),0,VLOOKUP(D17,[1]STS!$E$9:$AO$1503,37,0))</f>
        <v>0.97851844135802823</v>
      </c>
      <c r="H17" s="77" t="str">
        <f>+IF(ISERROR(VLOOKUP(D17,[1]STS!$E$9:$I$1503,5,0)=0),0,VLOOKUP(D17,[1]STS!$E$9:$I$1503,5,0))</f>
        <v>FC</v>
      </c>
      <c r="I17" s="56"/>
      <c r="J17" s="66" t="str">
        <f>VLOOKUP(D17,[1]STS!$E$9:$BC$1359,51,0)</f>
        <v>GP3CK</v>
      </c>
      <c r="K17" s="57"/>
      <c r="L17" s="78" t="str">
        <f>+VLOOKUP(N17,'[1]MSTR AKT'!$C$4:$E$460,3,0)</f>
        <v>Etri 1</v>
      </c>
      <c r="M17" s="79">
        <f>+IF(ISERROR(VLOOKUP($N17,'[1]MSTR AKT'!$C$4:$D$460,2,0)=0),0,VLOOKUP($N17,'[1]MSTR AKT'!$C$4:$D$460,2,0))</f>
        <v>1315111111</v>
      </c>
      <c r="N17" s="70" t="s">
        <v>3</v>
      </c>
      <c r="O17" s="58" t="str">
        <f t="shared" si="0"/>
        <v>Ringan</v>
      </c>
      <c r="P17" s="58">
        <v>46004</v>
      </c>
      <c r="Q17" s="100">
        <v>4</v>
      </c>
      <c r="R17" s="101">
        <v>37.44</v>
      </c>
      <c r="S17" s="102">
        <f>+R17*100255</f>
        <v>3753547.1999999997</v>
      </c>
    </row>
    <row r="18" spans="1:19" customFormat="1" x14ac:dyDescent="0.35">
      <c r="A18" s="55" t="s">
        <v>33</v>
      </c>
      <c r="B18" s="55" t="str">
        <f>+VLOOKUP($D18,[1]STS!$A$9:$E$1405,3,0)</f>
        <v>05</v>
      </c>
      <c r="C18" s="86">
        <f>+VLOOKUP($D18,[1]STS!$A$9:$E$1405,4,0)</f>
        <v>16</v>
      </c>
      <c r="D18" s="69" t="s">
        <v>234</v>
      </c>
      <c r="E18" s="97">
        <f>+IF(ISERROR(VLOOKUP($D18,[1]STS!$E$9:$G$1503,3,0)=0),0,VLOOKUP($D18,[1]STS!$E$9:$G$1503,3,0))</f>
        <v>4.47</v>
      </c>
      <c r="F18" s="98">
        <v>4.47</v>
      </c>
      <c r="G18" s="99">
        <f>+IF(ISERROR(VLOOKUP(D18,[1]STS!$E$9:$AO$1503,37,0)=0),0,VLOOKUP(D18,[1]STS!$E$9:$AO$1503,37,0))</f>
        <v>13.711851774691361</v>
      </c>
      <c r="H18" s="77" t="str">
        <f>+IF(ISERROR(VLOOKUP(D18,[1]STS!$E$9:$I$1503,5,0)=0),0,VLOOKUP(D18,[1]STS!$E$9:$I$1503,5,0))</f>
        <v>FC</v>
      </c>
      <c r="I18" s="56"/>
      <c r="J18" s="66" t="str">
        <f>VLOOKUP(D18,[1]STS!$E$9:$BC$1359,51,0)</f>
        <v>F18SB</v>
      </c>
      <c r="K18" s="57"/>
      <c r="L18" s="78" t="str">
        <f>+VLOOKUP(N18,'[1]MSTR AKT'!$C$4:$E$460,3,0)</f>
        <v>Etri 1</v>
      </c>
      <c r="M18" s="79">
        <f>+IF(ISERROR(VLOOKUP($N18,'[1]MSTR AKT'!$C$4:$D$460,2,0)=0),0,VLOOKUP($N18,'[1]MSTR AKT'!$C$4:$D$460,2,0))</f>
        <v>1315111111</v>
      </c>
      <c r="N18" s="70" t="s">
        <v>3</v>
      </c>
      <c r="O18" s="58" t="str">
        <f t="shared" si="0"/>
        <v>Ringan</v>
      </c>
      <c r="P18" s="59">
        <v>46004</v>
      </c>
      <c r="Q18" s="100">
        <v>4</v>
      </c>
      <c r="R18" s="101">
        <v>17.88</v>
      </c>
      <c r="S18" s="102">
        <f>+R18*100255</f>
        <v>1792559.4</v>
      </c>
    </row>
    <row r="19" spans="1:19" customFormat="1" x14ac:dyDescent="0.35">
      <c r="A19" s="55" t="s">
        <v>33</v>
      </c>
      <c r="B19" s="55" t="str">
        <f>+VLOOKUP($D19,[1]STS!$A$9:$E$1405,3,0)</f>
        <v>05</v>
      </c>
      <c r="C19" s="86">
        <f>+VLOOKUP($D19,[1]STS!$A$9:$E$1405,4,0)</f>
        <v>16</v>
      </c>
      <c r="D19" s="69" t="s">
        <v>235</v>
      </c>
      <c r="E19" s="97">
        <f>+IF(ISERROR(VLOOKUP($D19,[1]STS!$E$9:$G$1503,3,0)=0),0,VLOOKUP($D19,[1]STS!$E$9:$G$1503,3,0))</f>
        <v>4.43</v>
      </c>
      <c r="F19" s="98">
        <v>4.43</v>
      </c>
      <c r="G19" s="99">
        <f>+IF(ISERROR(VLOOKUP(D19,[1]STS!$E$9:$AO$1503,37,0)=0),0,VLOOKUP(D19,[1]STS!$E$9:$AO$1503,37,0))</f>
        <v>13.611851774691361</v>
      </c>
      <c r="H19" s="77" t="str">
        <f>+IF(ISERROR(VLOOKUP(D19,[1]STS!$E$9:$I$1503,5,0)=0),0,VLOOKUP(D19,[1]STS!$E$9:$I$1503,5,0))</f>
        <v>FC</v>
      </c>
      <c r="I19" s="56"/>
      <c r="J19" s="66" t="str">
        <f>VLOOKUP(D19,[1]STS!$E$9:$BC$1359,51,0)</f>
        <v>F18SS</v>
      </c>
      <c r="K19" s="57"/>
      <c r="L19" s="78" t="str">
        <f>+VLOOKUP(N19,'[1]MSTR AKT'!$C$4:$E$460,3,0)</f>
        <v>Etri 1</v>
      </c>
      <c r="M19" s="79">
        <f>+IF(ISERROR(VLOOKUP($N19,'[1]MSTR AKT'!$C$4:$D$460,2,0)=0),0,VLOOKUP($N19,'[1]MSTR AKT'!$C$4:$D$460,2,0))</f>
        <v>1315111111</v>
      </c>
      <c r="N19" s="70" t="s">
        <v>3</v>
      </c>
      <c r="O19" s="58" t="str">
        <f t="shared" si="0"/>
        <v>Ringan</v>
      </c>
      <c r="P19" s="59">
        <v>46004</v>
      </c>
      <c r="Q19" s="100">
        <v>4</v>
      </c>
      <c r="R19" s="101">
        <v>17.72</v>
      </c>
      <c r="S19" s="102">
        <f>+R19*100255</f>
        <v>1776518.5999999999</v>
      </c>
    </row>
    <row r="20" spans="1:19" customFormat="1" x14ac:dyDescent="0.35">
      <c r="A20" s="55" t="s">
        <v>33</v>
      </c>
      <c r="B20" s="55" t="str">
        <f>+VLOOKUP($D20,[1]STS!$A$9:$E$1405,3,0)</f>
        <v>05</v>
      </c>
      <c r="C20" s="86">
        <f>+VLOOKUP($D20,[1]STS!$A$9:$E$1405,4,0)</f>
        <v>16</v>
      </c>
      <c r="D20" s="69" t="s">
        <v>227</v>
      </c>
      <c r="E20" s="97">
        <f>+IF(ISERROR(VLOOKUP($D20,[1]STS!$E$9:$G$1503,3,0)=0),0,VLOOKUP($D20,[1]STS!$E$9:$G$1503,3,0))</f>
        <v>10.02</v>
      </c>
      <c r="F20" s="98">
        <v>10.02</v>
      </c>
      <c r="G20" s="99">
        <f>+IF(ISERROR(VLOOKUP(D20,[1]STS!$E$9:$AO$1503,37,0)=0),0,VLOOKUP(D20,[1]STS!$E$9:$AO$1503,37,0))</f>
        <v>12.311851774691361</v>
      </c>
      <c r="H20" s="77" t="str">
        <f>+IF(ISERROR(VLOOKUP(D20,[1]STS!$E$9:$I$1503,5,0)=0),0,VLOOKUP(D20,[1]STS!$E$9:$I$1503,5,0))</f>
        <v>FC</v>
      </c>
      <c r="I20" s="56"/>
      <c r="J20" s="66" t="str">
        <f>VLOOKUP(D20,[1]STS!$E$9:$BC$1359,51,0)</f>
        <v>GP3CK</v>
      </c>
      <c r="K20" s="57"/>
      <c r="L20" s="78" t="str">
        <f>+VLOOKUP(N20,'[1]MSTR AKT'!$C$4:$E$460,3,0)</f>
        <v>Etri 1</v>
      </c>
      <c r="M20" s="79">
        <f>+IF(ISERROR(VLOOKUP($N20,'[1]MSTR AKT'!$C$4:$D$460,2,0)=0),0,VLOOKUP($N20,'[1]MSTR AKT'!$C$4:$D$460,2,0))</f>
        <v>1315111111</v>
      </c>
      <c r="N20" s="70" t="s">
        <v>3</v>
      </c>
      <c r="O20" s="58" t="str">
        <f t="shared" si="0"/>
        <v>Ringan</v>
      </c>
      <c r="P20" s="58">
        <v>46004</v>
      </c>
      <c r="Q20" s="100">
        <v>4</v>
      </c>
      <c r="R20" s="101">
        <v>40.08</v>
      </c>
      <c r="S20" s="102">
        <f t="shared" si="1"/>
        <v>4018220.4</v>
      </c>
    </row>
    <row r="21" spans="1:19" customFormat="1" x14ac:dyDescent="0.35">
      <c r="A21" s="55" t="s">
        <v>33</v>
      </c>
      <c r="B21" s="55" t="str">
        <f>+VLOOKUP($D21,[1]STS!$A$9:$E$1405,3,0)</f>
        <v>05</v>
      </c>
      <c r="C21" s="86">
        <f>+VLOOKUP($D21,[1]STS!$A$9:$E$1405,4,0)</f>
        <v>16</v>
      </c>
      <c r="D21" s="69" t="s">
        <v>223</v>
      </c>
      <c r="E21" s="97">
        <f>+IF(ISERROR(VLOOKUP($D21,[1]STS!$E$9:$G$1503,3,0)=0),0,VLOOKUP($D21,[1]STS!$E$9:$G$1503,3,0))</f>
        <v>11.51</v>
      </c>
      <c r="F21" s="98">
        <v>11.51</v>
      </c>
      <c r="G21" s="99">
        <f>+IF(ISERROR(VLOOKUP(D21,[1]STS!$E$9:$AO$1503,37,0)=0),0,VLOOKUP(D21,[1]STS!$E$9:$AO$1503,37,0))</f>
        <v>6.878518441358028</v>
      </c>
      <c r="H21" s="77" t="str">
        <f>+IF(ISERROR(VLOOKUP(D21,[1]STS!$E$9:$I$1503,5,0)=0),0,VLOOKUP(D21,[1]STS!$E$9:$I$1503,5,0))</f>
        <v>FC</v>
      </c>
      <c r="I21" s="56"/>
      <c r="J21" s="66" t="str">
        <f>VLOOKUP(D21,[1]STS!$E$9:$BC$1359,51,0)</f>
        <v>GP3SB</v>
      </c>
      <c r="K21" s="57"/>
      <c r="L21" s="78" t="str">
        <f>+VLOOKUP(N21,'[1]MSTR AKT'!$C$4:$E$460,3,0)</f>
        <v>Etri 1</v>
      </c>
      <c r="M21" s="79">
        <f>+IF(ISERROR(VLOOKUP($N21,'[1]MSTR AKT'!$C$4:$D$460,2,0)=0),0,VLOOKUP($N21,'[1]MSTR AKT'!$C$4:$D$460,2,0))</f>
        <v>1315111111</v>
      </c>
      <c r="N21" s="70" t="s">
        <v>3</v>
      </c>
      <c r="O21" s="58" t="str">
        <f t="shared" si="0"/>
        <v>Ringan</v>
      </c>
      <c r="P21" s="58">
        <v>46004</v>
      </c>
      <c r="Q21" s="100">
        <v>4</v>
      </c>
      <c r="R21" s="101">
        <v>46.04</v>
      </c>
      <c r="S21" s="102">
        <f t="shared" si="1"/>
        <v>4615740.2</v>
      </c>
    </row>
    <row r="22" spans="1:19" customFormat="1" x14ac:dyDescent="0.35">
      <c r="A22" s="55" t="s">
        <v>33</v>
      </c>
      <c r="B22" s="55" t="str">
        <f>+VLOOKUP($D22,[1]STS!$A$9:$E$1405,3,0)</f>
        <v>05</v>
      </c>
      <c r="C22" s="86">
        <f>+VLOOKUP($D22,[1]STS!$A$9:$E$1405,4,0)</f>
        <v>16</v>
      </c>
      <c r="D22" s="69" t="s">
        <v>224</v>
      </c>
      <c r="E22" s="97">
        <f>+IF(ISERROR(VLOOKUP($D22,[1]STS!$E$9:$G$1503,3,0)=0),0,VLOOKUP($D22,[1]STS!$E$9:$G$1503,3,0))</f>
        <v>8.92</v>
      </c>
      <c r="F22" s="98">
        <v>8.92</v>
      </c>
      <c r="G22" s="99">
        <f>+IF(ISERROR(VLOOKUP(D22,[1]STS!$E$9:$AO$1503,37,0)=0),0,VLOOKUP(D22,[1]STS!$E$9:$AO$1503,37,0))</f>
        <v>6.378518441358028</v>
      </c>
      <c r="H22" s="77" t="str">
        <f>+IF(ISERROR(VLOOKUP(D22,[1]STS!$E$9:$I$1503,5,0)=0),0,VLOOKUP(D22,[1]STS!$E$9:$I$1503,5,0))</f>
        <v>FC</v>
      </c>
      <c r="I22" s="56"/>
      <c r="J22" s="66" t="str">
        <f>VLOOKUP(D22,[1]STS!$E$9:$BC$1359,51,0)</f>
        <v>GP3SB</v>
      </c>
      <c r="K22" s="57"/>
      <c r="L22" s="78" t="str">
        <f>+VLOOKUP(N22,'[1]MSTR AKT'!$C$4:$E$460,3,0)</f>
        <v>Etri 1</v>
      </c>
      <c r="M22" s="79">
        <f>+IF(ISERROR(VLOOKUP($N22,'[1]MSTR AKT'!$C$4:$D$460,2,0)=0),0,VLOOKUP($N22,'[1]MSTR AKT'!$C$4:$D$460,2,0))</f>
        <v>1315111111</v>
      </c>
      <c r="N22" s="70" t="s">
        <v>3</v>
      </c>
      <c r="O22" s="58" t="str">
        <f t="shared" si="0"/>
        <v>Ringan</v>
      </c>
      <c r="P22" s="58">
        <v>46004</v>
      </c>
      <c r="Q22" s="100">
        <v>4</v>
      </c>
      <c r="R22" s="101">
        <v>35.68</v>
      </c>
      <c r="S22" s="102">
        <f t="shared" si="1"/>
        <v>3577098.4</v>
      </c>
    </row>
    <row r="23" spans="1:19" customFormat="1" x14ac:dyDescent="0.35">
      <c r="A23" s="55" t="s">
        <v>33</v>
      </c>
      <c r="B23" s="55" t="str">
        <f>+VLOOKUP($D23,[1]STS!$A$9:$E$1405,3,0)</f>
        <v>05</v>
      </c>
      <c r="C23" s="86">
        <f>+VLOOKUP($D23,[1]STS!$A$9:$E$1405,4,0)</f>
        <v>16</v>
      </c>
      <c r="D23" s="69" t="s">
        <v>226</v>
      </c>
      <c r="E23" s="97">
        <f>+IF(ISERROR(VLOOKUP($D23,[1]STS!$E$9:$G$1503,3,0)=0),0,VLOOKUP($D23,[1]STS!$E$9:$G$1503,3,0))</f>
        <v>7.24</v>
      </c>
      <c r="F23" s="98">
        <v>7.24</v>
      </c>
      <c r="G23" s="99">
        <f>+IF(ISERROR(VLOOKUP(D23,[1]STS!$E$9:$AO$1503,37,0)=0),0,VLOOKUP(D23,[1]STS!$E$9:$AO$1503,37,0))</f>
        <v>12.345185108024696</v>
      </c>
      <c r="H23" s="77" t="str">
        <f>+IF(ISERROR(VLOOKUP(D23,[1]STS!$E$9:$I$1503,5,0)=0),0,VLOOKUP(D23,[1]STS!$E$9:$I$1503,5,0))</f>
        <v>FC</v>
      </c>
      <c r="I23" s="56"/>
      <c r="J23" s="66" t="str">
        <f>VLOOKUP(D23,[1]STS!$E$9:$BC$1359,51,0)</f>
        <v>GP3CK</v>
      </c>
      <c r="K23" s="57"/>
      <c r="L23" s="78" t="str">
        <f>+VLOOKUP(N23,'[1]MSTR AKT'!$C$4:$E$460,3,0)</f>
        <v>Etri 1</v>
      </c>
      <c r="M23" s="79">
        <f>+IF(ISERROR(VLOOKUP($N23,'[1]MSTR AKT'!$C$4:$D$460,2,0)=0),0,VLOOKUP($N23,'[1]MSTR AKT'!$C$4:$D$460,2,0))</f>
        <v>1315111111</v>
      </c>
      <c r="N23" s="70" t="s">
        <v>3</v>
      </c>
      <c r="O23" s="58" t="str">
        <f t="shared" si="0"/>
        <v>Ringan</v>
      </c>
      <c r="P23" s="59">
        <v>46004</v>
      </c>
      <c r="Q23" s="100">
        <v>4</v>
      </c>
      <c r="R23" s="101">
        <v>28.96</v>
      </c>
      <c r="S23" s="102">
        <f t="shared" si="1"/>
        <v>2903384.8000000003</v>
      </c>
    </row>
    <row r="24" spans="1:19" customFormat="1" x14ac:dyDescent="0.35">
      <c r="A24" s="55" t="s">
        <v>33</v>
      </c>
      <c r="B24" s="55" t="str">
        <f>+VLOOKUP($D24,[1]STS!$A$9:$E$1405,3,0)</f>
        <v>05</v>
      </c>
      <c r="C24" s="86">
        <f>+VLOOKUP($D24,[1]STS!$A$9:$E$1405,4,0)</f>
        <v>16</v>
      </c>
      <c r="D24" s="69" t="s">
        <v>225</v>
      </c>
      <c r="E24" s="97">
        <f>+IF(ISERROR(VLOOKUP($D24,[1]STS!$E$9:$G$1503,3,0)=0),0,VLOOKUP($D24,[1]STS!$E$9:$G$1503,3,0))</f>
        <v>6.12</v>
      </c>
      <c r="F24" s="98">
        <v>6.12</v>
      </c>
      <c r="G24" s="99">
        <f>+IF(ISERROR(VLOOKUP(D24,[1]STS!$E$9:$AO$1503,37,0)=0),0,VLOOKUP(D24,[1]STS!$E$9:$AO$1503,37,0))</f>
        <v>4.6451851080246946</v>
      </c>
      <c r="H24" s="77" t="str">
        <f>+IF(ISERROR(VLOOKUP(D24,[1]STS!$E$9:$I$1503,5,0)=0),0,VLOOKUP(D24,[1]STS!$E$9:$I$1503,5,0))</f>
        <v>FC</v>
      </c>
      <c r="I24" s="56"/>
      <c r="J24" s="66" t="str">
        <f>VLOOKUP(D24,[1]STS!$E$9:$BC$1359,51,0)</f>
        <v>F18SB</v>
      </c>
      <c r="K24" s="57"/>
      <c r="L24" s="78" t="str">
        <f>+VLOOKUP(N24,'[1]MSTR AKT'!$C$4:$E$460,3,0)</f>
        <v>Etri 1</v>
      </c>
      <c r="M24" s="79">
        <f>+IF(ISERROR(VLOOKUP($N24,'[1]MSTR AKT'!$C$4:$D$460,2,0)=0),0,VLOOKUP($N24,'[1]MSTR AKT'!$C$4:$D$460,2,0))</f>
        <v>1315111111</v>
      </c>
      <c r="N24" s="70" t="s">
        <v>3</v>
      </c>
      <c r="O24" s="58" t="str">
        <f t="shared" si="0"/>
        <v>Ringan</v>
      </c>
      <c r="P24" s="59">
        <v>46004</v>
      </c>
      <c r="Q24" s="100">
        <v>4</v>
      </c>
      <c r="R24" s="101">
        <v>24.48</v>
      </c>
      <c r="S24" s="102">
        <f t="shared" si="1"/>
        <v>2454242.4</v>
      </c>
    </row>
    <row r="25" spans="1:19" customFormat="1" x14ac:dyDescent="0.35">
      <c r="A25" s="55" t="s">
        <v>33</v>
      </c>
      <c r="B25" s="55" t="str">
        <f>+VLOOKUP($D25,[1]STS!$A$9:$E$1405,3,0)</f>
        <v>05</v>
      </c>
      <c r="C25" s="86">
        <f>+VLOOKUP($D25,[1]STS!$A$9:$E$1405,4,0)</f>
        <v>16</v>
      </c>
      <c r="D25" s="69" t="s">
        <v>203</v>
      </c>
      <c r="E25" s="97">
        <f>+IF(ISERROR(VLOOKUP($D25,[1]STS!$E$9:$G$1503,3,0)=0),0,VLOOKUP($D25,[1]STS!$E$9:$G$1503,3,0))</f>
        <v>9.69</v>
      </c>
      <c r="F25" s="98">
        <v>9.69</v>
      </c>
      <c r="G25" s="99">
        <f>+IF(ISERROR(VLOOKUP(D25,[1]STS!$E$9:$AO$1503,37,0)=0),0,VLOOKUP(D25,[1]STS!$E$9:$AO$1503,37,0))</f>
        <v>4.711851774691362</v>
      </c>
      <c r="H25" s="77" t="str">
        <f>+IF(ISERROR(VLOOKUP(D25,[1]STS!$E$9:$I$1503,5,0)=0),0,VLOOKUP(D25,[1]STS!$E$9:$I$1503,5,0))</f>
        <v>FC</v>
      </c>
      <c r="I25" s="56"/>
      <c r="J25" s="66" t="str">
        <f>VLOOKUP(D25,[1]STS!$E$9:$BC$1359,51,0)</f>
        <v>F18CK</v>
      </c>
      <c r="K25" s="57"/>
      <c r="L25" s="78" t="str">
        <f>+VLOOKUP(N25,'[1]MSTR AKT'!$C$4:$E$460,3,0)</f>
        <v>Etri 1</v>
      </c>
      <c r="M25" s="79">
        <f>+IF(ISERROR(VLOOKUP($N25,'[1]MSTR AKT'!$C$4:$D$460,2,0)=0),0,VLOOKUP($N25,'[1]MSTR AKT'!$C$4:$D$460,2,0))</f>
        <v>1315111111</v>
      </c>
      <c r="N25" s="70" t="s">
        <v>3</v>
      </c>
      <c r="O25" s="58" t="str">
        <f t="shared" si="0"/>
        <v>Ringan</v>
      </c>
      <c r="P25" s="58">
        <v>46004</v>
      </c>
      <c r="Q25" s="100">
        <v>4</v>
      </c>
      <c r="R25" s="101">
        <v>38.76</v>
      </c>
      <c r="S25" s="102">
        <f t="shared" si="1"/>
        <v>3885883.8</v>
      </c>
    </row>
    <row r="26" spans="1:19" customFormat="1" x14ac:dyDescent="0.35">
      <c r="A26" s="55" t="s">
        <v>33</v>
      </c>
      <c r="B26" s="55" t="str">
        <f>+VLOOKUP($D26,[1]STS!$A$9:$E$1405,3,0)</f>
        <v>05</v>
      </c>
      <c r="C26" s="86">
        <f>+VLOOKUP($D26,[1]STS!$A$9:$E$1405,4,0)</f>
        <v>16</v>
      </c>
      <c r="D26" s="69" t="s">
        <v>363</v>
      </c>
      <c r="E26" s="97">
        <f>+IF(ISERROR(VLOOKUP($D26,[1]STS!$E$9:$G$1503,3,0)=0),0,VLOOKUP($D26,[1]STS!$E$9:$G$1503,3,0))</f>
        <v>4.72</v>
      </c>
      <c r="F26" s="98">
        <v>4.5599999999999996</v>
      </c>
      <c r="G26" s="99">
        <f>+IF(ISERROR(VLOOKUP(D26,[1]STS!$E$9:$AO$1503,37,0)=0),0,VLOOKUP(D26,[1]STS!$E$9:$AO$1503,37,0))</f>
        <v>0.54518510802469489</v>
      </c>
      <c r="H26" s="77" t="str">
        <f>+IF(ISERROR(VLOOKUP(D26,[1]STS!$E$9:$I$1503,5,0)=0),0,VLOOKUP(D26,[1]STS!$E$9:$I$1503,5,0))</f>
        <v>ST</v>
      </c>
      <c r="I26" s="56"/>
      <c r="J26" s="66" t="str">
        <f>VLOOKUP(D26,[1]STS!$E$9:$BC$1359,51,0)</f>
        <v>F18</v>
      </c>
      <c r="K26" s="57"/>
      <c r="L26" s="78" t="str">
        <f>+VLOOKUP(N26,'[1]MSTR AKT'!$C$4:$E$460,3,0)</f>
        <v>Widi</v>
      </c>
      <c r="M26" s="79">
        <f>+IF(ISERROR(VLOOKUP($N26,'[1]MSTR AKT'!$C$4:$D$460,2,0)=0),0,VLOOKUP($N26,'[1]MSTR AKT'!$C$4:$D$460,2,0))</f>
        <v>1317111113</v>
      </c>
      <c r="N26" s="70" t="s">
        <v>34</v>
      </c>
      <c r="O26" s="58"/>
      <c r="P26" s="59">
        <v>46004</v>
      </c>
      <c r="Q26" s="100">
        <v>1.5350877192982457</v>
      </c>
      <c r="R26" s="101">
        <v>7</v>
      </c>
      <c r="S26" s="102">
        <f t="shared" si="1"/>
        <v>701785</v>
      </c>
    </row>
    <row r="27" spans="1:19" customFormat="1" x14ac:dyDescent="0.35">
      <c r="A27" s="55" t="s">
        <v>33</v>
      </c>
      <c r="B27" s="55" t="str">
        <f>+VLOOKUP($D27,[1]STS!$A$9:$E$1405,3,0)</f>
        <v>05</v>
      </c>
      <c r="C27" s="86">
        <f>+VLOOKUP($D27,[1]STS!$A$9:$E$1405,4,0)</f>
        <v>16</v>
      </c>
      <c r="D27" s="69" t="s">
        <v>364</v>
      </c>
      <c r="E27" s="97">
        <f>+IF(ISERROR(VLOOKUP($D27,[1]STS!$E$9:$G$1503,3,0)=0),0,VLOOKUP($D27,[1]STS!$E$9:$G$1503,3,0))</f>
        <v>4.1100000000000003</v>
      </c>
      <c r="F27" s="98">
        <v>4.1100000000000003</v>
      </c>
      <c r="G27" s="99">
        <f>+IF(ISERROR(VLOOKUP(D27,[1]STS!$E$9:$AO$1503,37,0)=0),0,VLOOKUP(D27,[1]STS!$E$9:$AO$1503,37,0))</f>
        <v>0.54518510802469489</v>
      </c>
      <c r="H27" s="77" t="str">
        <f>+IF(ISERROR(VLOOKUP(D27,[1]STS!$E$9:$I$1503,5,0)=0),0,VLOOKUP(D27,[1]STS!$E$9:$I$1503,5,0))</f>
        <v>ST</v>
      </c>
      <c r="I27" s="56"/>
      <c r="J27" s="66" t="str">
        <f>VLOOKUP(D27,[1]STS!$E$9:$BC$1359,51,0)</f>
        <v>F18</v>
      </c>
      <c r="K27" s="57"/>
      <c r="L27" s="78" t="str">
        <f>+VLOOKUP(N27,'[1]MSTR AKT'!$C$4:$E$460,3,0)</f>
        <v>Widi</v>
      </c>
      <c r="M27" s="79">
        <f>+IF(ISERROR(VLOOKUP($N27,'[1]MSTR AKT'!$C$4:$D$460,2,0)=0),0,VLOOKUP($N27,'[1]MSTR AKT'!$C$4:$D$460,2,0))</f>
        <v>1317111113</v>
      </c>
      <c r="N27" s="70" t="s">
        <v>34</v>
      </c>
      <c r="O27" s="58"/>
      <c r="P27" s="59">
        <v>46004</v>
      </c>
      <c r="Q27" s="100">
        <v>1.7031630170316301</v>
      </c>
      <c r="R27" s="101">
        <v>7</v>
      </c>
      <c r="S27" s="102">
        <f t="shared" si="1"/>
        <v>701785</v>
      </c>
    </row>
    <row r="28" spans="1:19" customFormat="1" x14ac:dyDescent="0.35">
      <c r="A28" s="55" t="s">
        <v>33</v>
      </c>
      <c r="B28" s="55" t="str">
        <f>+VLOOKUP($D28,[1]STS!$A$9:$E$1405,3,0)</f>
        <v>05</v>
      </c>
      <c r="C28" s="86">
        <f>+VLOOKUP($D28,[1]STS!$A$9:$E$1405,4,0)</f>
        <v>16</v>
      </c>
      <c r="D28" s="69" t="s">
        <v>365</v>
      </c>
      <c r="E28" s="97">
        <f>+IF(ISERROR(VLOOKUP($D28,[1]STS!$E$9:$G$1503,3,0)=0),0,VLOOKUP($D28,[1]STS!$E$9:$G$1503,3,0))</f>
        <v>7.21</v>
      </c>
      <c r="F28" s="98">
        <v>7.27</v>
      </c>
      <c r="G28" s="99">
        <f>+IF(ISERROR(VLOOKUP(D28,[1]STS!$E$9:$AO$1503,37,0)=0),0,VLOOKUP(D28,[1]STS!$E$9:$AO$1503,37,0))</f>
        <v>0.54518510802469489</v>
      </c>
      <c r="H28" s="77" t="str">
        <f>+IF(ISERROR(VLOOKUP(D28,[1]STS!$E$9:$I$1503,5,0)=0),0,VLOOKUP(D28,[1]STS!$E$9:$I$1503,5,0))</f>
        <v>ST</v>
      </c>
      <c r="I28" s="56"/>
      <c r="J28" s="66" t="str">
        <f>VLOOKUP(D28,[1]STS!$E$9:$BC$1359,51,0)</f>
        <v>F18</v>
      </c>
      <c r="K28" s="57"/>
      <c r="L28" s="78" t="str">
        <f>+VLOOKUP(N28,'[1]MSTR AKT'!$C$4:$E$460,3,0)</f>
        <v>Widi</v>
      </c>
      <c r="M28" s="79">
        <f>+IF(ISERROR(VLOOKUP($N28,'[1]MSTR AKT'!$C$4:$D$460,2,0)=0),0,VLOOKUP($N28,'[1]MSTR AKT'!$C$4:$D$460,2,0))</f>
        <v>1317111113</v>
      </c>
      <c r="N28" s="70" t="s">
        <v>34</v>
      </c>
      <c r="O28" s="58"/>
      <c r="P28" s="58">
        <v>46004</v>
      </c>
      <c r="Q28" s="100">
        <v>0.96286107290233847</v>
      </c>
      <c r="R28" s="101">
        <v>7</v>
      </c>
      <c r="S28" s="102">
        <f t="shared" si="1"/>
        <v>701785</v>
      </c>
    </row>
    <row r="29" spans="1:19" customFormat="1" x14ac:dyDescent="0.35">
      <c r="A29" s="55" t="s">
        <v>33</v>
      </c>
      <c r="B29" s="55" t="str">
        <f>+VLOOKUP($D29,[1]STS!$A$9:$E$1405,3,0)</f>
        <v>05</v>
      </c>
      <c r="C29" s="86">
        <f>+VLOOKUP($D29,[1]STS!$A$9:$E$1405,4,0)</f>
        <v>16</v>
      </c>
      <c r="D29" s="69" t="s">
        <v>366</v>
      </c>
      <c r="E29" s="97">
        <f>+IF(ISERROR(VLOOKUP($D29,[1]STS!$E$9:$G$1503,3,0)=0),0,VLOOKUP($D29,[1]STS!$E$9:$G$1503,3,0))</f>
        <v>4.3899999999999997</v>
      </c>
      <c r="F29" s="98">
        <v>4.26</v>
      </c>
      <c r="G29" s="99">
        <f>+IF(ISERROR(VLOOKUP(D29,[1]STS!$E$9:$AO$1503,37,0)=0),0,VLOOKUP(D29,[1]STS!$E$9:$AO$1503,37,0))</f>
        <v>0.54518510802469489</v>
      </c>
      <c r="H29" s="77" t="str">
        <f>+IF(ISERROR(VLOOKUP(D29,[1]STS!$E$9:$I$1503,5,0)=0),0,VLOOKUP(D29,[1]STS!$E$9:$I$1503,5,0))</f>
        <v>ST</v>
      </c>
      <c r="I29" s="56"/>
      <c r="J29" s="66" t="str">
        <f>VLOOKUP(D29,[1]STS!$E$9:$BC$1359,51,0)</f>
        <v>F18</v>
      </c>
      <c r="K29" s="57"/>
      <c r="L29" s="78" t="str">
        <f>+VLOOKUP(N29,'[1]MSTR AKT'!$C$4:$E$460,3,0)</f>
        <v>Widi</v>
      </c>
      <c r="M29" s="79">
        <f>+IF(ISERROR(VLOOKUP($N29,'[1]MSTR AKT'!$C$4:$D$460,2,0)=0),0,VLOOKUP($N29,'[1]MSTR AKT'!$C$4:$D$460,2,0))</f>
        <v>1317111113</v>
      </c>
      <c r="N29" s="70" t="s">
        <v>34</v>
      </c>
      <c r="O29" s="58"/>
      <c r="P29" s="58">
        <v>46004</v>
      </c>
      <c r="Q29" s="100">
        <v>1.643192488262911</v>
      </c>
      <c r="R29" s="101">
        <v>7</v>
      </c>
      <c r="S29" s="102">
        <f t="shared" si="1"/>
        <v>701785</v>
      </c>
    </row>
    <row r="30" spans="1:19" customFormat="1" x14ac:dyDescent="0.35">
      <c r="A30" s="55" t="s">
        <v>33</v>
      </c>
      <c r="B30" s="55" t="str">
        <f>+VLOOKUP($D30,[1]STS!$A$9:$E$1405,3,0)</f>
        <v>05</v>
      </c>
      <c r="C30" s="86">
        <f>+VLOOKUP($D30,[1]STS!$A$9:$E$1405,4,0)</f>
        <v>16</v>
      </c>
      <c r="D30" s="69" t="s">
        <v>367</v>
      </c>
      <c r="E30" s="97">
        <f>+IF(ISERROR(VLOOKUP($D30,[1]STS!$E$9:$G$1503,3,0)=0),0,VLOOKUP($D30,[1]STS!$E$9:$G$1503,3,0))</f>
        <v>7.49</v>
      </c>
      <c r="F30" s="98">
        <v>7.49</v>
      </c>
      <c r="G30" s="99">
        <f>+IF(ISERROR(VLOOKUP(D30,[1]STS!$E$9:$AO$1503,37,0)=0),0,VLOOKUP(D30,[1]STS!$E$9:$AO$1503,37,0))</f>
        <v>0.27851844135802822</v>
      </c>
      <c r="H30" s="77" t="str">
        <f>+IF(ISERROR(VLOOKUP(D30,[1]STS!$E$9:$I$1503,5,0)=0),0,VLOOKUP(D30,[1]STS!$E$9:$I$1503,5,0))</f>
        <v>ST</v>
      </c>
      <c r="I30" s="56"/>
      <c r="J30" s="66" t="str">
        <f>VLOOKUP(D30,[1]STS!$E$9:$BC$1359,51,0)</f>
        <v>F18</v>
      </c>
      <c r="K30" s="57"/>
      <c r="L30" s="78" t="str">
        <f>+VLOOKUP(N30,'[1]MSTR AKT'!$C$4:$E$460,3,0)</f>
        <v>Widi</v>
      </c>
      <c r="M30" s="79">
        <f>+IF(ISERROR(VLOOKUP($N30,'[1]MSTR AKT'!$C$4:$D$460,2,0)=0),0,VLOOKUP($N30,'[1]MSTR AKT'!$C$4:$D$460,2,0))</f>
        <v>1317111113</v>
      </c>
      <c r="N30" s="70" t="s">
        <v>34</v>
      </c>
      <c r="O30" s="58"/>
      <c r="P30" s="59">
        <v>46004</v>
      </c>
      <c r="Q30" s="100">
        <v>0.93457943925233644</v>
      </c>
      <c r="R30" s="101">
        <v>7</v>
      </c>
      <c r="S30" s="102">
        <f t="shared" si="1"/>
        <v>701785</v>
      </c>
    </row>
    <row r="31" spans="1:19" customFormat="1" x14ac:dyDescent="0.35">
      <c r="A31" s="55" t="s">
        <v>33</v>
      </c>
      <c r="B31" s="55" t="str">
        <f>+VLOOKUP($D31,[1]STS!$A$9:$E$1405,3,0)</f>
        <v>05</v>
      </c>
      <c r="C31" s="86">
        <f>+VLOOKUP($D31,[1]STS!$A$9:$E$1405,4,0)</f>
        <v>16</v>
      </c>
      <c r="D31" s="69" t="s">
        <v>167</v>
      </c>
      <c r="E31" s="97">
        <f>+IF(ISERROR(VLOOKUP($D31,[1]STS!$E$9:$G$1503,3,0)=0),0,VLOOKUP($D31,[1]STS!$E$9:$G$1503,3,0))</f>
        <v>5.75</v>
      </c>
      <c r="F31" s="98">
        <v>5.75</v>
      </c>
      <c r="G31" s="99">
        <f>+IF(ISERROR(VLOOKUP(D31,[1]STS!$E$9:$AO$1503,37,0)=0),0,VLOOKUP(D31,[1]STS!$E$9:$AO$1503,37,0))</f>
        <v>6.0785184413580282</v>
      </c>
      <c r="H31" s="77" t="str">
        <f>+IF(ISERROR(VLOOKUP(D31,[1]STS!$E$9:$I$1503,5,0)=0),0,VLOOKUP(D31,[1]STS!$E$9:$I$1503,5,0))</f>
        <v>FC</v>
      </c>
      <c r="I31" s="56"/>
      <c r="J31" s="66" t="str">
        <f>VLOOKUP(D31,[1]STS!$E$9:$BC$1359,51,0)</f>
        <v>F18SS</v>
      </c>
      <c r="K31" s="57"/>
      <c r="L31" s="78" t="str">
        <f>+VLOOKUP(N31,'[1]MSTR AKT'!$C$4:$E$460,3,0)</f>
        <v>Widi</v>
      </c>
      <c r="M31" s="79">
        <f>+IF(ISERROR(VLOOKUP($N31,'[1]MSTR AKT'!$C$4:$D$460,2,0)=0),0,VLOOKUP($N31,'[1]MSTR AKT'!$C$4:$D$460,2,0))</f>
        <v>1317111113</v>
      </c>
      <c r="N31" s="70" t="s">
        <v>34</v>
      </c>
      <c r="O31" s="58"/>
      <c r="P31" s="59">
        <v>46004</v>
      </c>
      <c r="Q31" s="100">
        <v>1.2173913043478262</v>
      </c>
      <c r="R31" s="101">
        <v>7</v>
      </c>
      <c r="S31" s="102">
        <f t="shared" si="1"/>
        <v>701785</v>
      </c>
    </row>
    <row r="32" spans="1:19" customFormat="1" x14ac:dyDescent="0.35">
      <c r="A32" s="55" t="s">
        <v>33</v>
      </c>
      <c r="B32" s="55" t="str">
        <f>+VLOOKUP($D32,[1]STS!$A$9:$E$1405,3,0)</f>
        <v>05</v>
      </c>
      <c r="C32" s="86">
        <f>+VLOOKUP($D32,[1]STS!$A$9:$E$1405,4,0)</f>
        <v>16</v>
      </c>
      <c r="D32" s="69" t="s">
        <v>203</v>
      </c>
      <c r="E32" s="97">
        <f>+IF(ISERROR(VLOOKUP($D32,[1]STS!$E$9:$G$1503,3,0)=0),0,VLOOKUP($D32,[1]STS!$E$9:$G$1503,3,0))</f>
        <v>9.69</v>
      </c>
      <c r="F32" s="98">
        <v>9.69</v>
      </c>
      <c r="G32" s="99">
        <f>+IF(ISERROR(VLOOKUP(D32,[1]STS!$E$9:$AO$1503,37,0)=0),0,VLOOKUP(D32,[1]STS!$E$9:$AO$1503,37,0))</f>
        <v>4.711851774691362</v>
      </c>
      <c r="H32" s="77" t="str">
        <f>+IF(ISERROR(VLOOKUP(D32,[1]STS!$E$9:$I$1503,5,0)=0),0,VLOOKUP(D32,[1]STS!$E$9:$I$1503,5,0))</f>
        <v>FC</v>
      </c>
      <c r="I32" s="56"/>
      <c r="J32" s="66" t="str">
        <f>VLOOKUP(D32,[1]STS!$E$9:$BC$1359,51,0)</f>
        <v>F18CK</v>
      </c>
      <c r="K32" s="57"/>
      <c r="L32" s="78" t="str">
        <f>+VLOOKUP(N32,'[1]MSTR AKT'!$C$4:$E$460,3,0)</f>
        <v>Widi</v>
      </c>
      <c r="M32" s="79">
        <f>+IF(ISERROR(VLOOKUP($N32,'[1]MSTR AKT'!$C$4:$D$460,2,0)=0),0,VLOOKUP($N32,'[1]MSTR AKT'!$C$4:$D$460,2,0))</f>
        <v>1317111113</v>
      </c>
      <c r="N32" s="70" t="s">
        <v>34</v>
      </c>
      <c r="O32" s="58"/>
      <c r="P32" s="58">
        <v>46004</v>
      </c>
      <c r="Q32" s="100">
        <v>0.72239422084623328</v>
      </c>
      <c r="R32" s="101">
        <v>7</v>
      </c>
      <c r="S32" s="102">
        <f t="shared" si="1"/>
        <v>701785</v>
      </c>
    </row>
    <row r="33" spans="1:19" customFormat="1" x14ac:dyDescent="0.35">
      <c r="A33" s="55" t="s">
        <v>33</v>
      </c>
      <c r="B33" s="55" t="str">
        <f>+VLOOKUP($D33,[1]STS!$A$9:$E$1405,3,0)</f>
        <v>05</v>
      </c>
      <c r="C33" s="86">
        <f>+VLOOKUP($D33,[1]STS!$A$9:$E$1405,4,0)</f>
        <v>16</v>
      </c>
      <c r="D33" s="69" t="s">
        <v>238</v>
      </c>
      <c r="E33" s="97">
        <f>+IF(ISERROR(VLOOKUP($D33,[1]STS!$E$9:$G$1503,3,0)=0),0,VLOOKUP($D33,[1]STS!$E$9:$G$1503,3,0))</f>
        <v>9.14</v>
      </c>
      <c r="F33" s="98">
        <v>8.2200000000000006</v>
      </c>
      <c r="G33" s="99">
        <f>+IF(ISERROR(VLOOKUP(D33,[1]STS!$E$9:$AO$1503,37,0)=0),0,VLOOKUP(D33,[1]STS!$E$9:$AO$1503,37,0))</f>
        <v>1.0785184413580282</v>
      </c>
      <c r="H33" s="77" t="str">
        <f>+IF(ISERROR(VLOOKUP(D33,[1]STS!$E$9:$I$1503,5,0)=0),0,VLOOKUP(D33,[1]STS!$E$9:$I$1503,5,0))</f>
        <v>ST</v>
      </c>
      <c r="I33" s="56"/>
      <c r="J33" s="66" t="str">
        <f>VLOOKUP(D33,[1]STS!$E$9:$BC$1359,51,0)</f>
        <v>F18</v>
      </c>
      <c r="K33" s="57"/>
      <c r="L33" s="78" t="str">
        <f>+VLOOKUP(N33,'[1]MSTR AKT'!$C$4:$E$460,3,0)</f>
        <v>Widi</v>
      </c>
      <c r="M33" s="79">
        <f>+IF(ISERROR(VLOOKUP($N33,'[1]MSTR AKT'!$C$4:$D$460,2,0)=0),0,VLOOKUP($N33,'[1]MSTR AKT'!$C$4:$D$460,2,0))</f>
        <v>1317111113</v>
      </c>
      <c r="N33" s="70" t="s">
        <v>34</v>
      </c>
      <c r="O33" s="58"/>
      <c r="P33" s="59">
        <v>46004</v>
      </c>
      <c r="Q33" s="100">
        <v>0.85158150851581504</v>
      </c>
      <c r="R33" s="101">
        <v>7</v>
      </c>
      <c r="S33" s="102">
        <f t="shared" si="1"/>
        <v>701785</v>
      </c>
    </row>
    <row r="34" spans="1:19" customFormat="1" x14ac:dyDescent="0.35">
      <c r="A34" s="55" t="s">
        <v>33</v>
      </c>
      <c r="B34" s="55" t="str">
        <f>+VLOOKUP($D34,[1]STS!$A$9:$E$1405,3,0)</f>
        <v>05</v>
      </c>
      <c r="C34" s="86">
        <f>+VLOOKUP($D34,[1]STS!$A$9:$E$1405,4,0)</f>
        <v>16</v>
      </c>
      <c r="D34" s="69" t="s">
        <v>236</v>
      </c>
      <c r="E34" s="97">
        <f>+IF(ISERROR(VLOOKUP($D34,[1]STS!$E$9:$G$1503,3,0)=0),0,VLOOKUP($D34,[1]STS!$E$9:$G$1503,3,0))</f>
        <v>6.3</v>
      </c>
      <c r="F34" s="98">
        <v>6.3</v>
      </c>
      <c r="G34" s="99">
        <f>+IF(ISERROR(VLOOKUP(D34,[1]STS!$E$9:$AO$1503,37,0)=0),0,VLOOKUP(D34,[1]STS!$E$9:$AO$1503,37,0))</f>
        <v>0.54518510802469489</v>
      </c>
      <c r="H34" s="77" t="str">
        <f>+IF(ISERROR(VLOOKUP(D34,[1]STS!$E$9:$I$1503,5,0)=0),0,VLOOKUP(D34,[1]STS!$E$9:$I$1503,5,0))</f>
        <v>ST</v>
      </c>
      <c r="I34" s="56"/>
      <c r="J34" s="66" t="str">
        <f>VLOOKUP(D34,[1]STS!$E$9:$BC$1359,51,0)</f>
        <v>F18</v>
      </c>
      <c r="K34" s="57"/>
      <c r="L34" s="78" t="str">
        <f>+VLOOKUP(N34,'[1]MSTR AKT'!$C$4:$E$460,3,0)</f>
        <v>Widi</v>
      </c>
      <c r="M34" s="79">
        <f>+IF(ISERROR(VLOOKUP($N34,'[1]MSTR AKT'!$C$4:$D$460,2,0)=0),0,VLOOKUP($N34,'[1]MSTR AKT'!$C$4:$D$460,2,0))</f>
        <v>1317111113</v>
      </c>
      <c r="N34" s="70" t="s">
        <v>34</v>
      </c>
      <c r="O34" s="58"/>
      <c r="P34" s="59">
        <v>46004</v>
      </c>
      <c r="Q34" s="100">
        <v>1.1111111111111112</v>
      </c>
      <c r="R34" s="101">
        <v>7</v>
      </c>
      <c r="S34" s="102">
        <f t="shared" si="1"/>
        <v>701785</v>
      </c>
    </row>
    <row r="35" spans="1:19" customFormat="1" x14ac:dyDescent="0.35">
      <c r="A35" s="55" t="s">
        <v>33</v>
      </c>
      <c r="B35" s="55" t="str">
        <f>+VLOOKUP($D35,[1]STS!$A$9:$E$1405,3,0)</f>
        <v>05</v>
      </c>
      <c r="C35" s="86">
        <f>+VLOOKUP($D35,[1]STS!$A$9:$E$1405,4,0)</f>
        <v>16</v>
      </c>
      <c r="D35" s="69" t="s">
        <v>237</v>
      </c>
      <c r="E35" s="97">
        <f>+IF(ISERROR(VLOOKUP($D35,[1]STS!$E$9:$G$1503,3,0)=0),0,VLOOKUP($D35,[1]STS!$E$9:$G$1503,3,0))</f>
        <v>9.42</v>
      </c>
      <c r="F35" s="98">
        <v>9.42</v>
      </c>
      <c r="G35" s="99">
        <f>+IF(ISERROR(VLOOKUP(D35,[1]STS!$E$9:$AO$1503,37,0)=0),0,VLOOKUP(D35,[1]STS!$E$9:$AO$1503,37,0))</f>
        <v>4.4451851080246945</v>
      </c>
      <c r="H35" s="77" t="str">
        <f>+IF(ISERROR(VLOOKUP(D35,[1]STS!$E$9:$I$1503,5,0)=0),0,VLOOKUP(D35,[1]STS!$E$9:$I$1503,5,0))</f>
        <v>BK</v>
      </c>
      <c r="I35" s="56"/>
      <c r="J35" s="66" t="str">
        <f>VLOOKUP(D35,[1]STS!$E$9:$BC$1359,51,0)</f>
        <v>F18</v>
      </c>
      <c r="K35" s="57"/>
      <c r="L35" s="78" t="str">
        <f>+VLOOKUP(N35,'[1]MSTR AKT'!$C$4:$E$460,3,0)</f>
        <v>Widi</v>
      </c>
      <c r="M35" s="79">
        <f>+IF(ISERROR(VLOOKUP($N35,'[1]MSTR AKT'!$C$4:$D$460,2,0)=0),0,VLOOKUP($N35,'[1]MSTR AKT'!$C$4:$D$460,2,0))</f>
        <v>1317111113</v>
      </c>
      <c r="N35" s="70" t="s">
        <v>34</v>
      </c>
      <c r="O35" s="58"/>
      <c r="P35" s="59">
        <v>46004</v>
      </c>
      <c r="Q35" s="100">
        <v>0.743099787685775</v>
      </c>
      <c r="R35" s="101">
        <v>7</v>
      </c>
      <c r="S35" s="102">
        <f t="shared" si="1"/>
        <v>701785</v>
      </c>
    </row>
    <row r="36" spans="1:19" customFormat="1" x14ac:dyDescent="0.35">
      <c r="A36" s="55" t="s">
        <v>33</v>
      </c>
      <c r="B36" s="55" t="str">
        <f>+VLOOKUP($D36,[1]STS!$A$9:$E$1405,3,0)</f>
        <v>05</v>
      </c>
      <c r="C36" s="86">
        <f>+VLOOKUP($D36,[1]STS!$A$9:$E$1405,4,0)</f>
        <v>16</v>
      </c>
      <c r="D36" s="69" t="s">
        <v>171</v>
      </c>
      <c r="E36" s="97">
        <f>+IF(ISERROR(VLOOKUP($D36,[1]STS!$E$9:$G$1503,3,0)=0),0,VLOOKUP($D36,[1]STS!$E$9:$G$1503,3,0))</f>
        <v>10.94</v>
      </c>
      <c r="F36" s="98">
        <v>7.1109999999999998</v>
      </c>
      <c r="G36" s="99">
        <f>+IF(ISERROR(VLOOKUP(D36,[1]STS!$E$9:$AO$1503,37,0)=0),0,VLOOKUP(D36,[1]STS!$E$9:$AO$1503,37,0))</f>
        <v>4.545185108024695</v>
      </c>
      <c r="H36" s="77" t="str">
        <f>+IF(ISERROR(VLOOKUP(D36,[1]STS!$E$9:$I$1503,5,0)=0),0,VLOOKUP(D36,[1]STS!$E$9:$I$1503,5,0))</f>
        <v>FC</v>
      </c>
      <c r="I36" s="56"/>
      <c r="J36" s="66" t="str">
        <f>VLOOKUP(D36,[1]STS!$E$9:$BC$1359,51,0)</f>
        <v>GP3CK</v>
      </c>
      <c r="K36" s="57"/>
      <c r="L36" s="78" t="str">
        <f>+VLOOKUP(N36,'[1]MSTR AKT'!$C$4:$E$460,3,0)</f>
        <v>Etri 2</v>
      </c>
      <c r="M36" s="79">
        <f>+IF(ISERROR(VLOOKUP($N36,'[1]MSTR AKT'!$C$4:$D$460,2,0)=0),0,VLOOKUP($N36,'[1]MSTR AKT'!$C$4:$D$460,2,0))</f>
        <v>1315131513</v>
      </c>
      <c r="N36" s="70" t="s">
        <v>8</v>
      </c>
      <c r="O36" s="58"/>
      <c r="P36" s="59">
        <v>46004</v>
      </c>
      <c r="Q36" s="100">
        <v>2</v>
      </c>
      <c r="R36" s="101">
        <v>14.222</v>
      </c>
      <c r="S36" s="102">
        <f t="shared" si="1"/>
        <v>1425826.6099999999</v>
      </c>
    </row>
    <row r="37" spans="1:19" customFormat="1" x14ac:dyDescent="0.35">
      <c r="A37" s="55" t="s">
        <v>33</v>
      </c>
      <c r="B37" s="55" t="str">
        <f>+VLOOKUP($D37,[1]STS!$A$9:$E$1405,3,0)</f>
        <v>05</v>
      </c>
      <c r="C37" s="86">
        <f>+VLOOKUP($D37,[1]STS!$A$9:$E$1405,4,0)</f>
        <v>16</v>
      </c>
      <c r="D37" s="69" t="s">
        <v>69</v>
      </c>
      <c r="E37" s="97">
        <f>+IF(ISERROR(VLOOKUP($D37,[1]STS!$E$9:$G$1503,3,0)=0),0,VLOOKUP($D37,[1]STS!$E$9:$G$1503,3,0))</f>
        <v>7.31</v>
      </c>
      <c r="F37" s="98">
        <v>4.7515000000000001</v>
      </c>
      <c r="G37" s="99">
        <f>+IF(ISERROR(VLOOKUP(D37,[1]STS!$E$9:$AO$1503,37,0)=0),0,VLOOKUP(D37,[1]STS!$E$9:$AO$1503,37,0))</f>
        <v>12.078518441358028</v>
      </c>
      <c r="H37" s="77" t="str">
        <f>+IF(ISERROR(VLOOKUP(D37,[1]STS!$E$9:$I$1503,5,0)=0),0,VLOOKUP(D37,[1]STS!$E$9:$I$1503,5,0))</f>
        <v>FC</v>
      </c>
      <c r="I37" s="56"/>
      <c r="J37" s="66" t="str">
        <f>VLOOKUP(D37,[1]STS!$E$9:$BC$1359,51,0)</f>
        <v>GP3CK</v>
      </c>
      <c r="K37" s="57"/>
      <c r="L37" s="78" t="str">
        <f>+VLOOKUP(N37,'[1]MSTR AKT'!$C$4:$E$460,3,0)</f>
        <v>Etri 2</v>
      </c>
      <c r="M37" s="79">
        <f>+IF(ISERROR(VLOOKUP($N37,'[1]MSTR AKT'!$C$4:$D$460,2,0)=0),0,VLOOKUP($N37,'[1]MSTR AKT'!$C$4:$D$460,2,0))</f>
        <v>1315131513</v>
      </c>
      <c r="N37" s="70" t="s">
        <v>8</v>
      </c>
      <c r="O37" s="58"/>
      <c r="P37" s="58">
        <v>46004</v>
      </c>
      <c r="Q37" s="100">
        <v>2</v>
      </c>
      <c r="R37" s="101">
        <v>9.5030000000000001</v>
      </c>
      <c r="S37" s="102">
        <f t="shared" si="1"/>
        <v>952723.26500000001</v>
      </c>
    </row>
    <row r="38" spans="1:19" customFormat="1" x14ac:dyDescent="0.35">
      <c r="A38" s="55" t="s">
        <v>33</v>
      </c>
      <c r="B38" s="55" t="str">
        <f>+VLOOKUP($D38,[1]STS!$A$9:$E$1405,3,0)</f>
        <v>05</v>
      </c>
      <c r="C38" s="86">
        <f>+VLOOKUP($D38,[1]STS!$A$9:$E$1405,4,0)</f>
        <v>16</v>
      </c>
      <c r="D38" s="69" t="s">
        <v>229</v>
      </c>
      <c r="E38" s="97">
        <f>+IF(ISERROR(VLOOKUP($D38,[1]STS!$E$9:$G$1503,3,0)=0),0,VLOOKUP($D38,[1]STS!$E$9:$G$1503,3,0))</f>
        <v>4.3</v>
      </c>
      <c r="F38" s="98">
        <v>2.7949999999999999</v>
      </c>
      <c r="G38" s="99">
        <f>+IF(ISERROR(VLOOKUP(D38,[1]STS!$E$9:$AO$1503,37,0)=0),0,VLOOKUP(D38,[1]STS!$E$9:$AO$1503,37,0))</f>
        <v>8.6785184413580279</v>
      </c>
      <c r="H38" s="77" t="str">
        <f>+IF(ISERROR(VLOOKUP(D38,[1]STS!$E$9:$I$1503,5,0)=0),0,VLOOKUP(D38,[1]STS!$E$9:$I$1503,5,0))</f>
        <v>FC</v>
      </c>
      <c r="I38" s="56"/>
      <c r="J38" s="66" t="str">
        <f>VLOOKUP(D38,[1]STS!$E$9:$BC$1359,51,0)</f>
        <v>F18SS</v>
      </c>
      <c r="K38" s="57"/>
      <c r="L38" s="78" t="str">
        <f>+VLOOKUP(N38,'[1]MSTR AKT'!$C$4:$E$460,3,0)</f>
        <v>Etri 2</v>
      </c>
      <c r="M38" s="79">
        <f>+IF(ISERROR(VLOOKUP($N38,'[1]MSTR AKT'!$C$4:$D$460,2,0)=0),0,VLOOKUP($N38,'[1]MSTR AKT'!$C$4:$D$460,2,0))</f>
        <v>1315131513</v>
      </c>
      <c r="N38" s="70" t="s">
        <v>8</v>
      </c>
      <c r="O38" s="58"/>
      <c r="P38" s="59">
        <v>46004</v>
      </c>
      <c r="Q38" s="100">
        <v>2</v>
      </c>
      <c r="R38" s="101">
        <v>5.59</v>
      </c>
      <c r="S38" s="102">
        <f t="shared" si="1"/>
        <v>560425.44999999995</v>
      </c>
    </row>
    <row r="39" spans="1:19" customFormat="1" x14ac:dyDescent="0.35">
      <c r="A39" s="55" t="s">
        <v>33</v>
      </c>
      <c r="B39" s="55" t="str">
        <f>+VLOOKUP($D39,[1]STS!$A$9:$E$1405,3,0)</f>
        <v>05</v>
      </c>
      <c r="C39" s="86">
        <f>+VLOOKUP($D39,[1]STS!$A$9:$E$1405,4,0)</f>
        <v>16</v>
      </c>
      <c r="D39" s="69" t="s">
        <v>230</v>
      </c>
      <c r="E39" s="97">
        <f>+IF(ISERROR(VLOOKUP($D39,[1]STS!$E$9:$G$1503,3,0)=0),0,VLOOKUP($D39,[1]STS!$E$9:$G$1503,3,0))</f>
        <v>3.03</v>
      </c>
      <c r="F39" s="98">
        <v>1.9695</v>
      </c>
      <c r="G39" s="99">
        <f>+IF(ISERROR(VLOOKUP(D39,[1]STS!$E$9:$AO$1503,37,0)=0),0,VLOOKUP(D39,[1]STS!$E$9:$AO$1503,37,0))</f>
        <v>8.6451851080246946</v>
      </c>
      <c r="H39" s="77" t="str">
        <f>+IF(ISERROR(VLOOKUP(D39,[1]STS!$E$9:$I$1503,5,0)=0),0,VLOOKUP(D39,[1]STS!$E$9:$I$1503,5,0))</f>
        <v>FC</v>
      </c>
      <c r="I39" s="56"/>
      <c r="J39" s="66" t="str">
        <f>VLOOKUP(D39,[1]STS!$E$9:$BC$1359,51,0)</f>
        <v>F18SS</v>
      </c>
      <c r="K39" s="57"/>
      <c r="L39" s="78" t="str">
        <f>+VLOOKUP(N39,'[1]MSTR AKT'!$C$4:$E$460,3,0)</f>
        <v>Etri 2</v>
      </c>
      <c r="M39" s="79">
        <f>+IF(ISERROR(VLOOKUP($N39,'[1]MSTR AKT'!$C$4:$D$460,2,0)=0),0,VLOOKUP($N39,'[1]MSTR AKT'!$C$4:$D$460,2,0))</f>
        <v>1315131513</v>
      </c>
      <c r="N39" s="70" t="s">
        <v>8</v>
      </c>
      <c r="O39" s="58"/>
      <c r="P39" s="59">
        <v>46004</v>
      </c>
      <c r="Q39" s="100">
        <v>2</v>
      </c>
      <c r="R39" s="101">
        <v>3.9390000000000001</v>
      </c>
      <c r="S39" s="102">
        <f t="shared" si="1"/>
        <v>394904.44500000001</v>
      </c>
    </row>
    <row r="40" spans="1:19" customFormat="1" x14ac:dyDescent="0.35">
      <c r="A40" s="55" t="s">
        <v>33</v>
      </c>
      <c r="B40" s="55" t="str">
        <f>+VLOOKUP($D40,[1]STS!$A$9:$E$1405,3,0)</f>
        <v>05</v>
      </c>
      <c r="C40" s="86">
        <f>+VLOOKUP($D40,[1]STS!$A$9:$E$1405,4,0)</f>
        <v>16</v>
      </c>
      <c r="D40" s="69" t="s">
        <v>231</v>
      </c>
      <c r="E40" s="97">
        <f>+IF(ISERROR(VLOOKUP($D40,[1]STS!$E$9:$G$1503,3,0)=0),0,VLOOKUP($D40,[1]STS!$E$9:$G$1503,3,0))</f>
        <v>2.79</v>
      </c>
      <c r="F40" s="98">
        <v>1.8135000000000001</v>
      </c>
      <c r="G40" s="99">
        <f>+IF(ISERROR(VLOOKUP(D40,[1]STS!$E$9:$AO$1503,37,0)=0),0,VLOOKUP(D40,[1]STS!$E$9:$AO$1503,37,0))</f>
        <v>8.6118517746913614</v>
      </c>
      <c r="H40" s="77" t="str">
        <f>+IF(ISERROR(VLOOKUP(D40,[1]STS!$E$9:$I$1503,5,0)=0),0,VLOOKUP(D40,[1]STS!$E$9:$I$1503,5,0))</f>
        <v>FC</v>
      </c>
      <c r="I40" s="56"/>
      <c r="J40" s="66" t="str">
        <f>VLOOKUP(D40,[1]STS!$E$9:$BC$1359,51,0)</f>
        <v>F18SS</v>
      </c>
      <c r="K40" s="57"/>
      <c r="L40" s="78" t="str">
        <f>+VLOOKUP(N40,'[1]MSTR AKT'!$C$4:$E$460,3,0)</f>
        <v>Etri 2</v>
      </c>
      <c r="M40" s="79">
        <f>+IF(ISERROR(VLOOKUP($N40,'[1]MSTR AKT'!$C$4:$D$460,2,0)=0),0,VLOOKUP($N40,'[1]MSTR AKT'!$C$4:$D$460,2,0))</f>
        <v>1315131513</v>
      </c>
      <c r="N40" s="70" t="s">
        <v>8</v>
      </c>
      <c r="O40" s="58"/>
      <c r="P40" s="59">
        <v>46004</v>
      </c>
      <c r="Q40" s="100">
        <v>2</v>
      </c>
      <c r="R40" s="101">
        <v>3.6270000000000002</v>
      </c>
      <c r="S40" s="102">
        <f t="shared" si="1"/>
        <v>363624.88500000001</v>
      </c>
    </row>
    <row r="41" spans="1:19" customFormat="1" x14ac:dyDescent="0.35">
      <c r="A41" s="55" t="s">
        <v>33</v>
      </c>
      <c r="B41" s="55" t="str">
        <f>+VLOOKUP($D41,[1]STS!$A$9:$E$1405,3,0)</f>
        <v>05</v>
      </c>
      <c r="C41" s="86">
        <f>+VLOOKUP($D41,[1]STS!$A$9:$E$1405,4,0)</f>
        <v>16</v>
      </c>
      <c r="D41" s="69" t="s">
        <v>232</v>
      </c>
      <c r="E41" s="97">
        <f>+IF(ISERROR(VLOOKUP($D41,[1]STS!$E$9:$G$1503,3,0)=0),0,VLOOKUP($D41,[1]STS!$E$9:$G$1503,3,0))</f>
        <v>2.83</v>
      </c>
      <c r="F41" s="98">
        <v>1.8395000000000001</v>
      </c>
      <c r="G41" s="99">
        <f>+IF(ISERROR(VLOOKUP(D41,[1]STS!$E$9:$AO$1503,37,0)=0),0,VLOOKUP(D41,[1]STS!$E$9:$AO$1503,37,0))</f>
        <v>8.5118517746913618</v>
      </c>
      <c r="H41" s="77" t="str">
        <f>+IF(ISERROR(VLOOKUP(D41,[1]STS!$E$9:$I$1503,5,0)=0),0,VLOOKUP(D41,[1]STS!$E$9:$I$1503,5,0))</f>
        <v>FC</v>
      </c>
      <c r="I41" s="56"/>
      <c r="J41" s="66" t="str">
        <f>VLOOKUP(D41,[1]STS!$E$9:$BC$1359,51,0)</f>
        <v>F18SS</v>
      </c>
      <c r="K41" s="57"/>
      <c r="L41" s="78" t="str">
        <f>+VLOOKUP(N41,'[1]MSTR AKT'!$C$4:$E$460,3,0)</f>
        <v>Etri 2</v>
      </c>
      <c r="M41" s="79">
        <f>+IF(ISERROR(VLOOKUP($N41,'[1]MSTR AKT'!$C$4:$D$460,2,0)=0),0,VLOOKUP($N41,'[1]MSTR AKT'!$C$4:$D$460,2,0))</f>
        <v>1315131513</v>
      </c>
      <c r="N41" s="70" t="s">
        <v>8</v>
      </c>
      <c r="O41" s="58"/>
      <c r="P41" s="59">
        <v>45999</v>
      </c>
      <c r="Q41" s="100">
        <v>2</v>
      </c>
      <c r="R41" s="101">
        <v>3.6790000000000003</v>
      </c>
      <c r="S41" s="102">
        <f t="shared" si="1"/>
        <v>368838.14500000002</v>
      </c>
    </row>
    <row r="42" spans="1:19" customFormat="1" x14ac:dyDescent="0.35">
      <c r="A42" s="55" t="s">
        <v>33</v>
      </c>
      <c r="B42" s="55" t="str">
        <f>+VLOOKUP($D42,[1]STS!$A$9:$E$1405,3,0)</f>
        <v>05</v>
      </c>
      <c r="C42" s="86">
        <f>+VLOOKUP($D42,[1]STS!$A$9:$E$1405,4,0)</f>
        <v>16</v>
      </c>
      <c r="D42" s="69" t="s">
        <v>64</v>
      </c>
      <c r="E42" s="97">
        <f>+IF(ISERROR(VLOOKUP($D42,[1]STS!$E$9:$G$1503,3,0)=0),0,VLOOKUP($D42,[1]STS!$E$9:$G$1503,3,0))</f>
        <v>13.08</v>
      </c>
      <c r="F42" s="98">
        <v>8.5020000000000007</v>
      </c>
      <c r="G42" s="99">
        <f>+IF(ISERROR(VLOOKUP(D42,[1]STS!$E$9:$AO$1503,37,0)=0),0,VLOOKUP(D42,[1]STS!$E$9:$AO$1503,37,0))</f>
        <v>2.2118517746913615</v>
      </c>
      <c r="H42" s="77" t="str">
        <f>+IF(ISERROR(VLOOKUP(D42,[1]STS!$E$9:$I$1503,5,0)=0),0,VLOOKUP(D42,[1]STS!$E$9:$I$1503,5,0))</f>
        <v>SC</v>
      </c>
      <c r="I42" s="56"/>
      <c r="J42" s="66" t="str">
        <f>VLOOKUP(D42,[1]STS!$E$9:$BC$1359,51,0)</f>
        <v>F18</v>
      </c>
      <c r="K42" s="57"/>
      <c r="L42" s="78" t="str">
        <f>+VLOOKUP(N42,'[1]MSTR AKT'!$C$4:$E$460,3,0)</f>
        <v>Etri 2</v>
      </c>
      <c r="M42" s="79">
        <f>+IF(ISERROR(VLOOKUP($N42,'[1]MSTR AKT'!$C$4:$D$460,2,0)=0),0,VLOOKUP($N42,'[1]MSTR AKT'!$C$4:$D$460,2,0))</f>
        <v>1315131513</v>
      </c>
      <c r="N42" s="70" t="s">
        <v>8</v>
      </c>
      <c r="O42" s="58"/>
      <c r="P42" s="59">
        <v>46002</v>
      </c>
      <c r="Q42" s="100">
        <v>2</v>
      </c>
      <c r="R42" s="101">
        <v>17.004000000000001</v>
      </c>
      <c r="S42" s="102">
        <f t="shared" si="1"/>
        <v>1704736.02</v>
      </c>
    </row>
    <row r="43" spans="1:19" customFormat="1" x14ac:dyDescent="0.35">
      <c r="A43" s="55" t="s">
        <v>33</v>
      </c>
      <c r="B43" s="55" t="str">
        <f>+VLOOKUP($D43,[1]STS!$A$9:$E$1405,3,0)</f>
        <v>05</v>
      </c>
      <c r="C43" s="86">
        <f>+VLOOKUP($D43,[1]STS!$A$9:$E$1405,4,0)</f>
        <v>16</v>
      </c>
      <c r="D43" s="69" t="s">
        <v>111</v>
      </c>
      <c r="E43" s="97">
        <f>+IF(ISERROR(VLOOKUP($D43,[1]STS!$E$9:$G$1503,3,0)=0),0,VLOOKUP($D43,[1]STS!$E$9:$G$1503,3,0))</f>
        <v>3.73</v>
      </c>
      <c r="F43" s="98">
        <v>2.4245000000000001</v>
      </c>
      <c r="G43" s="99">
        <f>+IF(ISERROR(VLOOKUP(D43,[1]STS!$E$9:$AO$1503,37,0)=0),0,VLOOKUP(D43,[1]STS!$E$9:$AO$1503,37,0))</f>
        <v>6.711851774691362</v>
      </c>
      <c r="H43" s="77" t="str">
        <f>+IF(ISERROR(VLOOKUP(D43,[1]STS!$E$9:$I$1503,5,0)=0),0,VLOOKUP(D43,[1]STS!$E$9:$I$1503,5,0))</f>
        <v>FC</v>
      </c>
      <c r="I43" s="56"/>
      <c r="J43" s="66" t="str">
        <f>VLOOKUP(D43,[1]STS!$E$9:$BC$1359,51,0)</f>
        <v>F18SS</v>
      </c>
      <c r="K43" s="57"/>
      <c r="L43" s="78" t="str">
        <f>+VLOOKUP(N43,'[1]MSTR AKT'!$C$4:$E$460,3,0)</f>
        <v>Etri 2</v>
      </c>
      <c r="M43" s="79">
        <f>+IF(ISERROR(VLOOKUP($N43,'[1]MSTR AKT'!$C$4:$D$460,2,0)=0),0,VLOOKUP($N43,'[1]MSTR AKT'!$C$4:$D$460,2,0))</f>
        <v>1315131513</v>
      </c>
      <c r="N43" s="70" t="s">
        <v>8</v>
      </c>
      <c r="O43" s="58"/>
      <c r="P43" s="58">
        <v>46004</v>
      </c>
      <c r="Q43" s="100">
        <v>2</v>
      </c>
      <c r="R43" s="101">
        <v>4.8490000000000002</v>
      </c>
      <c r="S43" s="102">
        <f t="shared" si="1"/>
        <v>486136.495</v>
      </c>
    </row>
    <row r="44" spans="1:19" customFormat="1" x14ac:dyDescent="0.35">
      <c r="A44" s="55" t="s">
        <v>33</v>
      </c>
      <c r="B44" s="55" t="str">
        <f>+VLOOKUP($D44,[1]STS!$A$9:$E$1405,3,0)</f>
        <v>05</v>
      </c>
      <c r="C44" s="86">
        <f>+VLOOKUP($D44,[1]STS!$A$9:$E$1405,4,0)</f>
        <v>16</v>
      </c>
      <c r="D44" s="69" t="s">
        <v>167</v>
      </c>
      <c r="E44" s="97">
        <f>+IF(ISERROR(VLOOKUP($D44,[1]STS!$E$9:$G$1503,3,0)=0),0,VLOOKUP($D44,[1]STS!$E$9:$G$1503,3,0))</f>
        <v>5.75</v>
      </c>
      <c r="F44" s="98">
        <v>3.7375000000000003</v>
      </c>
      <c r="G44" s="99">
        <f>+IF(ISERROR(VLOOKUP(D44,[1]STS!$E$9:$AO$1503,37,0)=0),0,VLOOKUP(D44,[1]STS!$E$9:$AO$1503,37,0))</f>
        <v>6.0785184413580282</v>
      </c>
      <c r="H44" s="77" t="str">
        <f>+IF(ISERROR(VLOOKUP(D44,[1]STS!$E$9:$I$1503,5,0)=0),0,VLOOKUP(D44,[1]STS!$E$9:$I$1503,5,0))</f>
        <v>FC</v>
      </c>
      <c r="I44" s="56"/>
      <c r="J44" s="66" t="str">
        <f>VLOOKUP(D44,[1]STS!$E$9:$BC$1359,51,0)</f>
        <v>F18SS</v>
      </c>
      <c r="K44" s="57"/>
      <c r="L44" s="78" t="str">
        <f>+VLOOKUP(N44,'[1]MSTR AKT'!$C$4:$E$460,3,0)</f>
        <v>Etri 2</v>
      </c>
      <c r="M44" s="79">
        <f>+IF(ISERROR(VLOOKUP($N44,'[1]MSTR AKT'!$C$4:$D$460,2,0)=0),0,VLOOKUP($N44,'[1]MSTR AKT'!$C$4:$D$460,2,0))</f>
        <v>1315131513</v>
      </c>
      <c r="N44" s="70" t="s">
        <v>8</v>
      </c>
      <c r="O44" s="58"/>
      <c r="P44" s="58">
        <v>46004</v>
      </c>
      <c r="Q44" s="100">
        <v>2</v>
      </c>
      <c r="R44" s="101">
        <v>7.4750000000000005</v>
      </c>
      <c r="S44" s="102">
        <f t="shared" si="1"/>
        <v>749406.125</v>
      </c>
    </row>
    <row r="45" spans="1:19" customFormat="1" x14ac:dyDescent="0.35">
      <c r="A45" s="55" t="s">
        <v>33</v>
      </c>
      <c r="B45" s="55" t="str">
        <f>+VLOOKUP($D45,[1]STS!$A$9:$E$1405,3,0)</f>
        <v>05</v>
      </c>
      <c r="C45" s="86">
        <f>+VLOOKUP($D45,[1]STS!$A$9:$E$1405,4,0)</f>
        <v>16</v>
      </c>
      <c r="D45" s="69" t="s">
        <v>112</v>
      </c>
      <c r="E45" s="97">
        <f>+IF(ISERROR(VLOOKUP($D45,[1]STS!$E$9:$G$1503,3,0)=0),0,VLOOKUP($D45,[1]STS!$E$9:$G$1503,3,0))</f>
        <v>3.45</v>
      </c>
      <c r="F45" s="98">
        <v>2.2425000000000002</v>
      </c>
      <c r="G45" s="99">
        <f>+IF(ISERROR(VLOOKUP(D45,[1]STS!$E$9:$AO$1503,37,0)=0),0,VLOOKUP(D45,[1]STS!$E$9:$AO$1503,37,0))</f>
        <v>6.4451851080246945</v>
      </c>
      <c r="H45" s="77" t="str">
        <f>+IF(ISERROR(VLOOKUP(D45,[1]STS!$E$9:$I$1503,5,0)=0),0,VLOOKUP(D45,[1]STS!$E$9:$I$1503,5,0))</f>
        <v>FC</v>
      </c>
      <c r="I45" s="56"/>
      <c r="J45" s="66" t="str">
        <f>VLOOKUP(D45,[1]STS!$E$9:$BC$1359,51,0)</f>
        <v>F18SS</v>
      </c>
      <c r="K45" s="57"/>
      <c r="L45" s="78" t="str">
        <f>+VLOOKUP(N45,'[1]MSTR AKT'!$C$4:$E$460,3,0)</f>
        <v>Etri 2</v>
      </c>
      <c r="M45" s="79">
        <f>+IF(ISERROR(VLOOKUP($N45,'[1]MSTR AKT'!$C$4:$D$460,2,0)=0),0,VLOOKUP($N45,'[1]MSTR AKT'!$C$4:$D$460,2,0))</f>
        <v>1315131513</v>
      </c>
      <c r="N45" s="70" t="s">
        <v>8</v>
      </c>
      <c r="O45" s="58"/>
      <c r="P45" s="59">
        <v>46004</v>
      </c>
      <c r="Q45" s="100">
        <v>2</v>
      </c>
      <c r="R45" s="101">
        <v>4.4850000000000003</v>
      </c>
      <c r="S45" s="102">
        <f t="shared" si="1"/>
        <v>449643.67500000005</v>
      </c>
    </row>
    <row r="46" spans="1:19" x14ac:dyDescent="0.35">
      <c r="A46" s="55" t="s">
        <v>33</v>
      </c>
      <c r="B46" s="55" t="str">
        <f>+VLOOKUP($D46,[1]STS!$A$9:$E$1405,3,0)</f>
        <v>05</v>
      </c>
      <c r="C46" s="86">
        <f>+VLOOKUP($D46,[1]STS!$A$9:$E$1405,4,0)</f>
        <v>16</v>
      </c>
      <c r="D46" s="69" t="s">
        <v>239</v>
      </c>
      <c r="E46" s="97">
        <f>+IF(ISERROR(VLOOKUP($D46,[1]STS!$E$9:$G$1503,3,0)=0),0,VLOOKUP($D46,[1]STS!$E$9:$G$1503,3,0))</f>
        <v>10.29</v>
      </c>
      <c r="F46" s="98">
        <v>6.0839999999999996</v>
      </c>
      <c r="G46" s="99">
        <f>+IF(ISERROR(VLOOKUP(D46,[1]STS!$E$9:$AO$1503,37,0)=0),0,VLOOKUP(D46,[1]STS!$E$9:$AO$1503,37,0))</f>
        <v>0.97851844135802823</v>
      </c>
      <c r="H46" s="77" t="str">
        <f>+IF(ISERROR(VLOOKUP(D46,[1]STS!$E$9:$I$1503,5,0)=0),0,VLOOKUP(D46,[1]STS!$E$9:$I$1503,5,0))</f>
        <v>FC</v>
      </c>
      <c r="I46" s="56"/>
      <c r="J46" s="66" t="str">
        <f>VLOOKUP(D46,[1]STS!$E$9:$BC$1359,51,0)</f>
        <v>GP3CK</v>
      </c>
      <c r="K46" s="57"/>
      <c r="L46" s="78" t="str">
        <f>+VLOOKUP(N46,'[1]MSTR AKT'!$C$4:$E$460,3,0)</f>
        <v>Etri 2</v>
      </c>
      <c r="M46" s="79">
        <f>+IF(ISERROR(VLOOKUP($N46,'[1]MSTR AKT'!$C$4:$D$460,2,0)=0),0,VLOOKUP($N46,'[1]MSTR AKT'!$C$4:$D$460,2,0))</f>
        <v>1315131513</v>
      </c>
      <c r="N46" s="70" t="s">
        <v>8</v>
      </c>
      <c r="O46" s="58"/>
      <c r="P46" s="59">
        <v>46002</v>
      </c>
      <c r="Q46" s="100">
        <v>2</v>
      </c>
      <c r="R46" s="101">
        <v>12.167999999999999</v>
      </c>
      <c r="S46" s="102">
        <f t="shared" si="1"/>
        <v>1219902.8399999999</v>
      </c>
    </row>
    <row r="47" spans="1:19" x14ac:dyDescent="0.35">
      <c r="A47" s="55" t="s">
        <v>33</v>
      </c>
      <c r="B47" s="55" t="str">
        <f>+VLOOKUP($D47,[1]STS!$A$9:$E$1405,3,0)</f>
        <v>05</v>
      </c>
      <c r="C47" s="86">
        <f>+VLOOKUP($D47,[1]STS!$A$9:$E$1405,4,0)</f>
        <v>16</v>
      </c>
      <c r="D47" s="69" t="s">
        <v>166</v>
      </c>
      <c r="E47" s="97">
        <f>+IF(ISERROR(VLOOKUP($D47,[1]STS!$E$9:$G$1503,3,0)=0),0,VLOOKUP($D47,[1]STS!$E$9:$G$1503,3,0))</f>
        <v>11.52</v>
      </c>
      <c r="F47" s="98">
        <v>7.4879999999999995</v>
      </c>
      <c r="G47" s="99">
        <f>+IF(ISERROR(VLOOKUP(D47,[1]STS!$E$9:$AO$1503,37,0)=0),0,VLOOKUP(D47,[1]STS!$E$9:$AO$1503,37,0))</f>
        <v>4.6118517746913614</v>
      </c>
      <c r="H47" s="77" t="str">
        <f>+IF(ISERROR(VLOOKUP(D47,[1]STS!$E$9:$I$1503,5,0)=0),0,VLOOKUP(D47,[1]STS!$E$9:$I$1503,5,0))</f>
        <v>FC</v>
      </c>
      <c r="I47" s="56"/>
      <c r="J47" s="66" t="str">
        <f>VLOOKUP(D47,[1]STS!$E$9:$BC$1359,51,0)</f>
        <v>F18SB</v>
      </c>
      <c r="K47" s="57"/>
      <c r="L47" s="78" t="str">
        <f>+VLOOKUP(N47,'[1]MSTR AKT'!$C$4:$E$460,3,0)</f>
        <v>Etri 2</v>
      </c>
      <c r="M47" s="79">
        <f>+IF(ISERROR(VLOOKUP($N47,'[1]MSTR AKT'!$C$4:$D$460,2,0)=0),0,VLOOKUP($N47,'[1]MSTR AKT'!$C$4:$D$460,2,0))</f>
        <v>1315131513</v>
      </c>
      <c r="N47" s="70" t="s">
        <v>8</v>
      </c>
      <c r="O47" s="58"/>
      <c r="P47" s="58">
        <v>46004</v>
      </c>
      <c r="Q47" s="100">
        <v>2</v>
      </c>
      <c r="R47" s="101">
        <v>14.975999999999999</v>
      </c>
      <c r="S47" s="102">
        <f t="shared" si="1"/>
        <v>1501418.88</v>
      </c>
    </row>
    <row r="48" spans="1:19" x14ac:dyDescent="0.35">
      <c r="A48" s="55" t="s">
        <v>33</v>
      </c>
      <c r="B48" s="55" t="str">
        <f>+VLOOKUP($D48,[1]STS!$A$9:$E$1405,3,0)</f>
        <v>05</v>
      </c>
      <c r="C48" s="86">
        <f>+VLOOKUP($D48,[1]STS!$A$9:$E$1405,4,0)</f>
        <v>16</v>
      </c>
      <c r="D48" s="69" t="s">
        <v>238</v>
      </c>
      <c r="E48" s="97">
        <f>+IF(ISERROR(VLOOKUP($D48,[1]STS!$E$9:$G$1503,3,0)=0),0,VLOOKUP($D48,[1]STS!$E$9:$G$1503,3,0))</f>
        <v>9.14</v>
      </c>
      <c r="F48" s="98">
        <v>5.3430000000000009</v>
      </c>
      <c r="G48" s="99">
        <f>+IF(ISERROR(VLOOKUP(D48,[1]STS!$E$9:$AO$1503,37,0)=0),0,VLOOKUP(D48,[1]STS!$E$9:$AO$1503,37,0))</f>
        <v>1.0785184413580282</v>
      </c>
      <c r="H48" s="77" t="str">
        <f>+IF(ISERROR(VLOOKUP(D48,[1]STS!$E$9:$I$1503,5,0)=0),0,VLOOKUP(D48,[1]STS!$E$9:$I$1503,5,0))</f>
        <v>ST</v>
      </c>
      <c r="I48" s="56"/>
      <c r="J48" s="66" t="str">
        <f>VLOOKUP(D48,[1]STS!$E$9:$BC$1359,51,0)</f>
        <v>F18</v>
      </c>
      <c r="K48" s="57"/>
      <c r="L48" s="78" t="str">
        <f>+VLOOKUP(N48,'[1]MSTR AKT'!$C$4:$E$460,3,0)</f>
        <v>Etri 2</v>
      </c>
      <c r="M48" s="79">
        <f>+IF(ISERROR(VLOOKUP($N48,'[1]MSTR AKT'!$C$4:$D$460,2,0)=0),0,VLOOKUP($N48,'[1]MSTR AKT'!$C$4:$D$460,2,0))</f>
        <v>1315131513</v>
      </c>
      <c r="N48" s="70" t="s">
        <v>8</v>
      </c>
      <c r="O48" s="58"/>
      <c r="P48" s="58">
        <v>46004</v>
      </c>
      <c r="Q48" s="100">
        <v>2</v>
      </c>
      <c r="R48" s="101">
        <v>10.686000000000002</v>
      </c>
      <c r="S48" s="102">
        <f t="shared" si="1"/>
        <v>1071324.9300000002</v>
      </c>
    </row>
    <row r="49" spans="1:19" x14ac:dyDescent="0.35">
      <c r="A49" s="55" t="s">
        <v>33</v>
      </c>
      <c r="B49" s="55" t="str">
        <f>+VLOOKUP($D49,[1]STS!$A$9:$E$1405,3,0)</f>
        <v>05</v>
      </c>
      <c r="C49" s="86">
        <f>+VLOOKUP($D49,[1]STS!$A$9:$E$1405,4,0)</f>
        <v>16</v>
      </c>
      <c r="D49" s="69" t="s">
        <v>228</v>
      </c>
      <c r="E49" s="97">
        <f>+IF(ISERROR(VLOOKUP($D49,[1]STS!$E$9:$G$1503,3,0)=0),0,VLOOKUP($D49,[1]STS!$E$9:$G$1503,3,0))</f>
        <v>13.16</v>
      </c>
      <c r="F49" s="98">
        <v>8.5540000000000003</v>
      </c>
      <c r="G49" s="99">
        <f>+IF(ISERROR(VLOOKUP(D49,[1]STS!$E$9:$AO$1503,37,0)=0),0,VLOOKUP(D49,[1]STS!$E$9:$AO$1503,37,0))</f>
        <v>4.4785184413580286</v>
      </c>
      <c r="H49" s="77" t="str">
        <f>+IF(ISERROR(VLOOKUP(D49,[1]STS!$E$9:$I$1503,5,0)=0),0,VLOOKUP(D49,[1]STS!$E$9:$I$1503,5,0))</f>
        <v>SC</v>
      </c>
      <c r="I49" s="56"/>
      <c r="J49" s="66" t="str">
        <f>VLOOKUP(D49,[1]STS!$E$9:$BC$1359,51,0)</f>
        <v>F18</v>
      </c>
      <c r="K49" s="57"/>
      <c r="L49" s="78" t="str">
        <f>+VLOOKUP(N49,'[1]MSTR AKT'!$C$4:$E$460,3,0)</f>
        <v>Etri 2</v>
      </c>
      <c r="M49" s="79">
        <f>+IF(ISERROR(VLOOKUP($N49,'[1]MSTR AKT'!$C$4:$D$460,2,0)=0),0,VLOOKUP($N49,'[1]MSTR AKT'!$C$4:$D$460,2,0))</f>
        <v>1315131315</v>
      </c>
      <c r="N49" s="70" t="s">
        <v>7</v>
      </c>
      <c r="O49" s="58"/>
      <c r="P49" s="59">
        <v>46004</v>
      </c>
      <c r="Q49" s="100">
        <v>0.35071311667056349</v>
      </c>
      <c r="R49" s="101">
        <v>3</v>
      </c>
      <c r="S49" s="102">
        <f t="shared" si="1"/>
        <v>300765</v>
      </c>
    </row>
    <row r="50" spans="1:19" x14ac:dyDescent="0.35">
      <c r="A50" s="55" t="s">
        <v>33</v>
      </c>
      <c r="B50" s="55" t="str">
        <f>+VLOOKUP($D50,[1]STS!$A$9:$E$1405,3,0)</f>
        <v>05</v>
      </c>
      <c r="C50" s="86">
        <f>+VLOOKUP($D50,[1]STS!$A$9:$E$1405,4,0)</f>
        <v>16</v>
      </c>
      <c r="D50" s="69" t="s">
        <v>70</v>
      </c>
      <c r="E50" s="97">
        <f>+IF(ISERROR(VLOOKUP($D50,[1]STS!$E$9:$G$1503,3,0)=0),0,VLOOKUP($D50,[1]STS!$E$9:$G$1503,3,0))</f>
        <v>8.58</v>
      </c>
      <c r="F50" s="98">
        <v>5.577</v>
      </c>
      <c r="G50" s="99">
        <f>+IF(ISERROR(VLOOKUP(D50,[1]STS!$E$9:$AO$1503,37,0)=0),0,VLOOKUP(D50,[1]STS!$E$9:$AO$1503,37,0))</f>
        <v>6.3451851080246948</v>
      </c>
      <c r="H50" s="77" t="str">
        <f>+IF(ISERROR(VLOOKUP(D50,[1]STS!$E$9:$I$1503,5,0)=0),0,VLOOKUP(D50,[1]STS!$E$9:$I$1503,5,0))</f>
        <v>SC</v>
      </c>
      <c r="I50" s="56"/>
      <c r="J50" s="66" t="str">
        <f>VLOOKUP(D50,[1]STS!$E$9:$BC$1359,51,0)</f>
        <v>F18</v>
      </c>
      <c r="K50" s="57"/>
      <c r="L50" s="78" t="str">
        <f>+VLOOKUP(N50,'[1]MSTR AKT'!$C$4:$E$460,3,0)</f>
        <v>Etri 2</v>
      </c>
      <c r="M50" s="79">
        <f>+IF(ISERROR(VLOOKUP($N50,'[1]MSTR AKT'!$C$4:$D$460,2,0)=0),0,VLOOKUP($N50,'[1]MSTR AKT'!$C$4:$D$460,2,0))</f>
        <v>1315131315</v>
      </c>
      <c r="N50" s="70" t="s">
        <v>7</v>
      </c>
      <c r="O50" s="58"/>
      <c r="P50" s="59">
        <v>46004</v>
      </c>
      <c r="Q50" s="100">
        <v>0.53792361484669182</v>
      </c>
      <c r="R50" s="101">
        <v>3</v>
      </c>
      <c r="S50" s="102">
        <f t="shared" si="1"/>
        <v>300765</v>
      </c>
    </row>
    <row r="51" spans="1:19" x14ac:dyDescent="0.35">
      <c r="A51" s="55" t="s">
        <v>33</v>
      </c>
      <c r="B51" s="55" t="str">
        <f>+VLOOKUP($D51,[1]STS!$A$9:$E$1405,3,0)</f>
        <v>05</v>
      </c>
      <c r="C51" s="86">
        <f>+VLOOKUP($D51,[1]STS!$A$9:$E$1405,4,0)</f>
        <v>16</v>
      </c>
      <c r="D51" s="69" t="s">
        <v>59</v>
      </c>
      <c r="E51" s="97">
        <f>+IF(ISERROR(VLOOKUP($D51,[1]STS!$E$9:$G$1503,3,0)=0),0,VLOOKUP($D51,[1]STS!$E$9:$G$1503,3,0))</f>
        <v>7.89</v>
      </c>
      <c r="F51" s="98">
        <v>5.1284999999999998</v>
      </c>
      <c r="G51" s="99">
        <f>+IF(ISERROR(VLOOKUP(D51,[1]STS!$E$9:$AO$1503,37,0)=0),0,VLOOKUP(D51,[1]STS!$E$9:$AO$1503,37,0))</f>
        <v>3.6785184413580283</v>
      </c>
      <c r="H51" s="77" t="str">
        <f>+IF(ISERROR(VLOOKUP(D51,[1]STS!$E$9:$I$1503,5,0)=0),0,VLOOKUP(D51,[1]STS!$E$9:$I$1503,5,0))</f>
        <v>SC</v>
      </c>
      <c r="I51" s="56"/>
      <c r="J51" s="66" t="str">
        <f>VLOOKUP(D51,[1]STS!$E$9:$BC$1359,51,0)</f>
        <v>F18</v>
      </c>
      <c r="K51" s="57"/>
      <c r="L51" s="78" t="str">
        <f>+VLOOKUP(N51,'[1]MSTR AKT'!$C$4:$E$460,3,0)</f>
        <v>Etri 2</v>
      </c>
      <c r="M51" s="79">
        <f>+IF(ISERROR(VLOOKUP($N51,'[1]MSTR AKT'!$C$4:$D$460,2,0)=0),0,VLOOKUP($N51,'[1]MSTR AKT'!$C$4:$D$460,2,0))</f>
        <v>1315131315</v>
      </c>
      <c r="N51" s="70" t="s">
        <v>7</v>
      </c>
      <c r="O51" s="58"/>
      <c r="P51" s="59">
        <v>46004</v>
      </c>
      <c r="Q51" s="100">
        <v>0.58496636443404504</v>
      </c>
      <c r="R51" s="101">
        <v>3</v>
      </c>
      <c r="S51" s="102">
        <f t="shared" si="1"/>
        <v>300765</v>
      </c>
    </row>
    <row r="52" spans="1:19" x14ac:dyDescent="0.35">
      <c r="A52" s="55" t="s">
        <v>33</v>
      </c>
      <c r="B52" s="55" t="str">
        <f>+VLOOKUP($D52,[1]STS!$A$9:$E$1405,3,0)</f>
        <v>05</v>
      </c>
      <c r="C52" s="86">
        <f>+VLOOKUP($D52,[1]STS!$A$9:$E$1405,4,0)</f>
        <v>16</v>
      </c>
      <c r="D52" s="69" t="s">
        <v>227</v>
      </c>
      <c r="E52" s="97">
        <f>+IF(ISERROR(VLOOKUP($D52,[1]STS!$E$9:$G$1503,3,0)=0),0,VLOOKUP($D52,[1]STS!$E$9:$G$1503,3,0))</f>
        <v>10.02</v>
      </c>
      <c r="F52" s="98">
        <v>6.5129999999999999</v>
      </c>
      <c r="G52" s="99">
        <f>+IF(ISERROR(VLOOKUP(D52,[1]STS!$E$9:$AO$1503,37,0)=0),0,VLOOKUP(D52,[1]STS!$E$9:$AO$1503,37,0))</f>
        <v>12.311851774691361</v>
      </c>
      <c r="H52" s="77" t="str">
        <f>+IF(ISERROR(VLOOKUP(D52,[1]STS!$E$9:$I$1503,5,0)=0),0,VLOOKUP(D52,[1]STS!$E$9:$I$1503,5,0))</f>
        <v>FC</v>
      </c>
      <c r="I52" s="56"/>
      <c r="J52" s="66" t="str">
        <f>VLOOKUP(D52,[1]STS!$E$9:$BC$1359,51,0)</f>
        <v>GP3CK</v>
      </c>
      <c r="K52" s="57"/>
      <c r="L52" s="78" t="str">
        <f>+VLOOKUP(N52,'[1]MSTR AKT'!$C$4:$E$460,3,0)</f>
        <v>Etri 2</v>
      </c>
      <c r="M52" s="79">
        <f>+IF(ISERROR(VLOOKUP($N52,'[1]MSTR AKT'!$C$4:$D$460,2,0)=0),0,VLOOKUP($N52,'[1]MSTR AKT'!$C$4:$D$460,2,0))</f>
        <v>1315131315</v>
      </c>
      <c r="N52" s="70" t="s">
        <v>7</v>
      </c>
      <c r="O52" s="58"/>
      <c r="P52" s="58">
        <v>46004</v>
      </c>
      <c r="Q52" s="100">
        <v>0.46061722708429298</v>
      </c>
      <c r="R52" s="101">
        <v>3</v>
      </c>
      <c r="S52" s="102">
        <f>+R52*100255</f>
        <v>300765</v>
      </c>
    </row>
    <row r="53" spans="1:19" x14ac:dyDescent="0.35">
      <c r="A53" s="55" t="s">
        <v>33</v>
      </c>
      <c r="B53" s="55" t="str">
        <f>+VLOOKUP($D53,[1]STS!$A$9:$E$1405,3,0)</f>
        <v>05</v>
      </c>
      <c r="C53" s="86">
        <f>+VLOOKUP($D53,[1]STS!$A$9:$E$1405,4,0)</f>
        <v>16</v>
      </c>
      <c r="D53" s="69" t="s">
        <v>164</v>
      </c>
      <c r="E53" s="97">
        <f>+IF(ISERROR(VLOOKUP($D53,[1]STS!$E$9:$G$1503,3,0)=0),0,VLOOKUP($D53,[1]STS!$E$9:$G$1503,3,0))</f>
        <v>4.42</v>
      </c>
      <c r="F53" s="98">
        <v>2.8730000000000002</v>
      </c>
      <c r="G53" s="99">
        <f>+IF(ISERROR(VLOOKUP(D53,[1]STS!$E$9:$AO$1503,37,0)=0),0,VLOOKUP(D53,[1]STS!$E$9:$AO$1503,37,0))</f>
        <v>12.311851774691361</v>
      </c>
      <c r="H53" s="77" t="str">
        <f>+IF(ISERROR(VLOOKUP(D53,[1]STS!$E$9:$I$1503,5,0)=0),0,VLOOKUP(D53,[1]STS!$E$9:$I$1503,5,0))</f>
        <v>FC</v>
      </c>
      <c r="I53" s="56"/>
      <c r="J53" s="66" t="str">
        <f>VLOOKUP(D53,[1]STS!$E$9:$BC$1359,51,0)</f>
        <v>F18CK</v>
      </c>
      <c r="K53" s="57"/>
      <c r="L53" s="78" t="str">
        <f>+VLOOKUP(N53,'[1]MSTR AKT'!$C$4:$E$460,3,0)</f>
        <v>Etri 2</v>
      </c>
      <c r="M53" s="79">
        <f>+IF(ISERROR(VLOOKUP($N53,'[1]MSTR AKT'!$C$4:$D$460,2,0)=0),0,VLOOKUP($N53,'[1]MSTR AKT'!$C$4:$D$460,2,0))</f>
        <v>1315131315</v>
      </c>
      <c r="N53" s="70" t="s">
        <v>7</v>
      </c>
      <c r="O53" s="58"/>
      <c r="P53" s="58">
        <v>46004</v>
      </c>
      <c r="Q53" s="100">
        <v>1.0442046641141662</v>
      </c>
      <c r="R53" s="101">
        <v>3</v>
      </c>
      <c r="S53" s="102">
        <f>+R53*100255</f>
        <v>300765</v>
      </c>
    </row>
    <row r="54" spans="1:19" x14ac:dyDescent="0.35">
      <c r="A54" s="55" t="s">
        <v>33</v>
      </c>
      <c r="B54" s="55" t="str">
        <f>+VLOOKUP($D54,[1]STS!$A$9:$E$1405,3,0)</f>
        <v>05</v>
      </c>
      <c r="C54" s="86">
        <f>+VLOOKUP($D54,[1]STS!$A$9:$E$1405,4,0)</f>
        <v>16</v>
      </c>
      <c r="D54" s="69" t="s">
        <v>170</v>
      </c>
      <c r="E54" s="97">
        <f>+IF(ISERROR(VLOOKUP($D54,[1]STS!$E$9:$G$1503,3,0)=0),0,VLOOKUP($D54,[1]STS!$E$9:$G$1503,3,0))</f>
        <v>4.38</v>
      </c>
      <c r="F54" s="98">
        <v>2.847</v>
      </c>
      <c r="G54" s="99">
        <f>+IF(ISERROR(VLOOKUP(D54,[1]STS!$E$9:$AO$1503,37,0)=0),0,VLOOKUP(D54,[1]STS!$E$9:$AO$1503,37,0))</f>
        <v>11.978518441358029</v>
      </c>
      <c r="H54" s="77" t="str">
        <f>+IF(ISERROR(VLOOKUP(D54,[1]STS!$E$9:$I$1503,5,0)=0),0,VLOOKUP(D54,[1]STS!$E$9:$I$1503,5,0))</f>
        <v>FC</v>
      </c>
      <c r="I54" s="56"/>
      <c r="J54" s="66" t="str">
        <f>VLOOKUP(D54,[1]STS!$E$9:$BC$1359,51,0)</f>
        <v>F18CK</v>
      </c>
      <c r="K54" s="57"/>
      <c r="L54" s="78" t="str">
        <f>+VLOOKUP(N54,'[1]MSTR AKT'!$C$4:$E$460,3,0)</f>
        <v>Etri 2</v>
      </c>
      <c r="M54" s="79">
        <f>+IF(ISERROR(VLOOKUP($N54,'[1]MSTR AKT'!$C$4:$D$460,2,0)=0),0,VLOOKUP($N54,'[1]MSTR AKT'!$C$4:$D$460,2,0))</f>
        <v>1315131315</v>
      </c>
      <c r="N54" s="70" t="s">
        <v>7</v>
      </c>
      <c r="O54" s="58"/>
      <c r="P54" s="58">
        <v>46004</v>
      </c>
      <c r="Q54" s="100">
        <v>1.053740779768177</v>
      </c>
      <c r="R54" s="101">
        <v>3</v>
      </c>
      <c r="S54" s="102">
        <f>+R54*100255</f>
        <v>300765</v>
      </c>
    </row>
    <row r="55" spans="1:19" x14ac:dyDescent="0.35">
      <c r="A55" s="55" t="s">
        <v>33</v>
      </c>
      <c r="B55" s="55" t="str">
        <f>+VLOOKUP($D55,[1]STS!$A$9:$E$1405,3,0)</f>
        <v>05</v>
      </c>
      <c r="C55" s="86">
        <f>+VLOOKUP($D55,[1]STS!$A$9:$E$1405,4,0)</f>
        <v>16</v>
      </c>
      <c r="D55" s="69" t="s">
        <v>165</v>
      </c>
      <c r="E55" s="97">
        <f>+IF(ISERROR(VLOOKUP($D55,[1]STS!$E$9:$G$1503,3,0)=0),0,VLOOKUP($D55,[1]STS!$E$9:$G$1503,3,0))</f>
        <v>4.58</v>
      </c>
      <c r="F55" s="98">
        <v>2.9770000000000003</v>
      </c>
      <c r="G55" s="99">
        <f>+IF(ISERROR(VLOOKUP(D55,[1]STS!$E$9:$AO$1503,37,0)=0),0,VLOOKUP(D55,[1]STS!$E$9:$AO$1503,37,0))</f>
        <v>12.445185108024695</v>
      </c>
      <c r="H55" s="77" t="str">
        <f>+IF(ISERROR(VLOOKUP(D55,[1]STS!$E$9:$I$1503,5,0)=0),0,VLOOKUP(D55,[1]STS!$E$9:$I$1503,5,0))</f>
        <v>FC</v>
      </c>
      <c r="I55" s="56"/>
      <c r="J55" s="66" t="str">
        <f>VLOOKUP(D55,[1]STS!$E$9:$BC$1359,51,0)</f>
        <v>F18CK</v>
      </c>
      <c r="K55" s="57"/>
      <c r="L55" s="78" t="str">
        <f>+VLOOKUP(N55,'[1]MSTR AKT'!$C$4:$E$460,3,0)</f>
        <v>Etri 2</v>
      </c>
      <c r="M55" s="79">
        <f>+IF(ISERROR(VLOOKUP($N55,'[1]MSTR AKT'!$C$4:$D$460,2,0)=0),0,VLOOKUP($N55,'[1]MSTR AKT'!$C$4:$D$460,2,0))</f>
        <v>1315131315</v>
      </c>
      <c r="N55" s="70" t="s">
        <v>7</v>
      </c>
      <c r="O55" s="58"/>
      <c r="P55" s="58">
        <v>46004</v>
      </c>
      <c r="Q55" s="100">
        <v>1.0077258985555928</v>
      </c>
      <c r="R55" s="101">
        <v>3</v>
      </c>
      <c r="S55" s="102">
        <f>+R55*100255</f>
        <v>300765</v>
      </c>
    </row>
    <row r="56" spans="1:19" x14ac:dyDescent="0.35">
      <c r="A56" s="55" t="s">
        <v>33</v>
      </c>
      <c r="B56" s="55" t="str">
        <f>+VLOOKUP($D56,[1]STS!$A$9:$E$1405,3,0)</f>
        <v>05</v>
      </c>
      <c r="C56" s="86">
        <f>+VLOOKUP($D56,[1]STS!$A$9:$E$1405,4,0)</f>
        <v>16</v>
      </c>
      <c r="D56" s="69" t="s">
        <v>237</v>
      </c>
      <c r="E56" s="97">
        <f>+IF(ISERROR(VLOOKUP($D56,[1]STS!$E$9:$G$1503,3,0)=0),0,VLOOKUP($D56,[1]STS!$E$9:$G$1503,3,0))</f>
        <v>9.42</v>
      </c>
      <c r="F56" s="98">
        <v>9.42</v>
      </c>
      <c r="G56" s="99">
        <f>+IF(ISERROR(VLOOKUP(D56,[1]STS!$E$9:$AO$1503,37,0)=0),0,VLOOKUP(D56,[1]STS!$E$9:$AO$1503,37,0))</f>
        <v>4.4451851080246945</v>
      </c>
      <c r="H56" s="77" t="str">
        <f>+IF(ISERROR(VLOOKUP(D56,[1]STS!$E$9:$I$1503,5,0)=0),0,VLOOKUP(D56,[1]STS!$E$9:$I$1503,5,0))</f>
        <v>BK</v>
      </c>
      <c r="I56" s="56"/>
      <c r="J56" s="66" t="str">
        <f>VLOOKUP(D56,[1]STS!$E$9:$BC$1359,51,0)</f>
        <v>F18</v>
      </c>
      <c r="K56" s="57"/>
      <c r="L56" s="78" t="str">
        <f>+VLOOKUP(N56,'[1]MSTR AKT'!$C$4:$E$460,3,0)</f>
        <v>Etri 1</v>
      </c>
      <c r="M56" s="79">
        <f>+IF(ISERROR(VLOOKUP($N56,'[1]MSTR AKT'!$C$4:$D$460,2,0)=0),0,VLOOKUP($N56,'[1]MSTR AKT'!$C$4:$D$460,2,0))</f>
        <v>1113211111</v>
      </c>
      <c r="N56" s="70" t="s">
        <v>1</v>
      </c>
      <c r="O56" s="58"/>
      <c r="P56" s="59">
        <v>46004</v>
      </c>
      <c r="Q56" s="100">
        <v>2</v>
      </c>
      <c r="R56" s="101">
        <v>18.84</v>
      </c>
      <c r="S56" s="102">
        <f>+R56*100255</f>
        <v>1888804.2</v>
      </c>
    </row>
    <row r="57" spans="1:19" x14ac:dyDescent="0.35">
      <c r="A57" s="55" t="s">
        <v>33</v>
      </c>
      <c r="B57" s="55" t="str">
        <f>+VLOOKUP($D57,[1]STS!$A$9:$E$1405,3,0)</f>
        <v>05</v>
      </c>
      <c r="C57" s="86">
        <f>+VLOOKUP($D57,[1]STS!$A$9:$E$1405,4,0)</f>
        <v>17</v>
      </c>
      <c r="D57" s="71" t="s">
        <v>73</v>
      </c>
      <c r="E57" s="97">
        <f>+IF(ISERROR(VLOOKUP($D57,[1]STS!$E$9:$G$1503,3,0)=0),0,VLOOKUP($D57,[1]STS!$E$9:$G$1503,3,0))</f>
        <v>10.1</v>
      </c>
      <c r="F57" s="98">
        <f>+E57</f>
        <v>10.1</v>
      </c>
      <c r="G57" s="99">
        <f>+IF(ISERROR(VLOOKUP(D57,[1]STS!$E$9:$AO$1503,37,0)=0),0,VLOOKUP(D57,[1]STS!$E$9:$AO$1503,37,0))</f>
        <v>3.6785184413580283</v>
      </c>
      <c r="H57" s="77" t="str">
        <f>+IF(ISERROR(VLOOKUP(D57,[1]STS!$E$9:$I$1503,5,0)=0),0,VLOOKUP(D57,[1]STS!$E$9:$I$1503,5,0))</f>
        <v>FC</v>
      </c>
      <c r="I57" s="56"/>
      <c r="J57" s="66" t="str">
        <f>VLOOKUP(D57,[1]STS!$E$9:$BC$1359,51,0)</f>
        <v>GP3CK</v>
      </c>
      <c r="K57" s="57"/>
      <c r="L57" s="78" t="str">
        <f>+VLOOKUP(N57,'[1]MSTR AKT'!$C$4:$E$460,3,0)</f>
        <v>Nugroho</v>
      </c>
      <c r="M57" s="79">
        <f>+IF(ISERROR(VLOOKUP($N57,'[1]MSTR AKT'!$C$4:$D$460,2,0)=0),0,VLOOKUP($N57,'[1]MSTR AKT'!$C$4:$D$460,2,0))</f>
        <v>1311131115</v>
      </c>
      <c r="N57" s="70" t="s">
        <v>37</v>
      </c>
      <c r="O57" s="58"/>
      <c r="P57" s="59">
        <v>45999</v>
      </c>
      <c r="Q57" s="100">
        <v>3</v>
      </c>
      <c r="R57" s="101">
        <v>29.64</v>
      </c>
      <c r="S57" s="102">
        <f t="shared" ref="S57:S86" si="2">+R57*100255</f>
        <v>2971558.2</v>
      </c>
    </row>
    <row r="58" spans="1:19" x14ac:dyDescent="0.35">
      <c r="A58" s="55" t="s">
        <v>33</v>
      </c>
      <c r="B58" s="55" t="str">
        <f>+VLOOKUP($D58,[1]STS!$A$9:$E$1405,3,0)</f>
        <v>05</v>
      </c>
      <c r="C58" s="86">
        <f>+VLOOKUP($D58,[1]STS!$A$9:$E$1405,4,0)</f>
        <v>17</v>
      </c>
      <c r="D58" s="71" t="s">
        <v>71</v>
      </c>
      <c r="E58" s="97">
        <f>+IF(ISERROR(VLOOKUP($D58,[1]STS!$E$9:$G$1503,3,0)=0),0,VLOOKUP($D58,[1]STS!$E$9:$G$1503,3,0))</f>
        <v>8.9600000000000009</v>
      </c>
      <c r="F58" s="98">
        <v>8.9600000000000009</v>
      </c>
      <c r="G58" s="99">
        <f>+IF(ISERROR(VLOOKUP(D58,[1]STS!$E$9:$AO$1503,37,0)=0),0,VLOOKUP(D58,[1]STS!$E$9:$AO$1503,37,0))</f>
        <v>0.87851844135802826</v>
      </c>
      <c r="H58" s="77" t="str">
        <f>+IF(ISERROR(VLOOKUP(D58,[1]STS!$E$9:$I$1503,5,0)=0),0,VLOOKUP(D58,[1]STS!$E$9:$I$1503,5,0))</f>
        <v>SC</v>
      </c>
      <c r="I58" s="56"/>
      <c r="J58" s="66" t="str">
        <f>VLOOKUP(D58,[1]STS!$E$9:$BC$1359,51,0)</f>
        <v>F18</v>
      </c>
      <c r="K58" s="57"/>
      <c r="L58" s="78" t="str">
        <f>+VLOOKUP(N58,'[1]MSTR AKT'!$C$4:$E$460,3,0)</f>
        <v>Etri 1</v>
      </c>
      <c r="M58" s="79">
        <f>+IF(ISERROR(VLOOKUP($N58,'[1]MSTR AKT'!$C$4:$D$460,2,0)=0),0,VLOOKUP($N58,'[1]MSTR AKT'!$C$4:$D$460,2,0))</f>
        <v>1315111111</v>
      </c>
      <c r="N58" s="70" t="s">
        <v>3</v>
      </c>
      <c r="O58" s="58" t="str">
        <f t="shared" ref="O58:O68" si="3">IF(Q58&lt;=2,"Bersih",IF(Q58&lt;=4,"Ringan",IF(Q58&lt;=8,"Sedang","Berat")))</f>
        <v>Ringan</v>
      </c>
      <c r="P58" s="59">
        <v>45998</v>
      </c>
      <c r="Q58" s="100">
        <v>4</v>
      </c>
      <c r="R58" s="101">
        <v>35.840000000000003</v>
      </c>
      <c r="S58" s="102">
        <f t="shared" si="2"/>
        <v>3593139.2</v>
      </c>
    </row>
    <row r="59" spans="1:19" x14ac:dyDescent="0.35">
      <c r="A59" s="55" t="s">
        <v>33</v>
      </c>
      <c r="B59" s="55" t="str">
        <f>+VLOOKUP($D59,[1]STS!$A$9:$E$1405,3,0)</f>
        <v>05</v>
      </c>
      <c r="C59" s="86">
        <f>+VLOOKUP($D59,[1]STS!$A$9:$E$1405,4,0)</f>
        <v>17</v>
      </c>
      <c r="D59" s="71" t="s">
        <v>106</v>
      </c>
      <c r="E59" s="97">
        <f>+IF(ISERROR(VLOOKUP($D59,[1]STS!$E$9:$G$1503,3,0)=0),0,VLOOKUP($D59,[1]STS!$E$9:$G$1503,3,0))</f>
        <v>3.81</v>
      </c>
      <c r="F59" s="113">
        <v>3.64</v>
      </c>
      <c r="G59" s="99">
        <f>+IF(ISERROR(VLOOKUP(D59,[1]STS!$E$9:$AO$1503,37,0)=0),0,VLOOKUP(D59,[1]STS!$E$9:$AO$1503,37,0))</f>
        <v>11.278518441358028</v>
      </c>
      <c r="H59" s="77" t="str">
        <f>+IF(ISERROR(VLOOKUP(D59,[1]STS!$E$9:$I$1503,5,0)=0),0,VLOOKUP(D59,[1]STS!$E$9:$I$1503,5,0))</f>
        <v>FC</v>
      </c>
      <c r="I59" s="56"/>
      <c r="J59" s="66" t="str">
        <f>VLOOKUP(D59,[1]STS!$E$9:$BC$1359,51,0)</f>
        <v>GP3SB</v>
      </c>
      <c r="K59" s="57"/>
      <c r="L59" s="78" t="str">
        <f>+VLOOKUP(N59,'[1]MSTR AKT'!$C$4:$E$460,3,0)</f>
        <v>Etri 1</v>
      </c>
      <c r="M59" s="79">
        <f>+IF(ISERROR(VLOOKUP($N59,'[1]MSTR AKT'!$C$4:$D$460,2,0)=0),0,VLOOKUP($N59,'[1]MSTR AKT'!$C$4:$D$460,2,0))</f>
        <v>1315111111</v>
      </c>
      <c r="N59" s="70" t="s">
        <v>3</v>
      </c>
      <c r="O59" s="58" t="str">
        <f t="shared" si="3"/>
        <v>Ringan</v>
      </c>
      <c r="P59" s="59">
        <v>45999</v>
      </c>
      <c r="Q59" s="100">
        <v>3</v>
      </c>
      <c r="R59" s="101">
        <v>10.92</v>
      </c>
      <c r="S59" s="102">
        <f t="shared" si="2"/>
        <v>1094784.6000000001</v>
      </c>
    </row>
    <row r="60" spans="1:19" x14ac:dyDescent="0.35">
      <c r="A60" s="55" t="s">
        <v>33</v>
      </c>
      <c r="B60" s="55" t="str">
        <f>+VLOOKUP($D60,[1]STS!$A$9:$E$1405,3,0)</f>
        <v>05</v>
      </c>
      <c r="C60" s="86">
        <f>+VLOOKUP($D60,[1]STS!$A$9:$E$1405,4,0)</f>
        <v>17</v>
      </c>
      <c r="D60" s="71" t="s">
        <v>87</v>
      </c>
      <c r="E60" s="97">
        <f>+IF(ISERROR(VLOOKUP($D60,[1]STS!$E$9:$G$1503,3,0)=0),0,VLOOKUP($D60,[1]STS!$E$9:$G$1503,3,0))</f>
        <v>12.09</v>
      </c>
      <c r="F60" s="98">
        <v>11.45</v>
      </c>
      <c r="G60" s="99">
        <f>+IF(ISERROR(VLOOKUP(D60,[1]STS!$E$9:$AO$1503,37,0)=0),0,VLOOKUP(D60,[1]STS!$E$9:$AO$1503,37,0))</f>
        <v>7.045185108024695</v>
      </c>
      <c r="H60" s="77" t="str">
        <f>+IF(ISERROR(VLOOKUP(D60,[1]STS!$E$9:$I$1503,5,0)=0),0,VLOOKUP(D60,[1]STS!$E$9:$I$1503,5,0))</f>
        <v>FC</v>
      </c>
      <c r="I60" s="56"/>
      <c r="J60" s="66" t="str">
        <f>VLOOKUP(D60,[1]STS!$E$9:$BC$1359,51,0)</f>
        <v>F18CK</v>
      </c>
      <c r="K60" s="57"/>
      <c r="L60" s="78" t="str">
        <f>+VLOOKUP(N60,'[1]MSTR AKT'!$C$4:$E$460,3,0)</f>
        <v>Etri 1</v>
      </c>
      <c r="M60" s="79">
        <f>+IF(ISERROR(VLOOKUP($N60,'[1]MSTR AKT'!$C$4:$D$460,2,0)=0),0,VLOOKUP($N60,'[1]MSTR AKT'!$C$4:$D$460,2,0))</f>
        <v>1315111111</v>
      </c>
      <c r="N60" s="70" t="s">
        <v>3</v>
      </c>
      <c r="O60" s="58" t="str">
        <f t="shared" si="3"/>
        <v>Ringan</v>
      </c>
      <c r="P60" s="59">
        <v>45999</v>
      </c>
      <c r="Q60" s="100">
        <v>4</v>
      </c>
      <c r="R60" s="101">
        <v>45.8</v>
      </c>
      <c r="S60" s="102">
        <f t="shared" si="2"/>
        <v>4591679</v>
      </c>
    </row>
    <row r="61" spans="1:19" x14ac:dyDescent="0.35">
      <c r="A61" s="55" t="s">
        <v>33</v>
      </c>
      <c r="B61" s="55" t="str">
        <f>+VLOOKUP($D61,[1]STS!$A$9:$E$1405,3,0)</f>
        <v>05</v>
      </c>
      <c r="C61" s="86">
        <f>+VLOOKUP($D61,[1]STS!$A$9:$E$1405,4,0)</f>
        <v>17</v>
      </c>
      <c r="D61" s="71" t="s">
        <v>245</v>
      </c>
      <c r="E61" s="97">
        <f>+IF(ISERROR(VLOOKUP($D61,[1]STS!$E$9:$G$1503,3,0)=0),0,VLOOKUP($D61,[1]STS!$E$9:$G$1503,3,0))</f>
        <v>3.71</v>
      </c>
      <c r="F61" s="98">
        <v>3.71</v>
      </c>
      <c r="G61" s="99">
        <f>+IF(ISERROR(VLOOKUP(D61,[1]STS!$E$9:$AO$1503,37,0)=0),0,VLOOKUP(D61,[1]STS!$E$9:$AO$1503,37,0))</f>
        <v>15.278518441358028</v>
      </c>
      <c r="H61" s="77" t="str">
        <f>+IF(ISERROR(VLOOKUP(D61,[1]STS!$E$9:$I$1503,5,0)=0),0,VLOOKUP(D61,[1]STS!$E$9:$I$1503,5,0))</f>
        <v>FC</v>
      </c>
      <c r="I61" s="56"/>
      <c r="J61" s="66" t="str">
        <f>VLOOKUP(D61,[1]STS!$E$9:$BC$1359,51,0)</f>
        <v>F18CK</v>
      </c>
      <c r="K61" s="57"/>
      <c r="L61" s="78" t="str">
        <f>+VLOOKUP(N61,'[1]MSTR AKT'!$C$4:$E$460,3,0)</f>
        <v>Etri 1</v>
      </c>
      <c r="M61" s="79">
        <f>+IF(ISERROR(VLOOKUP($N61,'[1]MSTR AKT'!$C$4:$D$460,2,0)=0),0,VLOOKUP($N61,'[1]MSTR AKT'!$C$4:$D$460,2,0))</f>
        <v>1315111111</v>
      </c>
      <c r="N61" s="70" t="s">
        <v>3</v>
      </c>
      <c r="O61" s="58" t="str">
        <f t="shared" si="3"/>
        <v>Ringan</v>
      </c>
      <c r="P61" s="59">
        <v>45999</v>
      </c>
      <c r="Q61" s="100">
        <v>4</v>
      </c>
      <c r="R61" s="101">
        <v>14.84</v>
      </c>
      <c r="S61" s="102">
        <f t="shared" si="2"/>
        <v>1487784.2</v>
      </c>
    </row>
    <row r="62" spans="1:19" x14ac:dyDescent="0.35">
      <c r="A62" s="55" t="s">
        <v>33</v>
      </c>
      <c r="B62" s="55" t="str">
        <f>+VLOOKUP($D62,[1]STS!$A$9:$E$1405,3,0)</f>
        <v>05</v>
      </c>
      <c r="C62" s="86">
        <f>+VLOOKUP($D62,[1]STS!$A$9:$E$1405,4,0)</f>
        <v>17</v>
      </c>
      <c r="D62" s="71" t="s">
        <v>39</v>
      </c>
      <c r="E62" s="97">
        <f>+IF(ISERROR(VLOOKUP($D62,[1]STS!$E$9:$G$1503,3,0)=0),0,VLOOKUP($D62,[1]STS!$E$9:$G$1503,3,0))</f>
        <v>7.7</v>
      </c>
      <c r="F62" s="98">
        <v>7.54</v>
      </c>
      <c r="G62" s="99">
        <f>+IF(ISERROR(VLOOKUP(D62,[1]STS!$E$9:$AO$1503,37,0)=0),0,VLOOKUP(D62,[1]STS!$E$9:$AO$1503,37,0))</f>
        <v>10.011851774691362</v>
      </c>
      <c r="H62" s="77" t="str">
        <f>+IF(ISERROR(VLOOKUP(D62,[1]STS!$E$9:$I$1503,5,0)=0),0,VLOOKUP(D62,[1]STS!$E$9:$I$1503,5,0))</f>
        <v>FC</v>
      </c>
      <c r="I62" s="56"/>
      <c r="J62" s="66" t="str">
        <f>VLOOKUP(D62,[1]STS!$E$9:$BC$1359,51,0)</f>
        <v>GP3CK</v>
      </c>
      <c r="K62" s="57"/>
      <c r="L62" s="78" t="str">
        <f>+VLOOKUP(N62,'[1]MSTR AKT'!$C$4:$E$460,3,0)</f>
        <v>Etri 1</v>
      </c>
      <c r="M62" s="79">
        <f>+IF(ISERROR(VLOOKUP($N62,'[1]MSTR AKT'!$C$4:$D$460,2,0)=0),0,VLOOKUP($N62,'[1]MSTR AKT'!$C$4:$D$460,2,0))</f>
        <v>1315111111</v>
      </c>
      <c r="N62" s="70" t="s">
        <v>3</v>
      </c>
      <c r="O62" s="58" t="str">
        <f t="shared" si="3"/>
        <v>Ringan</v>
      </c>
      <c r="P62" s="59">
        <v>46003</v>
      </c>
      <c r="Q62" s="100">
        <v>3</v>
      </c>
      <c r="R62" s="101">
        <v>22.62</v>
      </c>
      <c r="S62" s="102">
        <f t="shared" si="2"/>
        <v>2267768.1</v>
      </c>
    </row>
    <row r="63" spans="1:19" x14ac:dyDescent="0.35">
      <c r="A63" s="55" t="s">
        <v>33</v>
      </c>
      <c r="B63" s="55" t="str">
        <f>+VLOOKUP($D63,[1]STS!$A$9:$E$1405,3,0)</f>
        <v>05</v>
      </c>
      <c r="C63" s="86">
        <f>+VLOOKUP($D63,[1]STS!$A$9:$E$1405,4,0)</f>
        <v>17</v>
      </c>
      <c r="D63" s="71" t="s">
        <v>40</v>
      </c>
      <c r="E63" s="97">
        <f>+IF(ISERROR(VLOOKUP($D63,[1]STS!$E$9:$G$1503,3,0)=0),0,VLOOKUP($D63,[1]STS!$E$9:$G$1503,3,0))</f>
        <v>12.69</v>
      </c>
      <c r="F63" s="98">
        <v>12.5</v>
      </c>
      <c r="G63" s="99">
        <f>+IF(ISERROR(VLOOKUP(D63,[1]STS!$E$9:$AO$1503,37,0)=0),0,VLOOKUP(D63,[1]STS!$E$9:$AO$1503,37,0))</f>
        <v>10.211851774691361</v>
      </c>
      <c r="H63" s="77" t="str">
        <f>+IF(ISERROR(VLOOKUP(D63,[1]STS!$E$9:$I$1503,5,0)=0),0,VLOOKUP(D63,[1]STS!$E$9:$I$1503,5,0))</f>
        <v>FC</v>
      </c>
      <c r="I63" s="56"/>
      <c r="J63" s="66" t="str">
        <f>VLOOKUP(D63,[1]STS!$E$9:$BC$1359,51,0)</f>
        <v>GP3CK</v>
      </c>
      <c r="K63" s="57"/>
      <c r="L63" s="78" t="str">
        <f>+VLOOKUP(N63,'[1]MSTR AKT'!$C$4:$E$460,3,0)</f>
        <v>Etri 1</v>
      </c>
      <c r="M63" s="79">
        <f>+IF(ISERROR(VLOOKUP($N63,'[1]MSTR AKT'!$C$4:$D$460,2,0)=0),0,VLOOKUP($N63,'[1]MSTR AKT'!$C$4:$D$460,2,0))</f>
        <v>1315111111</v>
      </c>
      <c r="N63" s="70" t="s">
        <v>3</v>
      </c>
      <c r="O63" s="58" t="str">
        <f t="shared" si="3"/>
        <v>Ringan</v>
      </c>
      <c r="P63" s="59">
        <v>45999</v>
      </c>
      <c r="Q63" s="100">
        <v>3</v>
      </c>
      <c r="R63" s="101">
        <v>37.5</v>
      </c>
      <c r="S63" s="102">
        <f t="shared" si="2"/>
        <v>3759562.5</v>
      </c>
    </row>
    <row r="64" spans="1:19" x14ac:dyDescent="0.35">
      <c r="A64" s="55" t="s">
        <v>33</v>
      </c>
      <c r="B64" s="55" t="str">
        <f>+VLOOKUP($D64,[1]STS!$A$9:$E$1405,3,0)</f>
        <v>05</v>
      </c>
      <c r="C64" s="86">
        <f>+VLOOKUP($D64,[1]STS!$A$9:$E$1405,4,0)</f>
        <v>17</v>
      </c>
      <c r="D64" s="71" t="s">
        <v>74</v>
      </c>
      <c r="E64" s="97">
        <f>+IF(ISERROR(VLOOKUP($D64,[1]STS!$E$9:$G$1503,3,0)=0),0,VLOOKUP($D64,[1]STS!$E$9:$G$1503,3,0))</f>
        <v>5.03</v>
      </c>
      <c r="F64" s="98">
        <v>4.33</v>
      </c>
      <c r="G64" s="99">
        <f>+IF(ISERROR(VLOOKUP(D64,[1]STS!$E$9:$AO$1503,37,0)=0),0,VLOOKUP(D64,[1]STS!$E$9:$AO$1503,37,0))</f>
        <v>8.4451851080246954</v>
      </c>
      <c r="H64" s="77" t="str">
        <f>+IF(ISERROR(VLOOKUP(D64,[1]STS!$E$9:$I$1503,5,0)=0),0,VLOOKUP(D64,[1]STS!$E$9:$I$1503,5,0))</f>
        <v>FC</v>
      </c>
      <c r="I64" s="56"/>
      <c r="J64" s="66" t="str">
        <f>VLOOKUP(D64,[1]STS!$E$9:$BC$1359,51,0)</f>
        <v>F18CK</v>
      </c>
      <c r="K64" s="57"/>
      <c r="L64" s="78" t="str">
        <f>+VLOOKUP(N64,'[1]MSTR AKT'!$C$4:$E$460,3,0)</f>
        <v>Etri 1</v>
      </c>
      <c r="M64" s="79">
        <f>+IF(ISERROR(VLOOKUP($N64,'[1]MSTR AKT'!$C$4:$D$460,2,0)=0),0,VLOOKUP($N64,'[1]MSTR AKT'!$C$4:$D$460,2,0))</f>
        <v>1315111111</v>
      </c>
      <c r="N64" s="70" t="s">
        <v>3</v>
      </c>
      <c r="O64" s="58" t="str">
        <f t="shared" si="3"/>
        <v>Ringan</v>
      </c>
      <c r="P64" s="59">
        <v>46003</v>
      </c>
      <c r="Q64" s="100">
        <v>3</v>
      </c>
      <c r="R64" s="101">
        <v>12.99</v>
      </c>
      <c r="S64" s="102">
        <f t="shared" si="2"/>
        <v>1302312.45</v>
      </c>
    </row>
    <row r="65" spans="1:19" x14ac:dyDescent="0.35">
      <c r="A65" s="55" t="s">
        <v>33</v>
      </c>
      <c r="B65" s="55" t="str">
        <f>+VLOOKUP($D65,[1]STS!$A$9:$E$1405,3,0)</f>
        <v>05</v>
      </c>
      <c r="C65" s="86">
        <f>+VLOOKUP($D65,[1]STS!$A$9:$E$1405,4,0)</f>
        <v>17</v>
      </c>
      <c r="D65" s="71" t="s">
        <v>75</v>
      </c>
      <c r="E65" s="97">
        <f>+IF(ISERROR(VLOOKUP($D65,[1]STS!$E$9:$G$1503,3,0)=0),0,VLOOKUP($D65,[1]STS!$E$9:$G$1503,3,0))</f>
        <v>12.18</v>
      </c>
      <c r="F65" s="98">
        <v>12.18</v>
      </c>
      <c r="G65" s="99">
        <f>+IF(ISERROR(VLOOKUP(D65,[1]STS!$E$9:$AO$1503,37,0)=0),0,VLOOKUP(D65,[1]STS!$E$9:$AO$1503,37,0))</f>
        <v>16.078518441358028</v>
      </c>
      <c r="H65" s="77" t="str">
        <f>+IF(ISERROR(VLOOKUP(D65,[1]STS!$E$9:$I$1503,5,0)=0),0,VLOOKUP(D65,[1]STS!$E$9:$I$1503,5,0))</f>
        <v>FC</v>
      </c>
      <c r="I65" s="56"/>
      <c r="J65" s="66" t="str">
        <f>VLOOKUP(D65,[1]STS!$E$9:$BC$1359,51,0)</f>
        <v>GP3CK</v>
      </c>
      <c r="K65" s="57"/>
      <c r="L65" s="78" t="str">
        <f>+VLOOKUP(N65,'[1]MSTR AKT'!$C$4:$E$460,3,0)</f>
        <v>Etri 1</v>
      </c>
      <c r="M65" s="79">
        <f>+IF(ISERROR(VLOOKUP($N65,'[1]MSTR AKT'!$C$4:$D$460,2,0)=0),0,VLOOKUP($N65,'[1]MSTR AKT'!$C$4:$D$460,2,0))</f>
        <v>1315111111</v>
      </c>
      <c r="N65" s="70" t="s">
        <v>3</v>
      </c>
      <c r="O65" s="58" t="str">
        <f t="shared" si="3"/>
        <v>Ringan</v>
      </c>
      <c r="P65" s="59">
        <v>45999</v>
      </c>
      <c r="Q65" s="100">
        <v>3</v>
      </c>
      <c r="R65" s="101">
        <v>36.54</v>
      </c>
      <c r="S65" s="102">
        <f t="shared" si="2"/>
        <v>3663317.6999999997</v>
      </c>
    </row>
    <row r="66" spans="1:19" x14ac:dyDescent="0.35">
      <c r="A66" s="55" t="s">
        <v>33</v>
      </c>
      <c r="B66" s="55" t="str">
        <f>+VLOOKUP($D66,[1]STS!$A$9:$E$1405,3,0)</f>
        <v>05</v>
      </c>
      <c r="C66" s="86">
        <f>+VLOOKUP($D66,[1]STS!$A$9:$E$1405,4,0)</f>
        <v>17</v>
      </c>
      <c r="D66" s="71" t="s">
        <v>258</v>
      </c>
      <c r="E66" s="97">
        <f>+IF(ISERROR(VLOOKUP($D66,[1]STS!$E$9:$G$1503,3,0)=0),0,VLOOKUP($D66,[1]STS!$E$9:$G$1503,3,0))</f>
        <v>15.38</v>
      </c>
      <c r="F66" s="98">
        <v>15.38</v>
      </c>
      <c r="G66" s="99">
        <f>+IF(ISERROR(VLOOKUP(D66,[1]STS!$E$9:$AO$1503,37,0)=0),0,VLOOKUP(D66,[1]STS!$E$9:$AO$1503,37,0))</f>
        <v>14.078518441358028</v>
      </c>
      <c r="H66" s="77" t="str">
        <f>+IF(ISERROR(VLOOKUP(D66,[1]STS!$E$9:$I$1503,5,0)=0),0,VLOOKUP(D66,[1]STS!$E$9:$I$1503,5,0))</f>
        <v>FC</v>
      </c>
      <c r="I66" s="56"/>
      <c r="J66" s="66" t="str">
        <f>VLOOKUP(D66,[1]STS!$E$9:$BC$1359,51,0)</f>
        <v>F18CK</v>
      </c>
      <c r="K66" s="57"/>
      <c r="L66" s="78" t="str">
        <f>+VLOOKUP(N66,'[1]MSTR AKT'!$C$4:$E$460,3,0)</f>
        <v>Etri 1</v>
      </c>
      <c r="M66" s="79">
        <f>+IF(ISERROR(VLOOKUP($N66,'[1]MSTR AKT'!$C$4:$D$460,2,0)=0),0,VLOOKUP($N66,'[1]MSTR AKT'!$C$4:$D$460,2,0))</f>
        <v>1315111111</v>
      </c>
      <c r="N66" s="70" t="s">
        <v>3</v>
      </c>
      <c r="O66" s="58" t="str">
        <f t="shared" si="3"/>
        <v>Ringan</v>
      </c>
      <c r="P66" s="59">
        <v>45999</v>
      </c>
      <c r="Q66" s="100">
        <v>3</v>
      </c>
      <c r="R66" s="101">
        <v>46.14</v>
      </c>
      <c r="S66" s="102">
        <f t="shared" si="2"/>
        <v>4625765.7</v>
      </c>
    </row>
    <row r="67" spans="1:19" x14ac:dyDescent="0.35">
      <c r="A67" s="55" t="s">
        <v>33</v>
      </c>
      <c r="B67" s="55" t="str">
        <f>+VLOOKUP($D67,[1]STS!$A$9:$E$1405,3,0)</f>
        <v>05</v>
      </c>
      <c r="C67" s="86">
        <f>+VLOOKUP($D67,[1]STS!$A$9:$E$1405,4,0)</f>
        <v>17</v>
      </c>
      <c r="D67" s="71" t="s">
        <v>77</v>
      </c>
      <c r="E67" s="97">
        <f>+IF(ISERROR(VLOOKUP($D67,[1]STS!$E$9:$G$1503,3,0)=0),0,VLOOKUP($D67,[1]STS!$E$9:$G$1503,3,0))</f>
        <v>10.95</v>
      </c>
      <c r="F67" s="98">
        <v>10.31</v>
      </c>
      <c r="G67" s="99">
        <f>+IF(ISERROR(VLOOKUP(D67,[1]STS!$E$9:$AO$1503,37,0)=0),0,VLOOKUP(D67,[1]STS!$E$9:$AO$1503,37,0))</f>
        <v>7.545185108024695</v>
      </c>
      <c r="H67" s="77" t="str">
        <f>+IF(ISERROR(VLOOKUP(D67,[1]STS!$E$9:$I$1503,5,0)=0),0,VLOOKUP(D67,[1]STS!$E$9:$I$1503,5,0))</f>
        <v>FC</v>
      </c>
      <c r="I67" s="56"/>
      <c r="J67" s="66" t="str">
        <f>VLOOKUP(D67,[1]STS!$E$9:$BC$1359,51,0)</f>
        <v>F18CK</v>
      </c>
      <c r="K67" s="57"/>
      <c r="L67" s="78" t="str">
        <f>+VLOOKUP(N67,'[1]MSTR AKT'!$C$4:$E$460,3,0)</f>
        <v>Etri 1</v>
      </c>
      <c r="M67" s="79">
        <f>+IF(ISERROR(VLOOKUP($N67,'[1]MSTR AKT'!$C$4:$D$460,2,0)=0),0,VLOOKUP($N67,'[1]MSTR AKT'!$C$4:$D$460,2,0))</f>
        <v>1315111111</v>
      </c>
      <c r="N67" s="70" t="s">
        <v>3</v>
      </c>
      <c r="O67" s="58" t="str">
        <f t="shared" si="3"/>
        <v>Ringan</v>
      </c>
      <c r="P67" s="59">
        <v>46003</v>
      </c>
      <c r="Q67" s="100">
        <v>3</v>
      </c>
      <c r="R67" s="101">
        <v>30.93</v>
      </c>
      <c r="S67" s="102">
        <f t="shared" si="2"/>
        <v>3100887.15</v>
      </c>
    </row>
    <row r="68" spans="1:19" x14ac:dyDescent="0.35">
      <c r="A68" s="55" t="s">
        <v>33</v>
      </c>
      <c r="B68" s="55" t="str">
        <f>+VLOOKUP($D68,[1]STS!$A$9:$E$1405,3,0)</f>
        <v>05</v>
      </c>
      <c r="C68" s="86">
        <f>+VLOOKUP($D68,[1]STS!$A$9:$E$1405,4,0)</f>
        <v>17</v>
      </c>
      <c r="D68" s="71" t="s">
        <v>78</v>
      </c>
      <c r="E68" s="97">
        <f>+IF(ISERROR(VLOOKUP($D68,[1]STS!$E$9:$G$1503,3,0)=0),0,VLOOKUP($D68,[1]STS!$E$9:$G$1503,3,0))</f>
        <v>4.87</v>
      </c>
      <c r="F68" s="98">
        <v>4.9800000000000004</v>
      </c>
      <c r="G68" s="99">
        <f>+IF(ISERROR(VLOOKUP(D68,[1]STS!$E$9:$AO$1503,37,0)=0),0,VLOOKUP(D68,[1]STS!$E$9:$AO$1503,37,0))</f>
        <v>8.4118517746913621</v>
      </c>
      <c r="H68" s="77" t="str">
        <f>+IF(ISERROR(VLOOKUP(D68,[1]STS!$E$9:$I$1503,5,0)=0),0,VLOOKUP(D68,[1]STS!$E$9:$I$1503,5,0))</f>
        <v>FC</v>
      </c>
      <c r="I68" s="56"/>
      <c r="J68" s="66" t="str">
        <f>VLOOKUP(D68,[1]STS!$E$9:$BC$1359,51,0)</f>
        <v>F18SS</v>
      </c>
      <c r="K68" s="57"/>
      <c r="L68" s="78" t="str">
        <f>+VLOOKUP(N68,'[1]MSTR AKT'!$C$4:$E$460,3,0)</f>
        <v>Etri 1</v>
      </c>
      <c r="M68" s="79">
        <f>+IF(ISERROR(VLOOKUP($N68,'[1]MSTR AKT'!$C$4:$D$460,2,0)=0),0,VLOOKUP($N68,'[1]MSTR AKT'!$C$4:$D$460,2,0))</f>
        <v>1315111111</v>
      </c>
      <c r="N68" s="70" t="s">
        <v>3</v>
      </c>
      <c r="O68" s="58" t="str">
        <f t="shared" si="3"/>
        <v>Ringan</v>
      </c>
      <c r="P68" s="59">
        <v>46003</v>
      </c>
      <c r="Q68" s="100">
        <v>3</v>
      </c>
      <c r="R68" s="101">
        <v>14.940000000000001</v>
      </c>
      <c r="S68" s="102">
        <f t="shared" si="2"/>
        <v>1497809.7000000002</v>
      </c>
    </row>
    <row r="69" spans="1:19" x14ac:dyDescent="0.35">
      <c r="A69" s="55" t="s">
        <v>33</v>
      </c>
      <c r="B69" s="55" t="str">
        <f>+VLOOKUP($D69,[1]STS!$A$9:$E$1405,3,0)</f>
        <v>05</v>
      </c>
      <c r="C69" s="86">
        <f>+VLOOKUP($D69,[1]STS!$A$9:$E$1405,4,0)</f>
        <v>17</v>
      </c>
      <c r="D69" s="71" t="s">
        <v>249</v>
      </c>
      <c r="E69" s="97">
        <f>+IF(ISERROR(VLOOKUP($D69,[1]STS!$E$9:$G$1503,3,0)=0),0,VLOOKUP($D69,[1]STS!$E$9:$G$1503,3,0))</f>
        <v>6.55</v>
      </c>
      <c r="F69" s="98">
        <v>1.7969999999999999</v>
      </c>
      <c r="G69" s="99">
        <f>+IF(ISERROR(VLOOKUP(D69,[1]STS!$E$9:$AO$1503,37,0)=0),0,VLOOKUP(D69,[1]STS!$E$9:$AO$1503,37,0))</f>
        <v>1.6118517746913616</v>
      </c>
      <c r="H69" s="77" t="str">
        <f>+IF(ISERROR(VLOOKUP(D69,[1]STS!$E$9:$I$1503,5,0)=0),0,VLOOKUP(D69,[1]STS!$E$9:$I$1503,5,0))</f>
        <v>ST</v>
      </c>
      <c r="I69" s="56"/>
      <c r="J69" s="66" t="str">
        <f>VLOOKUP(D69,[1]STS!$E$9:$BC$1359,51,0)</f>
        <v>F18</v>
      </c>
      <c r="K69" s="57"/>
      <c r="L69" s="78" t="str">
        <f>+VLOOKUP(N69,'[1]MSTR AKT'!$C$4:$E$460,3,0)</f>
        <v>Etri 2</v>
      </c>
      <c r="M69" s="79">
        <f>+IF(ISERROR(VLOOKUP($N69,'[1]MSTR AKT'!$C$4:$D$460,2,0)=0),0,VLOOKUP($N69,'[1]MSTR AKT'!$C$4:$D$460,2,0))</f>
        <v>1315131513</v>
      </c>
      <c r="N69" s="70" t="s">
        <v>8</v>
      </c>
      <c r="O69" s="58"/>
      <c r="P69" s="59">
        <v>45999</v>
      </c>
      <c r="Q69" s="100">
        <v>4</v>
      </c>
      <c r="R69" s="101">
        <v>7.1879999999999997</v>
      </c>
      <c r="S69" s="102">
        <f t="shared" si="2"/>
        <v>720632.94</v>
      </c>
    </row>
    <row r="70" spans="1:19" x14ac:dyDescent="0.35">
      <c r="A70" s="55" t="s">
        <v>33</v>
      </c>
      <c r="B70" s="55" t="str">
        <f>+VLOOKUP($D70,[1]STS!$A$9:$E$1405,3,0)</f>
        <v>05</v>
      </c>
      <c r="C70" s="86">
        <f>+VLOOKUP($D70,[1]STS!$A$9:$E$1405,4,0)</f>
        <v>17</v>
      </c>
      <c r="D70" s="71" t="s">
        <v>103</v>
      </c>
      <c r="E70" s="97">
        <f>+IF(ISERROR(VLOOKUP($D70,[1]STS!$E$9:$G$1503,3,0)=0),0,VLOOKUP($D70,[1]STS!$E$9:$G$1503,3,0))</f>
        <v>13.33</v>
      </c>
      <c r="F70" s="98">
        <v>3.9989999999999997</v>
      </c>
      <c r="G70" s="99">
        <f>+IF(ISERROR(VLOOKUP(D70,[1]STS!$E$9:$AO$1503,37,0)=0),0,VLOOKUP(D70,[1]STS!$E$9:$AO$1503,37,0))</f>
        <v>1.4118517746913615</v>
      </c>
      <c r="H70" s="77" t="str">
        <f>+IF(ISERROR(VLOOKUP(D70,[1]STS!$E$9:$I$1503,5,0)=0),0,VLOOKUP(D70,[1]STS!$E$9:$I$1503,5,0))</f>
        <v>SC</v>
      </c>
      <c r="I70" s="56"/>
      <c r="J70" s="66" t="str">
        <f>VLOOKUP(D70,[1]STS!$E$9:$BC$1359,51,0)</f>
        <v>F18</v>
      </c>
      <c r="K70" s="57"/>
      <c r="L70" s="78" t="str">
        <f>+VLOOKUP(N70,'[1]MSTR AKT'!$C$4:$E$460,3,0)</f>
        <v>Etri 2</v>
      </c>
      <c r="M70" s="79">
        <f>+IF(ISERROR(VLOOKUP($N70,'[1]MSTR AKT'!$C$4:$D$460,2,0)=0),0,VLOOKUP($N70,'[1]MSTR AKT'!$C$4:$D$460,2,0))</f>
        <v>1315131513</v>
      </c>
      <c r="N70" s="70" t="s">
        <v>8</v>
      </c>
      <c r="O70" s="58"/>
      <c r="P70" s="59">
        <v>46003</v>
      </c>
      <c r="Q70" s="100">
        <v>4</v>
      </c>
      <c r="R70" s="101">
        <v>15.995999999999999</v>
      </c>
      <c r="S70" s="102">
        <f t="shared" si="2"/>
        <v>1603678.98</v>
      </c>
    </row>
    <row r="71" spans="1:19" x14ac:dyDescent="0.35">
      <c r="A71" s="55" t="s">
        <v>33</v>
      </c>
      <c r="B71" s="55" t="str">
        <f>+VLOOKUP($D71,[1]STS!$A$9:$E$1405,3,0)</f>
        <v>05</v>
      </c>
      <c r="C71" s="86">
        <f>+VLOOKUP($D71,[1]STS!$A$9:$E$1405,4,0)</f>
        <v>17</v>
      </c>
      <c r="D71" s="71" t="s">
        <v>71</v>
      </c>
      <c r="E71" s="97">
        <f>+IF(ISERROR(VLOOKUP($D71,[1]STS!$E$9:$G$1503,3,0)=0),0,VLOOKUP($D71,[1]STS!$E$9:$G$1503,3,0))</f>
        <v>8.9600000000000009</v>
      </c>
      <c r="F71" s="98">
        <v>2.6880000000000002</v>
      </c>
      <c r="G71" s="99">
        <f>+IF(ISERROR(VLOOKUP(D71,[1]STS!$E$9:$AO$1503,37,0)=0),0,VLOOKUP(D71,[1]STS!$E$9:$AO$1503,37,0))</f>
        <v>0.87851844135802826</v>
      </c>
      <c r="H71" s="77" t="str">
        <f>+IF(ISERROR(VLOOKUP(D71,[1]STS!$E$9:$I$1503,5,0)=0),0,VLOOKUP(D71,[1]STS!$E$9:$I$1503,5,0))</f>
        <v>SC</v>
      </c>
      <c r="I71" s="56"/>
      <c r="J71" s="66" t="str">
        <f>VLOOKUP(D71,[1]STS!$E$9:$BC$1359,51,0)</f>
        <v>F18</v>
      </c>
      <c r="K71" s="57"/>
      <c r="L71" s="78" t="str">
        <f>+VLOOKUP(N71,'[1]MSTR AKT'!$C$4:$E$460,3,0)</f>
        <v>Etri 2</v>
      </c>
      <c r="M71" s="79">
        <f>+IF(ISERROR(VLOOKUP($N71,'[1]MSTR AKT'!$C$4:$D$460,2,0)=0),0,VLOOKUP($N71,'[1]MSTR AKT'!$C$4:$D$460,2,0))</f>
        <v>1315131513</v>
      </c>
      <c r="N71" s="70" t="s">
        <v>8</v>
      </c>
      <c r="O71" s="58"/>
      <c r="P71" s="59">
        <v>45999</v>
      </c>
      <c r="Q71" s="100">
        <v>4</v>
      </c>
      <c r="R71" s="101">
        <v>10.752000000000001</v>
      </c>
      <c r="S71" s="102">
        <f t="shared" si="2"/>
        <v>1077941.76</v>
      </c>
    </row>
    <row r="72" spans="1:19" x14ac:dyDescent="0.35">
      <c r="A72" s="55" t="s">
        <v>33</v>
      </c>
      <c r="B72" s="55" t="str">
        <f>+VLOOKUP($D72,[1]STS!$A$9:$E$1405,3,0)</f>
        <v>05</v>
      </c>
      <c r="C72" s="86">
        <f>+VLOOKUP($D72,[1]STS!$A$9:$E$1405,4,0)</f>
        <v>17</v>
      </c>
      <c r="D72" s="71" t="s">
        <v>131</v>
      </c>
      <c r="E72" s="97">
        <f>+IF(ISERROR(VLOOKUP($D72,[1]STS!$E$9:$G$1503,3,0)=0),0,VLOOKUP($D72,[1]STS!$E$9:$G$1503,3,0))</f>
        <v>7.73</v>
      </c>
      <c r="F72" s="98">
        <v>2.2109999999999999</v>
      </c>
      <c r="G72" s="99">
        <f>+IF(ISERROR(VLOOKUP(D72,[1]STS!$E$9:$AO$1503,37,0)=0),0,VLOOKUP(D72,[1]STS!$E$9:$AO$1503,37,0))</f>
        <v>8.6451851080246946</v>
      </c>
      <c r="H72" s="77" t="str">
        <f>+IF(ISERROR(VLOOKUP(D72,[1]STS!$E$9:$I$1503,5,0)=0),0,VLOOKUP(D72,[1]STS!$E$9:$I$1503,5,0))</f>
        <v>FC</v>
      </c>
      <c r="I72" s="56"/>
      <c r="J72" s="66" t="str">
        <f>VLOOKUP(D72,[1]STS!$E$9:$BC$1359,51,0)</f>
        <v>GP3CK</v>
      </c>
      <c r="K72" s="57"/>
      <c r="L72" s="78" t="str">
        <f>+VLOOKUP(N72,'[1]MSTR AKT'!$C$4:$E$460,3,0)</f>
        <v>Etri 2</v>
      </c>
      <c r="M72" s="79">
        <f>+IF(ISERROR(VLOOKUP($N72,'[1]MSTR AKT'!$C$4:$D$460,2,0)=0),0,VLOOKUP($N72,'[1]MSTR AKT'!$C$4:$D$460,2,0))</f>
        <v>1315131513</v>
      </c>
      <c r="N72" s="70" t="s">
        <v>8</v>
      </c>
      <c r="O72" s="58"/>
      <c r="P72" s="59">
        <v>46003</v>
      </c>
      <c r="Q72" s="100">
        <v>4</v>
      </c>
      <c r="R72" s="101">
        <v>8.8439999999999994</v>
      </c>
      <c r="S72" s="102">
        <f t="shared" si="2"/>
        <v>886655.22</v>
      </c>
    </row>
    <row r="73" spans="1:19" x14ac:dyDescent="0.35">
      <c r="A73" s="55" t="s">
        <v>33</v>
      </c>
      <c r="B73" s="55" t="str">
        <f>+VLOOKUP($D73,[1]STS!$A$9:$E$1405,3,0)</f>
        <v>05</v>
      </c>
      <c r="C73" s="86">
        <f>+VLOOKUP($D73,[1]STS!$A$9:$E$1405,4,0)</f>
        <v>17</v>
      </c>
      <c r="D73" s="71" t="s">
        <v>132</v>
      </c>
      <c r="E73" s="97">
        <f>+IF(ISERROR(VLOOKUP($D73,[1]STS!$E$9:$G$1503,3,0)=0),0,VLOOKUP($D73,[1]STS!$E$9:$G$1503,3,0))</f>
        <v>7.41</v>
      </c>
      <c r="F73" s="98">
        <v>2.0640000000000001</v>
      </c>
      <c r="G73" s="99">
        <f>+IF(ISERROR(VLOOKUP(D73,[1]STS!$E$9:$AO$1503,37,0)=0),0,VLOOKUP(D73,[1]STS!$E$9:$AO$1503,37,0))</f>
        <v>8.545185108024695</v>
      </c>
      <c r="H73" s="77" t="str">
        <f>+IF(ISERROR(VLOOKUP(D73,[1]STS!$E$9:$I$1503,5,0)=0),0,VLOOKUP(D73,[1]STS!$E$9:$I$1503,5,0))</f>
        <v>FC</v>
      </c>
      <c r="I73" s="56"/>
      <c r="J73" s="66" t="str">
        <f>VLOOKUP(D73,[1]STS!$E$9:$BC$1359,51,0)</f>
        <v>GP3CK</v>
      </c>
      <c r="K73" s="57"/>
      <c r="L73" s="78" t="str">
        <f>+VLOOKUP(N73,'[1]MSTR AKT'!$C$4:$E$460,3,0)</f>
        <v>Etri 2</v>
      </c>
      <c r="M73" s="79">
        <f>+IF(ISERROR(VLOOKUP($N73,'[1]MSTR AKT'!$C$4:$D$460,2,0)=0),0,VLOOKUP($N73,'[1]MSTR AKT'!$C$4:$D$460,2,0))</f>
        <v>1315131513</v>
      </c>
      <c r="N73" s="70" t="s">
        <v>8</v>
      </c>
      <c r="O73" s="58"/>
      <c r="P73" s="59">
        <v>45999</v>
      </c>
      <c r="Q73" s="100">
        <v>4</v>
      </c>
      <c r="R73" s="101">
        <v>8.2560000000000002</v>
      </c>
      <c r="S73" s="102">
        <f t="shared" si="2"/>
        <v>827705.28</v>
      </c>
    </row>
    <row r="74" spans="1:19" x14ac:dyDescent="0.35">
      <c r="A74" s="55" t="s">
        <v>33</v>
      </c>
      <c r="B74" s="55" t="str">
        <f>+VLOOKUP($D74,[1]STS!$A$9:$E$1405,3,0)</f>
        <v>05</v>
      </c>
      <c r="C74" s="86">
        <f>+VLOOKUP($D74,[1]STS!$A$9:$E$1405,4,0)</f>
        <v>17</v>
      </c>
      <c r="D74" s="71" t="s">
        <v>246</v>
      </c>
      <c r="E74" s="97">
        <f>+IF(ISERROR(VLOOKUP($D74,[1]STS!$E$9:$G$1503,3,0)=0),0,VLOOKUP($D74,[1]STS!$E$9:$G$1503,3,0))</f>
        <v>7.6</v>
      </c>
      <c r="F74" s="98">
        <v>2.13</v>
      </c>
      <c r="G74" s="99">
        <f>+IF(ISERROR(VLOOKUP(D74,[1]STS!$E$9:$AO$1503,37,0)=0),0,VLOOKUP(D74,[1]STS!$E$9:$AO$1503,37,0))</f>
        <v>1.2785184413580282</v>
      </c>
      <c r="H74" s="77" t="str">
        <f>+IF(ISERROR(VLOOKUP(D74,[1]STS!$E$9:$I$1503,5,0)=0),0,VLOOKUP(D74,[1]STS!$E$9:$I$1503,5,0))</f>
        <v>FC</v>
      </c>
      <c r="I74" s="56"/>
      <c r="J74" s="66" t="str">
        <f>VLOOKUP(D74,[1]STS!$E$9:$BC$1359,51,0)</f>
        <v>F18CK</v>
      </c>
      <c r="K74" s="57"/>
      <c r="L74" s="78" t="str">
        <f>+VLOOKUP(N74,'[1]MSTR AKT'!$C$4:$E$460,3,0)</f>
        <v>Etri 2</v>
      </c>
      <c r="M74" s="79">
        <f>+IF(ISERROR(VLOOKUP($N74,'[1]MSTR AKT'!$C$4:$D$460,2,0)=0),0,VLOOKUP($N74,'[1]MSTR AKT'!$C$4:$D$460,2,0))</f>
        <v>1315131513</v>
      </c>
      <c r="N74" s="70" t="s">
        <v>8</v>
      </c>
      <c r="O74" s="58"/>
      <c r="P74" s="59">
        <v>45999</v>
      </c>
      <c r="Q74" s="100">
        <v>4</v>
      </c>
      <c r="R74" s="101">
        <v>8.52</v>
      </c>
      <c r="S74" s="102">
        <f t="shared" si="2"/>
        <v>854172.6</v>
      </c>
    </row>
    <row r="75" spans="1:19" x14ac:dyDescent="0.35">
      <c r="A75" s="55" t="s">
        <v>33</v>
      </c>
      <c r="B75" s="55" t="str">
        <f>+VLOOKUP($D75,[1]STS!$A$9:$E$1405,3,0)</f>
        <v>05</v>
      </c>
      <c r="C75" s="86">
        <f>+VLOOKUP($D75,[1]STS!$A$9:$E$1405,4,0)</f>
        <v>17</v>
      </c>
      <c r="D75" s="71" t="s">
        <v>204</v>
      </c>
      <c r="E75" s="97">
        <f>+IF(ISERROR(VLOOKUP($D75,[1]STS!$E$9:$G$1503,3,0)=0),0,VLOOKUP($D75,[1]STS!$E$9:$G$1503,3,0))</f>
        <v>13.36</v>
      </c>
      <c r="F75" s="98">
        <v>3.7469999999999999</v>
      </c>
      <c r="G75" s="99">
        <f>+IF(ISERROR(VLOOKUP(D75,[1]STS!$E$9:$AO$1503,37,0)=0),0,VLOOKUP(D75,[1]STS!$E$9:$AO$1503,37,0))</f>
        <v>4.211851774691362</v>
      </c>
      <c r="H75" s="77" t="str">
        <f>+IF(ISERROR(VLOOKUP(D75,[1]STS!$E$9:$I$1503,5,0)=0),0,VLOOKUP(D75,[1]STS!$E$9:$I$1503,5,0))</f>
        <v>FC</v>
      </c>
      <c r="I75" s="56"/>
      <c r="J75" s="66" t="str">
        <f>VLOOKUP(D75,[1]STS!$E$9:$BC$1359,51,0)</f>
        <v>F18CK</v>
      </c>
      <c r="K75" s="57"/>
      <c r="L75" s="78" t="str">
        <f>+VLOOKUP(N75,'[1]MSTR AKT'!$C$4:$E$460,3,0)</f>
        <v>Etri 2</v>
      </c>
      <c r="M75" s="79">
        <f>+IF(ISERROR(VLOOKUP($N75,'[1]MSTR AKT'!$C$4:$D$460,2,0)=0),0,VLOOKUP($N75,'[1]MSTR AKT'!$C$4:$D$460,2,0))</f>
        <v>1315131513</v>
      </c>
      <c r="N75" s="70" t="s">
        <v>8</v>
      </c>
      <c r="O75" s="58"/>
      <c r="P75" s="59">
        <v>46003</v>
      </c>
      <c r="Q75" s="100">
        <v>4</v>
      </c>
      <c r="R75" s="101">
        <v>14.988</v>
      </c>
      <c r="S75" s="102">
        <f t="shared" si="2"/>
        <v>1502621.94</v>
      </c>
    </row>
    <row r="76" spans="1:19" x14ac:dyDescent="0.35">
      <c r="A76" s="55" t="s">
        <v>33</v>
      </c>
      <c r="B76" s="55" t="str">
        <f>+VLOOKUP($D76,[1]STS!$A$9:$E$1405,3,0)</f>
        <v>05</v>
      </c>
      <c r="C76" s="86">
        <f>+VLOOKUP($D76,[1]STS!$A$9:$E$1405,4,0)</f>
        <v>17</v>
      </c>
      <c r="D76" s="71" t="s">
        <v>74</v>
      </c>
      <c r="E76" s="97">
        <f>+IF(ISERROR(VLOOKUP($D76,[1]STS!$E$9:$G$1503,3,0)=0),0,VLOOKUP($D76,[1]STS!$E$9:$G$1503,3,0))</f>
        <v>5.03</v>
      </c>
      <c r="F76" s="98">
        <v>1.2989999999999999</v>
      </c>
      <c r="G76" s="99">
        <f>+IF(ISERROR(VLOOKUP(D76,[1]STS!$E$9:$AO$1503,37,0)=0),0,VLOOKUP(D76,[1]STS!$E$9:$AO$1503,37,0))</f>
        <v>8.4451851080246954</v>
      </c>
      <c r="H76" s="77" t="str">
        <f>+IF(ISERROR(VLOOKUP(D76,[1]STS!$E$9:$I$1503,5,0)=0),0,VLOOKUP(D76,[1]STS!$E$9:$I$1503,5,0))</f>
        <v>FC</v>
      </c>
      <c r="I76" s="56"/>
      <c r="J76" s="66" t="str">
        <f>VLOOKUP(D76,[1]STS!$E$9:$BC$1359,51,0)</f>
        <v>F18CK</v>
      </c>
      <c r="K76" s="57"/>
      <c r="L76" s="78" t="str">
        <f>+VLOOKUP(N76,'[1]MSTR AKT'!$C$4:$E$460,3,0)</f>
        <v>Etri 2</v>
      </c>
      <c r="M76" s="79">
        <f>+IF(ISERROR(VLOOKUP($N76,'[1]MSTR AKT'!$C$4:$D$460,2,0)=0),0,VLOOKUP($N76,'[1]MSTR AKT'!$C$4:$D$460,2,0))</f>
        <v>1315131513</v>
      </c>
      <c r="N76" s="70" t="s">
        <v>8</v>
      </c>
      <c r="O76" s="58"/>
      <c r="P76" s="59">
        <v>46003</v>
      </c>
      <c r="Q76" s="100">
        <v>4</v>
      </c>
      <c r="R76" s="101">
        <v>5.1959999999999997</v>
      </c>
      <c r="S76" s="102">
        <f t="shared" si="2"/>
        <v>520924.98</v>
      </c>
    </row>
    <row r="77" spans="1:19" x14ac:dyDescent="0.35">
      <c r="A77" s="55" t="s">
        <v>33</v>
      </c>
      <c r="B77" s="55" t="str">
        <f>+VLOOKUP($D77,[1]STS!$A$9:$E$1405,3,0)</f>
        <v>05</v>
      </c>
      <c r="C77" s="86">
        <f>+VLOOKUP($D77,[1]STS!$A$9:$E$1405,4,0)</f>
        <v>17</v>
      </c>
      <c r="D77" s="71" t="s">
        <v>248</v>
      </c>
      <c r="E77" s="97">
        <f>+IF(ISERROR(VLOOKUP($D77,[1]STS!$E$9:$G$1503,3,0)=0),0,VLOOKUP($D77,[1]STS!$E$9:$G$1503,3,0))</f>
        <v>8.9499999999999993</v>
      </c>
      <c r="F77" s="98">
        <v>2.4390000000000001</v>
      </c>
      <c r="G77" s="99">
        <f>+IF(ISERROR(VLOOKUP(D77,[1]STS!$E$9:$AO$1503,37,0)=0),0,VLOOKUP(D77,[1]STS!$E$9:$AO$1503,37,0))</f>
        <v>1.0785184413580282</v>
      </c>
      <c r="H77" s="77" t="str">
        <f>+IF(ISERROR(VLOOKUP(D77,[1]STS!$E$9:$I$1503,5,0)=0),0,VLOOKUP(D77,[1]STS!$E$9:$I$1503,5,0))</f>
        <v>ST</v>
      </c>
      <c r="I77" s="56"/>
      <c r="J77" s="66" t="str">
        <f>VLOOKUP(D77,[1]STS!$E$9:$BC$1359,51,0)</f>
        <v>F18</v>
      </c>
      <c r="K77" s="57"/>
      <c r="L77" s="78" t="str">
        <f>+VLOOKUP(N77,'[1]MSTR AKT'!$C$4:$E$460,3,0)</f>
        <v>Etri 2</v>
      </c>
      <c r="M77" s="79">
        <f>+IF(ISERROR(VLOOKUP($N77,'[1]MSTR AKT'!$C$4:$D$460,2,0)=0),0,VLOOKUP($N77,'[1]MSTR AKT'!$C$4:$D$460,2,0))</f>
        <v>1315131515</v>
      </c>
      <c r="N77" s="70" t="s">
        <v>352</v>
      </c>
      <c r="O77" s="58"/>
      <c r="P77" s="59">
        <v>45999</v>
      </c>
      <c r="Q77" s="100">
        <v>4</v>
      </c>
      <c r="R77" s="101">
        <v>9.7560000000000002</v>
      </c>
      <c r="S77" s="102">
        <f t="shared" si="2"/>
        <v>978087.78</v>
      </c>
    </row>
    <row r="78" spans="1:19" x14ac:dyDescent="0.35">
      <c r="A78" s="55" t="s">
        <v>33</v>
      </c>
      <c r="B78" s="55" t="str">
        <f>+VLOOKUP($D78,[1]STS!$A$9:$E$1405,3,0)</f>
        <v>05</v>
      </c>
      <c r="C78" s="86">
        <f>+VLOOKUP($D78,[1]STS!$A$9:$E$1405,4,0)</f>
        <v>17</v>
      </c>
      <c r="D78" s="71" t="s">
        <v>206</v>
      </c>
      <c r="E78" s="97">
        <f>+IF(ISERROR(VLOOKUP($D78,[1]STS!$E$9:$G$1503,3,0)=0),0,VLOOKUP($D78,[1]STS!$E$9:$G$1503,3,0))</f>
        <v>7.67</v>
      </c>
      <c r="F78" s="98">
        <v>2.2409999999999997</v>
      </c>
      <c r="G78" s="99">
        <f>+IF(ISERROR(VLOOKUP(D78,[1]STS!$E$9:$AO$1503,37,0)=0),0,VLOOKUP(D78,[1]STS!$E$9:$AO$1503,37,0))</f>
        <v>3.2118517746913615</v>
      </c>
      <c r="H78" s="77" t="str">
        <f>+IF(ISERROR(VLOOKUP(D78,[1]STS!$E$9:$I$1503,5,0)=0),0,VLOOKUP(D78,[1]STS!$E$9:$I$1503,5,0))</f>
        <v>FC</v>
      </c>
      <c r="I78" s="56"/>
      <c r="J78" s="66" t="str">
        <f>VLOOKUP(D78,[1]STS!$E$9:$BC$1359,51,0)</f>
        <v>F18CK</v>
      </c>
      <c r="K78" s="57"/>
      <c r="L78" s="78" t="str">
        <f>+VLOOKUP(N78,'[1]MSTR AKT'!$C$4:$E$460,3,0)</f>
        <v>Etri 2</v>
      </c>
      <c r="M78" s="79">
        <f>+IF(ISERROR(VLOOKUP($N78,'[1]MSTR AKT'!$C$4:$D$460,2,0)=0),0,VLOOKUP($N78,'[1]MSTR AKT'!$C$4:$D$460,2,0))</f>
        <v>1315131515</v>
      </c>
      <c r="N78" s="70" t="s">
        <v>352</v>
      </c>
      <c r="O78" s="58"/>
      <c r="P78" s="59">
        <v>46003</v>
      </c>
      <c r="Q78" s="100">
        <v>4</v>
      </c>
      <c r="R78" s="101">
        <v>8.9639999999999986</v>
      </c>
      <c r="S78" s="102">
        <f t="shared" si="2"/>
        <v>898685.81999999983</v>
      </c>
    </row>
    <row r="79" spans="1:19" x14ac:dyDescent="0.35">
      <c r="A79" s="55" t="s">
        <v>33</v>
      </c>
      <c r="B79" s="55" t="str">
        <f>+VLOOKUP($D79,[1]STS!$A$9:$E$1405,3,0)</f>
        <v>05</v>
      </c>
      <c r="C79" s="86">
        <f>+VLOOKUP($D79,[1]STS!$A$9:$E$1405,4,0)</f>
        <v>17</v>
      </c>
      <c r="D79" s="71" t="s">
        <v>207</v>
      </c>
      <c r="E79" s="97">
        <f>+IF(ISERROR(VLOOKUP($D79,[1]STS!$E$9:$G$1503,3,0)=0),0,VLOOKUP($D79,[1]STS!$E$9:$G$1503,3,0))</f>
        <v>8.74</v>
      </c>
      <c r="F79" s="98">
        <v>2.6279999999999997</v>
      </c>
      <c r="G79" s="99">
        <f>+IF(ISERROR(VLOOKUP(D79,[1]STS!$E$9:$AO$1503,37,0)=0),0,VLOOKUP(D79,[1]STS!$E$9:$AO$1503,37,0))</f>
        <v>3.2118517746913615</v>
      </c>
      <c r="H79" s="77" t="str">
        <f>+IF(ISERROR(VLOOKUP(D79,[1]STS!$E$9:$I$1503,5,0)=0),0,VLOOKUP(D79,[1]STS!$E$9:$I$1503,5,0))</f>
        <v>FC</v>
      </c>
      <c r="I79" s="56"/>
      <c r="J79" s="66" t="str">
        <f>VLOOKUP(D79,[1]STS!$E$9:$BC$1359,51,0)</f>
        <v>F18CK</v>
      </c>
      <c r="K79" s="57"/>
      <c r="L79" s="78" t="str">
        <f>+VLOOKUP(N79,'[1]MSTR AKT'!$C$4:$E$460,3,0)</f>
        <v>Etri 2</v>
      </c>
      <c r="M79" s="79">
        <f>+IF(ISERROR(VLOOKUP($N79,'[1]MSTR AKT'!$C$4:$D$460,2,0)=0),0,VLOOKUP($N79,'[1]MSTR AKT'!$C$4:$D$460,2,0))</f>
        <v>1315131515</v>
      </c>
      <c r="N79" s="70" t="s">
        <v>352</v>
      </c>
      <c r="O79" s="58"/>
      <c r="P79" s="59">
        <v>45999</v>
      </c>
      <c r="Q79" s="100">
        <v>4</v>
      </c>
      <c r="R79" s="101">
        <v>10.511999999999999</v>
      </c>
      <c r="S79" s="102">
        <f t="shared" si="2"/>
        <v>1053880.5599999998</v>
      </c>
    </row>
    <row r="80" spans="1:19" x14ac:dyDescent="0.35">
      <c r="A80" s="55" t="s">
        <v>33</v>
      </c>
      <c r="B80" s="55" t="str">
        <f>+VLOOKUP($D80,[1]STS!$A$9:$E$1405,3,0)</f>
        <v>05</v>
      </c>
      <c r="C80" s="86">
        <f>+VLOOKUP($D80,[1]STS!$A$9:$E$1405,4,0)</f>
        <v>17</v>
      </c>
      <c r="D80" s="71" t="s">
        <v>108</v>
      </c>
      <c r="E80" s="97">
        <f>+IF(ISERROR(VLOOKUP($D80,[1]STS!$E$9:$G$1503,3,0)=0),0,VLOOKUP($D80,[1]STS!$E$9:$G$1503,3,0))</f>
        <v>4.76</v>
      </c>
      <c r="F80" s="98">
        <v>0.78400000000000003</v>
      </c>
      <c r="G80" s="99">
        <f>+IF(ISERROR(VLOOKUP(D80,[1]STS!$E$9:$AO$1503,37,0)=0),0,VLOOKUP(D80,[1]STS!$E$9:$AO$1503,37,0))</f>
        <v>8.7785184413580275</v>
      </c>
      <c r="H80" s="77" t="str">
        <f>+IF(ISERROR(VLOOKUP(D80,[1]STS!$E$9:$I$1503,5,0)=0),0,VLOOKUP(D80,[1]STS!$E$9:$I$1503,5,0))</f>
        <v>FC</v>
      </c>
      <c r="I80" s="56"/>
      <c r="J80" s="66" t="str">
        <f>VLOOKUP(D80,[1]STS!$E$9:$BC$1359,51,0)</f>
        <v>F18SB</v>
      </c>
      <c r="K80" s="57"/>
      <c r="L80" s="78" t="str">
        <f>+VLOOKUP(N80,'[1]MSTR AKT'!$C$4:$E$460,3,0)</f>
        <v>Etri 2</v>
      </c>
      <c r="M80" s="79">
        <f>+IF(ISERROR(VLOOKUP($N80,'[1]MSTR AKT'!$C$4:$D$460,2,0)=0),0,VLOOKUP($N80,'[1]MSTR AKT'!$C$4:$D$460,2,0))</f>
        <v>1315131315</v>
      </c>
      <c r="N80" s="70" t="s">
        <v>7</v>
      </c>
      <c r="O80" s="58"/>
      <c r="P80" s="59">
        <v>45999</v>
      </c>
      <c r="Q80" s="100">
        <v>3</v>
      </c>
      <c r="R80" s="101">
        <v>2.3520000000000003</v>
      </c>
      <c r="S80" s="102">
        <f t="shared" si="2"/>
        <v>235799.76000000004</v>
      </c>
    </row>
    <row r="81" spans="1:19" x14ac:dyDescent="0.35">
      <c r="A81" s="55" t="s">
        <v>33</v>
      </c>
      <c r="B81" s="55" t="str">
        <f>+VLOOKUP($D81,[1]STS!$A$9:$E$1405,3,0)</f>
        <v>05</v>
      </c>
      <c r="C81" s="86">
        <f>+VLOOKUP($D81,[1]STS!$A$9:$E$1405,4,0)</f>
        <v>17</v>
      </c>
      <c r="D81" s="71" t="s">
        <v>107</v>
      </c>
      <c r="E81" s="97">
        <f>+IF(ISERROR(VLOOKUP($D81,[1]STS!$E$9:$G$1503,3,0)=0),0,VLOOKUP($D81,[1]STS!$E$9:$G$1503,3,0))</f>
        <v>4.28</v>
      </c>
      <c r="F81" s="98">
        <v>0.70199999999999996</v>
      </c>
      <c r="G81" s="99">
        <f>+IF(ISERROR(VLOOKUP(D81,[1]STS!$E$9:$AO$1503,37,0)=0),0,VLOOKUP(D81,[1]STS!$E$9:$AO$1503,37,0))</f>
        <v>8.7451851080246943</v>
      </c>
      <c r="H81" s="77" t="str">
        <f>+IF(ISERROR(VLOOKUP(D81,[1]STS!$E$9:$I$1503,5,0)=0),0,VLOOKUP(D81,[1]STS!$E$9:$I$1503,5,0))</f>
        <v>FC</v>
      </c>
      <c r="I81" s="56"/>
      <c r="J81" s="66" t="str">
        <f>VLOOKUP(D81,[1]STS!$E$9:$BC$1359,51,0)</f>
        <v>F18SB</v>
      </c>
      <c r="K81" s="57"/>
      <c r="L81" s="78" t="str">
        <f>+VLOOKUP(N81,'[1]MSTR AKT'!$C$4:$E$460,3,0)</f>
        <v>Etri 2</v>
      </c>
      <c r="M81" s="79">
        <f>+IF(ISERROR(VLOOKUP($N81,'[1]MSTR AKT'!$C$4:$D$460,2,0)=0),0,VLOOKUP($N81,'[1]MSTR AKT'!$C$4:$D$460,2,0))</f>
        <v>1315131315</v>
      </c>
      <c r="N81" s="70" t="s">
        <v>7</v>
      </c>
      <c r="O81" s="58"/>
      <c r="P81" s="59">
        <v>46003</v>
      </c>
      <c r="Q81" s="100">
        <v>3</v>
      </c>
      <c r="R81" s="101">
        <v>2.1059999999999999</v>
      </c>
      <c r="S81" s="102">
        <f t="shared" si="2"/>
        <v>211137.03</v>
      </c>
    </row>
    <row r="82" spans="1:19" x14ac:dyDescent="0.35">
      <c r="A82" s="55" t="s">
        <v>33</v>
      </c>
      <c r="B82" s="55" t="str">
        <f>+VLOOKUP($D82,[1]STS!$A$9:$E$1405,3,0)</f>
        <v>05</v>
      </c>
      <c r="C82" s="86">
        <f>+VLOOKUP($D82,[1]STS!$A$9:$E$1405,4,0)</f>
        <v>17</v>
      </c>
      <c r="D82" s="71" t="s">
        <v>250</v>
      </c>
      <c r="E82" s="97">
        <f>+IF(ISERROR(VLOOKUP($D82,[1]STS!$E$9:$G$1503,3,0)=0),0,VLOOKUP($D82,[1]STS!$E$9:$G$1503,3,0))</f>
        <v>11.01</v>
      </c>
      <c r="F82" s="98">
        <v>2.202</v>
      </c>
      <c r="G82" s="99">
        <f>+IF(ISERROR(VLOOKUP(D82,[1]STS!$E$9:$AO$1503,37,0)=0),0,VLOOKUP(D82,[1]STS!$E$9:$AO$1503,37,0))</f>
        <v>0.24518510802469487</v>
      </c>
      <c r="H82" s="77" t="str">
        <f>+IF(ISERROR(VLOOKUP(D82,[1]STS!$E$9:$I$1503,5,0)=0),0,VLOOKUP(D82,[1]STS!$E$9:$I$1503,5,0))</f>
        <v>SC</v>
      </c>
      <c r="I82" s="56"/>
      <c r="J82" s="66" t="str">
        <f>VLOOKUP(D82,[1]STS!$E$9:$BC$1359,51,0)</f>
        <v>F18</v>
      </c>
      <c r="K82" s="57"/>
      <c r="L82" s="78" t="str">
        <f>+VLOOKUP(N82,'[1]MSTR AKT'!$C$4:$E$460,3,0)</f>
        <v>Etri 2</v>
      </c>
      <c r="M82" s="79">
        <f>+IF(ISERROR(VLOOKUP($N82,'[1]MSTR AKT'!$C$4:$D$460,2,0)=0),0,VLOOKUP($N82,'[1]MSTR AKT'!$C$4:$D$460,2,0))</f>
        <v>1315131315</v>
      </c>
      <c r="N82" s="70" t="s">
        <v>7</v>
      </c>
      <c r="O82" s="58"/>
      <c r="P82" s="59">
        <v>45998</v>
      </c>
      <c r="Q82" s="100">
        <v>3</v>
      </c>
      <c r="R82" s="101">
        <v>6.6059999999999999</v>
      </c>
      <c r="S82" s="102">
        <f t="shared" si="2"/>
        <v>662284.53</v>
      </c>
    </row>
    <row r="83" spans="1:19" x14ac:dyDescent="0.35">
      <c r="A83" s="55" t="s">
        <v>33</v>
      </c>
      <c r="B83" s="55" t="str">
        <f>+VLOOKUP($D83,[1]STS!$A$9:$E$1405,3,0)</f>
        <v>05</v>
      </c>
      <c r="C83" s="86">
        <f>+VLOOKUP($D83,[1]STS!$A$9:$E$1405,4,0)</f>
        <v>17</v>
      </c>
      <c r="D83" s="71" t="s">
        <v>39</v>
      </c>
      <c r="E83" s="97">
        <f>+IF(ISERROR(VLOOKUP($D83,[1]STS!$E$9:$G$1503,3,0)=0),0,VLOOKUP($D83,[1]STS!$E$9:$G$1503,3,0))</f>
        <v>7.7</v>
      </c>
      <c r="F83" s="113">
        <v>1.508</v>
      </c>
      <c r="G83" s="99">
        <f>+IF(ISERROR(VLOOKUP(D83,[1]STS!$E$9:$AO$1503,37,0)=0),0,VLOOKUP(D83,[1]STS!$E$9:$AO$1503,37,0))</f>
        <v>10.011851774691362</v>
      </c>
      <c r="H83" s="77" t="str">
        <f>+IF(ISERROR(VLOOKUP(D83,[1]STS!$E$9:$I$1503,5,0)=0),0,VLOOKUP(D83,[1]STS!$E$9:$I$1503,5,0))</f>
        <v>FC</v>
      </c>
      <c r="I83" s="56"/>
      <c r="J83" s="66" t="str">
        <f>VLOOKUP(D83,[1]STS!$E$9:$BC$1359,51,0)</f>
        <v>GP3CK</v>
      </c>
      <c r="K83" s="57"/>
      <c r="L83" s="78" t="str">
        <f>+VLOOKUP(N83,'[1]MSTR AKT'!$C$4:$E$460,3,0)</f>
        <v>Etri 2</v>
      </c>
      <c r="M83" s="79">
        <f>+IF(ISERROR(VLOOKUP($N83,'[1]MSTR AKT'!$C$4:$D$460,2,0)=0),0,VLOOKUP($N83,'[1]MSTR AKT'!$C$4:$D$460,2,0))</f>
        <v>1315131315</v>
      </c>
      <c r="N83" s="70" t="s">
        <v>7</v>
      </c>
      <c r="O83" s="58"/>
      <c r="P83" s="59">
        <v>45999</v>
      </c>
      <c r="Q83" s="100">
        <v>3</v>
      </c>
      <c r="R83" s="101">
        <v>4.524</v>
      </c>
      <c r="S83" s="102">
        <f t="shared" si="2"/>
        <v>453553.62</v>
      </c>
    </row>
    <row r="84" spans="1:19" x14ac:dyDescent="0.35">
      <c r="A84" s="55" t="s">
        <v>33</v>
      </c>
      <c r="B84" s="55" t="str">
        <f>+VLOOKUP($D84,[1]STS!$A$9:$E$1405,3,0)</f>
        <v>05</v>
      </c>
      <c r="C84" s="86">
        <f>+VLOOKUP($D84,[1]STS!$A$9:$E$1405,4,0)</f>
        <v>17</v>
      </c>
      <c r="D84" s="71" t="s">
        <v>40</v>
      </c>
      <c r="E84" s="97">
        <f>+IF(ISERROR(VLOOKUP($D84,[1]STS!$E$9:$G$1503,3,0)=0),0,VLOOKUP($D84,[1]STS!$E$9:$G$1503,3,0))</f>
        <v>12.69</v>
      </c>
      <c r="F84" s="98">
        <v>2.5</v>
      </c>
      <c r="G84" s="99">
        <f>+IF(ISERROR(VLOOKUP(D84,[1]STS!$E$9:$AO$1503,37,0)=0),0,VLOOKUP(D84,[1]STS!$E$9:$AO$1503,37,0))</f>
        <v>10.211851774691361</v>
      </c>
      <c r="H84" s="77" t="str">
        <f>+IF(ISERROR(VLOOKUP(D84,[1]STS!$E$9:$I$1503,5,0)=0),0,VLOOKUP(D84,[1]STS!$E$9:$I$1503,5,0))</f>
        <v>FC</v>
      </c>
      <c r="I84" s="56"/>
      <c r="J84" s="66" t="str">
        <f>VLOOKUP(D84,[1]STS!$E$9:$BC$1359,51,0)</f>
        <v>GP3CK</v>
      </c>
      <c r="K84" s="57"/>
      <c r="L84" s="78" t="str">
        <f>+VLOOKUP(N84,'[1]MSTR AKT'!$C$4:$E$460,3,0)</f>
        <v>Etri 2</v>
      </c>
      <c r="M84" s="79">
        <f>+IF(ISERROR(VLOOKUP($N84,'[1]MSTR AKT'!$C$4:$D$460,2,0)=0),0,VLOOKUP($N84,'[1]MSTR AKT'!$C$4:$D$460,2,0))</f>
        <v>1315131315</v>
      </c>
      <c r="N84" s="70" t="s">
        <v>7</v>
      </c>
      <c r="O84" s="58"/>
      <c r="P84" s="59">
        <v>45999</v>
      </c>
      <c r="Q84" s="100">
        <v>3</v>
      </c>
      <c r="R84" s="101">
        <v>7.5</v>
      </c>
      <c r="S84" s="102">
        <f t="shared" si="2"/>
        <v>751912.5</v>
      </c>
    </row>
    <row r="85" spans="1:19" x14ac:dyDescent="0.35">
      <c r="A85" s="55" t="s">
        <v>33</v>
      </c>
      <c r="B85" s="55" t="str">
        <f>+VLOOKUP($D85,[1]STS!$A$9:$E$1405,3,0)</f>
        <v>05</v>
      </c>
      <c r="C85" s="86">
        <f>+VLOOKUP($D85,[1]STS!$A$9:$E$1405,4,0)</f>
        <v>17</v>
      </c>
      <c r="D85" s="71" t="s">
        <v>88</v>
      </c>
      <c r="E85" s="97">
        <f>+IF(ISERROR(VLOOKUP($D85,[1]STS!$E$9:$G$1503,3,0)=0),0,VLOOKUP($D85,[1]STS!$E$9:$G$1503,3,0))</f>
        <v>7.09</v>
      </c>
      <c r="F85" s="98">
        <v>1.4180000000000001</v>
      </c>
      <c r="G85" s="99">
        <f>+IF(ISERROR(VLOOKUP(D85,[1]STS!$E$9:$AO$1503,37,0)=0),0,VLOOKUP(D85,[1]STS!$E$9:$AO$1503,37,0))</f>
        <v>3.1451851080246951</v>
      </c>
      <c r="H85" s="77" t="str">
        <f>+IF(ISERROR(VLOOKUP(D85,[1]STS!$E$9:$I$1503,5,0)=0),0,VLOOKUP(D85,[1]STS!$E$9:$I$1503,5,0))</f>
        <v>SC</v>
      </c>
      <c r="I85" s="56"/>
      <c r="J85" s="66" t="str">
        <f>VLOOKUP(D85,[1]STS!$E$9:$BC$1359,51,0)</f>
        <v>F18</v>
      </c>
      <c r="K85" s="57"/>
      <c r="L85" s="78" t="str">
        <f>+VLOOKUP(N85,'[1]MSTR AKT'!$C$4:$E$460,3,0)</f>
        <v>Etri 2</v>
      </c>
      <c r="M85" s="79">
        <f>+IF(ISERROR(VLOOKUP($N85,'[1]MSTR AKT'!$C$4:$D$460,2,0)=0),0,VLOOKUP($N85,'[1]MSTR AKT'!$C$4:$D$460,2,0))</f>
        <v>1315131315</v>
      </c>
      <c r="N85" s="70" t="s">
        <v>7</v>
      </c>
      <c r="O85" s="58"/>
      <c r="P85" s="59">
        <v>45999</v>
      </c>
      <c r="Q85" s="100">
        <v>3</v>
      </c>
      <c r="R85" s="101">
        <v>4.2540000000000004</v>
      </c>
      <c r="S85" s="102">
        <f t="shared" si="2"/>
        <v>426484.77</v>
      </c>
    </row>
    <row r="86" spans="1:19" x14ac:dyDescent="0.35">
      <c r="A86" s="55" t="s">
        <v>33</v>
      </c>
      <c r="B86" s="55" t="str">
        <f>+VLOOKUP($D86,[1]STS!$A$9:$E$1405,3,0)</f>
        <v>05</v>
      </c>
      <c r="C86" s="86">
        <f>+VLOOKUP($D86,[1]STS!$A$9:$E$1405,4,0)</f>
        <v>17</v>
      </c>
      <c r="D86" s="71" t="s">
        <v>90</v>
      </c>
      <c r="E86" s="97">
        <f>+IF(ISERROR(VLOOKUP($D86,[1]STS!$E$9:$G$1503,3,0)=0),0,VLOOKUP($D86,[1]STS!$E$9:$G$1503,3,0))</f>
        <v>6.04</v>
      </c>
      <c r="F86" s="98">
        <v>1.1000000000000001</v>
      </c>
      <c r="G86" s="99">
        <f>+IF(ISERROR(VLOOKUP(D86,[1]STS!$E$9:$AO$1503,37,0)=0),0,VLOOKUP(D86,[1]STS!$E$9:$AO$1503,37,0))</f>
        <v>9.1118517746913614</v>
      </c>
      <c r="H86" s="77" t="str">
        <f>+IF(ISERROR(VLOOKUP(D86,[1]STS!$E$9:$I$1503,5,0)=0),0,VLOOKUP(D86,[1]STS!$E$9:$I$1503,5,0))</f>
        <v>FC</v>
      </c>
      <c r="I86" s="56"/>
      <c r="J86" s="66" t="str">
        <f>VLOOKUP(D86,[1]STS!$E$9:$BC$1359,51,0)</f>
        <v>F18CK</v>
      </c>
      <c r="K86" s="57"/>
      <c r="L86" s="78" t="str">
        <f>+VLOOKUP(N86,'[1]MSTR AKT'!$C$4:$E$460,3,0)</f>
        <v>Etri 2</v>
      </c>
      <c r="M86" s="79">
        <f>+IF(ISERROR(VLOOKUP($N86,'[1]MSTR AKT'!$C$4:$D$460,2,0)=0),0,VLOOKUP($N86,'[1]MSTR AKT'!$C$4:$D$460,2,0))</f>
        <v>1315131315</v>
      </c>
      <c r="N86" s="70" t="s">
        <v>7</v>
      </c>
      <c r="O86" s="58"/>
      <c r="P86" s="59">
        <v>46003</v>
      </c>
      <c r="Q86" s="100">
        <v>3</v>
      </c>
      <c r="R86" s="101">
        <v>3.3000000000000003</v>
      </c>
      <c r="S86" s="102">
        <f t="shared" si="2"/>
        <v>330841.5</v>
      </c>
    </row>
    <row r="87" spans="1:19" x14ac:dyDescent="0.35">
      <c r="A87" s="55" t="s">
        <v>33</v>
      </c>
      <c r="B87" s="55" t="str">
        <f>+VLOOKUP($D87,[1]STS!$A$9:$E$1405,3,0)</f>
        <v>05</v>
      </c>
      <c r="C87" s="86">
        <f>+VLOOKUP($D87,[1]STS!$A$9:$E$1405,4,0)</f>
        <v>17</v>
      </c>
      <c r="D87" s="71" t="s">
        <v>75</v>
      </c>
      <c r="E87" s="97">
        <f>+IF(ISERROR(VLOOKUP($D87,[1]STS!$E$9:$G$1503,3,0)=0),0,VLOOKUP($D87,[1]STS!$E$9:$G$1503,3,0))</f>
        <v>12.18</v>
      </c>
      <c r="F87" s="98">
        <v>2.4359999999999999</v>
      </c>
      <c r="G87" s="99">
        <f>+IF(ISERROR(VLOOKUP(D87,[1]STS!$E$9:$AO$1503,37,0)=0),0,VLOOKUP(D87,[1]STS!$E$9:$AO$1503,37,0))</f>
        <v>16.078518441358028</v>
      </c>
      <c r="H87" s="77" t="str">
        <f>+IF(ISERROR(VLOOKUP(D87,[1]STS!$E$9:$I$1503,5,0)=0),0,VLOOKUP(D87,[1]STS!$E$9:$I$1503,5,0))</f>
        <v>FC</v>
      </c>
      <c r="I87" s="56"/>
      <c r="J87" s="66" t="str">
        <f>VLOOKUP(D87,[1]STS!$E$9:$BC$1359,51,0)</f>
        <v>GP3CK</v>
      </c>
      <c r="K87" s="57"/>
      <c r="L87" s="78" t="str">
        <f>+VLOOKUP(N87,'[1]MSTR AKT'!$C$4:$E$460,3,0)</f>
        <v>Etri 2</v>
      </c>
      <c r="M87" s="79">
        <f>+IF(ISERROR(VLOOKUP($N87,'[1]MSTR AKT'!$C$4:$D$460,2,0)=0),0,VLOOKUP($N87,'[1]MSTR AKT'!$C$4:$D$460,2,0))</f>
        <v>1315131315</v>
      </c>
      <c r="N87" s="70" t="s">
        <v>7</v>
      </c>
      <c r="O87" s="58"/>
      <c r="P87" s="59">
        <v>46000</v>
      </c>
      <c r="Q87" s="100">
        <v>3</v>
      </c>
      <c r="R87" s="101">
        <v>7.3079999999999998</v>
      </c>
      <c r="S87" s="102">
        <f>+R87*100255</f>
        <v>732663.54</v>
      </c>
    </row>
    <row r="88" spans="1:19" x14ac:dyDescent="0.35">
      <c r="A88" s="55" t="s">
        <v>33</v>
      </c>
      <c r="B88" s="55" t="str">
        <f>+VLOOKUP($D88,[1]STS!$A$9:$E$1405,3,0)</f>
        <v>05</v>
      </c>
      <c r="C88" s="86">
        <f>+VLOOKUP($D88,[1]STS!$A$9:$E$1405,4,0)</f>
        <v>17</v>
      </c>
      <c r="D88" s="71" t="s">
        <v>77</v>
      </c>
      <c r="E88" s="97">
        <f>+IF(ISERROR(VLOOKUP($D88,[1]STS!$E$9:$G$1503,3,0)=0),0,VLOOKUP($D88,[1]STS!$E$9:$G$1503,3,0))</f>
        <v>10.95</v>
      </c>
      <c r="F88" s="98">
        <v>2.0620000000000003</v>
      </c>
      <c r="G88" s="99">
        <f>+IF(ISERROR(VLOOKUP(D88,[1]STS!$E$9:$AO$1503,37,0)=0),0,VLOOKUP(D88,[1]STS!$E$9:$AO$1503,37,0))</f>
        <v>7.545185108024695</v>
      </c>
      <c r="H88" s="77" t="str">
        <f>+IF(ISERROR(VLOOKUP(D88,[1]STS!$E$9:$I$1503,5,0)=0),0,VLOOKUP(D88,[1]STS!$E$9:$I$1503,5,0))</f>
        <v>FC</v>
      </c>
      <c r="I88" s="56"/>
      <c r="J88" s="66" t="str">
        <f>VLOOKUP(D88,[1]STS!$E$9:$BC$1359,51,0)</f>
        <v>F18CK</v>
      </c>
      <c r="K88" s="57"/>
      <c r="L88" s="78" t="str">
        <f>+VLOOKUP(N88,'[1]MSTR AKT'!$C$4:$E$460,3,0)</f>
        <v>Etri 2</v>
      </c>
      <c r="M88" s="79">
        <f>+IF(ISERROR(VLOOKUP($N88,'[1]MSTR AKT'!$C$4:$D$460,2,0)=0),0,VLOOKUP($N88,'[1]MSTR AKT'!$C$4:$D$460,2,0))</f>
        <v>1315131315</v>
      </c>
      <c r="N88" s="70" t="s">
        <v>7</v>
      </c>
      <c r="O88" s="58"/>
      <c r="P88" s="59">
        <v>46004</v>
      </c>
      <c r="Q88" s="100">
        <v>3</v>
      </c>
      <c r="R88" s="101">
        <v>6.1860000000000008</v>
      </c>
      <c r="S88" s="102">
        <f t="shared" ref="S88:S107" si="4">+R88*100255</f>
        <v>620177.43000000005</v>
      </c>
    </row>
    <row r="89" spans="1:19" x14ac:dyDescent="0.35">
      <c r="A89" s="55" t="s">
        <v>33</v>
      </c>
      <c r="B89" s="55" t="str">
        <f>+VLOOKUP($D89,[1]STS!$A$9:$E$1405,3,0)</f>
        <v>05</v>
      </c>
      <c r="C89" s="86">
        <f>+VLOOKUP($D89,[1]STS!$A$9:$E$1405,4,0)</f>
        <v>17</v>
      </c>
      <c r="D89" s="71" t="s">
        <v>193</v>
      </c>
      <c r="E89" s="97">
        <f>+IF(ISERROR(VLOOKUP($D89,[1]STS!$E$9:$G$1503,3,0)=0),0,VLOOKUP($D89,[1]STS!$E$9:$G$1503,3,0))</f>
        <v>8.61</v>
      </c>
      <c r="F89" s="98">
        <v>1.7120000000000002</v>
      </c>
      <c r="G89" s="99">
        <f>+IF(ISERROR(VLOOKUP(D89,[1]STS!$E$9:$AO$1503,37,0)=0),0,VLOOKUP(D89,[1]STS!$E$9:$AO$1503,37,0))</f>
        <v>4.1785184413580279</v>
      </c>
      <c r="H89" s="77" t="str">
        <f>+IF(ISERROR(VLOOKUP(D89,[1]STS!$E$9:$I$1503,5,0)=0),0,VLOOKUP(D89,[1]STS!$E$9:$I$1503,5,0))</f>
        <v>FC</v>
      </c>
      <c r="I89" s="56"/>
      <c r="J89" s="66" t="str">
        <f>VLOOKUP(D89,[1]STS!$E$9:$BC$1359,51,0)</f>
        <v>GP3SS</v>
      </c>
      <c r="K89" s="57"/>
      <c r="L89" s="78" t="str">
        <f>+VLOOKUP(N89,'[1]MSTR AKT'!$C$4:$E$460,3,0)</f>
        <v>Etri 2</v>
      </c>
      <c r="M89" s="79">
        <f>+IF(ISERROR(VLOOKUP($N89,'[1]MSTR AKT'!$C$4:$D$460,2,0)=0),0,VLOOKUP($N89,'[1]MSTR AKT'!$C$4:$D$460,2,0))</f>
        <v>1315131315</v>
      </c>
      <c r="N89" s="70" t="s">
        <v>7</v>
      </c>
      <c r="O89" s="58"/>
      <c r="P89" s="59">
        <v>46000</v>
      </c>
      <c r="Q89" s="100">
        <v>3</v>
      </c>
      <c r="R89" s="101">
        <v>5.136000000000001</v>
      </c>
      <c r="S89" s="102">
        <f t="shared" si="4"/>
        <v>514909.68000000011</v>
      </c>
    </row>
    <row r="90" spans="1:19" x14ac:dyDescent="0.35">
      <c r="A90" s="55" t="s">
        <v>33</v>
      </c>
      <c r="B90" s="55" t="str">
        <f>+VLOOKUP($D90,[1]STS!$A$9:$E$1405,3,0)</f>
        <v>05</v>
      </c>
      <c r="C90" s="86">
        <f>+VLOOKUP($D90,[1]STS!$A$9:$E$1405,4,0)</f>
        <v>17</v>
      </c>
      <c r="D90" s="71" t="s">
        <v>242</v>
      </c>
      <c r="E90" s="97">
        <f>+IF(ISERROR(VLOOKUP($D90,[1]STS!$E$9:$G$1503,3,0)=0),0,VLOOKUP($D90,[1]STS!$E$9:$G$1503,3,0))</f>
        <v>4.5599999999999996</v>
      </c>
      <c r="F90" s="98">
        <v>0.81400000000000006</v>
      </c>
      <c r="G90" s="99">
        <f>+IF(ISERROR(VLOOKUP(D90,[1]STS!$E$9:$AO$1503,37,0)=0),0,VLOOKUP(D90,[1]STS!$E$9:$AO$1503,37,0))</f>
        <v>1.9118517746913615</v>
      </c>
      <c r="H90" s="77" t="str">
        <f>+IF(ISERROR(VLOOKUP(D90,[1]STS!$E$9:$I$1503,5,0)=0),0,VLOOKUP(D90,[1]STS!$E$9:$I$1503,5,0))</f>
        <v>FC</v>
      </c>
      <c r="I90" s="56"/>
      <c r="J90" s="66" t="str">
        <f>VLOOKUP(D90,[1]STS!$E$9:$BC$1359,51,0)</f>
        <v>F18SB</v>
      </c>
      <c r="K90" s="57"/>
      <c r="L90" s="78" t="str">
        <f>+VLOOKUP(N90,'[1]MSTR AKT'!$C$4:$E$460,3,0)</f>
        <v>Etri 2</v>
      </c>
      <c r="M90" s="79">
        <f>+IF(ISERROR(VLOOKUP($N90,'[1]MSTR AKT'!$C$4:$D$460,2,0)=0),0,VLOOKUP($N90,'[1]MSTR AKT'!$C$4:$D$460,2,0))</f>
        <v>1315131517</v>
      </c>
      <c r="N90" s="70" t="s">
        <v>4</v>
      </c>
      <c r="O90" s="58"/>
      <c r="P90" s="59">
        <v>46001</v>
      </c>
      <c r="Q90" s="100">
        <v>3</v>
      </c>
      <c r="R90" s="101">
        <v>2.4420000000000002</v>
      </c>
      <c r="S90" s="102">
        <f t="shared" si="4"/>
        <v>244822.71000000002</v>
      </c>
    </row>
    <row r="91" spans="1:19" x14ac:dyDescent="0.35">
      <c r="A91" s="55" t="s">
        <v>33</v>
      </c>
      <c r="B91" s="55" t="str">
        <f>+VLOOKUP($D91,[1]STS!$A$9:$E$1405,3,0)</f>
        <v>05</v>
      </c>
      <c r="C91" s="86">
        <f>+VLOOKUP($D91,[1]STS!$A$9:$E$1405,4,0)</f>
        <v>17</v>
      </c>
      <c r="D91" s="71" t="s">
        <v>73</v>
      </c>
      <c r="E91" s="97">
        <f>+IF(ISERROR(VLOOKUP($D91,[1]STS!$E$9:$G$1503,3,0)=0),0,VLOOKUP($D91,[1]STS!$E$9:$G$1503,3,0))</f>
        <v>10.1</v>
      </c>
      <c r="F91" s="98">
        <v>1.9760000000000002</v>
      </c>
      <c r="G91" s="99">
        <f>+IF(ISERROR(VLOOKUP(D91,[1]STS!$E$9:$AO$1503,37,0)=0),0,VLOOKUP(D91,[1]STS!$E$9:$AO$1503,37,0))</f>
        <v>3.6785184413580283</v>
      </c>
      <c r="H91" s="77" t="str">
        <f>+IF(ISERROR(VLOOKUP(D91,[1]STS!$E$9:$I$1503,5,0)=0),0,VLOOKUP(D91,[1]STS!$E$9:$I$1503,5,0))</f>
        <v>FC</v>
      </c>
      <c r="I91" s="56"/>
      <c r="J91" s="66" t="str">
        <f>VLOOKUP(D91,[1]STS!$E$9:$BC$1359,51,0)</f>
        <v>GP3CK</v>
      </c>
      <c r="K91" s="57"/>
      <c r="L91" s="78" t="str">
        <f>+VLOOKUP(N91,'[1]MSTR AKT'!$C$4:$E$460,3,0)</f>
        <v>Etri 2</v>
      </c>
      <c r="M91" s="79">
        <f>+IF(ISERROR(VLOOKUP($N91,'[1]MSTR AKT'!$C$4:$D$460,2,0)=0),0,VLOOKUP($N91,'[1]MSTR AKT'!$C$4:$D$460,2,0))</f>
        <v>1315131517</v>
      </c>
      <c r="N91" s="70" t="s">
        <v>4</v>
      </c>
      <c r="O91" s="58"/>
      <c r="P91" s="59">
        <v>45998</v>
      </c>
      <c r="Q91" s="100">
        <v>3</v>
      </c>
      <c r="R91" s="101">
        <v>5.9280000000000008</v>
      </c>
      <c r="S91" s="102">
        <f t="shared" si="4"/>
        <v>594311.64000000013</v>
      </c>
    </row>
    <row r="92" spans="1:19" x14ac:dyDescent="0.35">
      <c r="A92" s="55" t="s">
        <v>33</v>
      </c>
      <c r="B92" s="55" t="str">
        <f>+VLOOKUP($D92,[1]STS!$A$9:$E$1405,3,0)</f>
        <v>05</v>
      </c>
      <c r="C92" s="86">
        <f>+VLOOKUP($D92,[1]STS!$A$9:$E$1405,4,0)</f>
        <v>17</v>
      </c>
      <c r="D92" s="71" t="s">
        <v>243</v>
      </c>
      <c r="E92" s="97">
        <f>+IF(ISERROR(VLOOKUP($D92,[1]STS!$E$9:$G$1503,3,0)=0),0,VLOOKUP($D92,[1]STS!$E$9:$G$1503,3,0))</f>
        <v>10.87</v>
      </c>
      <c r="F92" s="98">
        <v>2.1739999999999999</v>
      </c>
      <c r="G92" s="99">
        <f>+IF(ISERROR(VLOOKUP(D92,[1]STS!$E$9:$AO$1503,37,0)=0),0,VLOOKUP(D92,[1]STS!$E$9:$AO$1503,37,0))</f>
        <v>13.478518441358029</v>
      </c>
      <c r="H92" s="77" t="str">
        <f>+IF(ISERROR(VLOOKUP(D92,[1]STS!$E$9:$I$1503,5,0)=0),0,VLOOKUP(D92,[1]STS!$E$9:$I$1503,5,0))</f>
        <v>FC</v>
      </c>
      <c r="I92" s="56"/>
      <c r="J92" s="66" t="str">
        <f>VLOOKUP(D92,[1]STS!$E$9:$BC$1359,51,0)</f>
        <v>F18CK</v>
      </c>
      <c r="K92" s="57"/>
      <c r="L92" s="78" t="str">
        <f>+VLOOKUP(N92,'[1]MSTR AKT'!$C$4:$E$460,3,0)</f>
        <v>Etri 2</v>
      </c>
      <c r="M92" s="79">
        <f>+IF(ISERROR(VLOOKUP($N92,'[1]MSTR AKT'!$C$4:$D$460,2,0)=0),0,VLOOKUP($N92,'[1]MSTR AKT'!$C$4:$D$460,2,0))</f>
        <v>1315131517</v>
      </c>
      <c r="N92" s="70" t="s">
        <v>4</v>
      </c>
      <c r="O92" s="58"/>
      <c r="P92" s="59">
        <v>46003</v>
      </c>
      <c r="Q92" s="100">
        <v>3</v>
      </c>
      <c r="R92" s="101">
        <v>6.5220000000000002</v>
      </c>
      <c r="S92" s="102">
        <f t="shared" si="4"/>
        <v>653863.11</v>
      </c>
    </row>
    <row r="93" spans="1:19" x14ac:dyDescent="0.35">
      <c r="A93" s="55" t="s">
        <v>33</v>
      </c>
      <c r="B93" s="55" t="str">
        <f>+VLOOKUP($D93,[1]STS!$A$9:$E$1405,3,0)</f>
        <v>05</v>
      </c>
      <c r="C93" s="86">
        <f>+VLOOKUP($D93,[1]STS!$A$9:$E$1405,4,0)</f>
        <v>17</v>
      </c>
      <c r="D93" s="71" t="s">
        <v>91</v>
      </c>
      <c r="E93" s="97">
        <f>+IF(ISERROR(VLOOKUP($D93,[1]STS!$E$9:$G$1503,3,0)=0),0,VLOOKUP($D93,[1]STS!$E$9:$G$1503,3,0))</f>
        <v>11.83</v>
      </c>
      <c r="F93" s="98">
        <v>2.254</v>
      </c>
      <c r="G93" s="99">
        <f>+IF(ISERROR(VLOOKUP(D93,[1]STS!$E$9:$AO$1503,37,0)=0),0,VLOOKUP(D93,[1]STS!$E$9:$AO$1503,37,0))</f>
        <v>7.6118517746913614</v>
      </c>
      <c r="H93" s="77" t="str">
        <f>+IF(ISERROR(VLOOKUP(D93,[1]STS!$E$9:$I$1503,5,0)=0),0,VLOOKUP(D93,[1]STS!$E$9:$I$1503,5,0))</f>
        <v>FC</v>
      </c>
      <c r="I93" s="56"/>
      <c r="J93" s="66" t="str">
        <f>VLOOKUP(D93,[1]STS!$E$9:$BC$1359,51,0)</f>
        <v>F18SB</v>
      </c>
      <c r="K93" s="57"/>
      <c r="L93" s="78" t="str">
        <f>+VLOOKUP(N93,'[1]MSTR AKT'!$C$4:$E$460,3,0)</f>
        <v>Etri 2</v>
      </c>
      <c r="M93" s="79">
        <f>+IF(ISERROR(VLOOKUP($N93,'[1]MSTR AKT'!$C$4:$D$460,2,0)=0),0,VLOOKUP($N93,'[1]MSTR AKT'!$C$4:$D$460,2,0))</f>
        <v>1315131517</v>
      </c>
      <c r="N93" s="70" t="s">
        <v>4</v>
      </c>
      <c r="O93" s="58"/>
      <c r="P93" s="59">
        <v>45998</v>
      </c>
      <c r="Q93" s="100">
        <v>3</v>
      </c>
      <c r="R93" s="101">
        <v>6.7620000000000005</v>
      </c>
      <c r="S93" s="102">
        <f t="shared" si="4"/>
        <v>677924.31</v>
      </c>
    </row>
    <row r="94" spans="1:19" x14ac:dyDescent="0.35">
      <c r="A94" s="55" t="s">
        <v>33</v>
      </c>
      <c r="B94" s="55" t="str">
        <f>+VLOOKUP($D94,[1]STS!$A$9:$E$1405,3,0)</f>
        <v>05</v>
      </c>
      <c r="C94" s="86">
        <f>+VLOOKUP($D94,[1]STS!$A$9:$E$1405,4,0)</f>
        <v>17</v>
      </c>
      <c r="D94" s="71" t="s">
        <v>244</v>
      </c>
      <c r="E94" s="97">
        <f>+IF(ISERROR(VLOOKUP($D94,[1]STS!$E$9:$G$1503,3,0)=0),0,VLOOKUP($D94,[1]STS!$E$9:$G$1503,3,0))</f>
        <v>9.5500000000000007</v>
      </c>
      <c r="F94" s="98">
        <v>1.9100000000000001</v>
      </c>
      <c r="G94" s="99">
        <f>+IF(ISERROR(VLOOKUP(D94,[1]STS!$E$9:$AO$1503,37,0)=0),0,VLOOKUP(D94,[1]STS!$E$9:$AO$1503,37,0))</f>
        <v>9.8785184413580289</v>
      </c>
      <c r="H94" s="77" t="str">
        <f>+IF(ISERROR(VLOOKUP(D94,[1]STS!$E$9:$I$1503,5,0)=0),0,VLOOKUP(D94,[1]STS!$E$9:$I$1503,5,0))</f>
        <v>SC</v>
      </c>
      <c r="I94" s="56"/>
      <c r="J94" s="66" t="str">
        <f>VLOOKUP(D94,[1]STS!$E$9:$BC$1359,51,0)</f>
        <v>F18</v>
      </c>
      <c r="K94" s="57"/>
      <c r="L94" s="78" t="str">
        <f>+VLOOKUP(N94,'[1]MSTR AKT'!$C$4:$E$460,3,0)</f>
        <v>Etri 2</v>
      </c>
      <c r="M94" s="79">
        <f>+IF(ISERROR(VLOOKUP($N94,'[1]MSTR AKT'!$C$4:$D$460,2,0)=0),0,VLOOKUP($N94,'[1]MSTR AKT'!$C$4:$D$460,2,0))</f>
        <v>1315131517</v>
      </c>
      <c r="N94" s="70" t="s">
        <v>4</v>
      </c>
      <c r="O94" s="58"/>
      <c r="P94" s="59">
        <v>45999</v>
      </c>
      <c r="Q94" s="100">
        <v>3</v>
      </c>
      <c r="R94" s="101">
        <v>5.73</v>
      </c>
      <c r="S94" s="102">
        <f t="shared" si="4"/>
        <v>574461.15</v>
      </c>
    </row>
    <row r="95" spans="1:19" x14ac:dyDescent="0.35">
      <c r="A95" s="55" t="s">
        <v>33</v>
      </c>
      <c r="B95" s="55" t="str">
        <f>+VLOOKUP($D95,[1]STS!$A$9:$E$1405,3,0)</f>
        <v>05</v>
      </c>
      <c r="C95" s="86">
        <f>+VLOOKUP($D95,[1]STS!$A$9:$E$1405,4,0)</f>
        <v>17</v>
      </c>
      <c r="D95" s="71" t="s">
        <v>368</v>
      </c>
      <c r="E95" s="97">
        <f>+IF(ISERROR(VLOOKUP($D95,[1]STS!$E$9:$G$1503,3,0)=0),0,VLOOKUP($D95,[1]STS!$E$9:$G$1503,3,0))</f>
        <v>6.66</v>
      </c>
      <c r="F95" s="98">
        <v>1.3320000000000001</v>
      </c>
      <c r="G95" s="99">
        <f>+IF(ISERROR(VLOOKUP(D95,[1]STS!$E$9:$AO$1503,37,0)=0),0,VLOOKUP(D95,[1]STS!$E$9:$AO$1503,37,0))</f>
        <v>4.0118517746913618</v>
      </c>
      <c r="H95" s="77" t="str">
        <f>+IF(ISERROR(VLOOKUP(D95,[1]STS!$E$9:$I$1503,5,0)=0),0,VLOOKUP(D95,[1]STS!$E$9:$I$1503,5,0))</f>
        <v>BK</v>
      </c>
      <c r="I95" s="56"/>
      <c r="J95" s="66" t="str">
        <f>VLOOKUP(D95,[1]STS!$E$9:$BC$1359,51,0)</f>
        <v>F18</v>
      </c>
      <c r="K95" s="57"/>
      <c r="L95" s="78" t="str">
        <f>+VLOOKUP(N95,'[1]MSTR AKT'!$C$4:$E$460,3,0)</f>
        <v>Etri 2</v>
      </c>
      <c r="M95" s="79">
        <f>+IF(ISERROR(VLOOKUP($N95,'[1]MSTR AKT'!$C$4:$D$460,2,0)=0),0,VLOOKUP($N95,'[1]MSTR AKT'!$C$4:$D$460,2,0))</f>
        <v>1315131517</v>
      </c>
      <c r="N95" s="70" t="s">
        <v>4</v>
      </c>
      <c r="O95" s="58"/>
      <c r="P95" s="59">
        <v>45999</v>
      </c>
      <c r="Q95" s="100">
        <v>3</v>
      </c>
      <c r="R95" s="101">
        <v>3.9960000000000004</v>
      </c>
      <c r="S95" s="102">
        <f t="shared" si="4"/>
        <v>400618.98000000004</v>
      </c>
    </row>
    <row r="96" spans="1:19" x14ac:dyDescent="0.35">
      <c r="A96" s="55" t="s">
        <v>33</v>
      </c>
      <c r="B96" s="55" t="str">
        <f>+VLOOKUP($D96,[1]STS!$A$9:$E$1405,3,0)</f>
        <v>05</v>
      </c>
      <c r="C96" s="86">
        <f>+VLOOKUP($D96,[1]STS!$A$9:$E$1405,4,0)</f>
        <v>17</v>
      </c>
      <c r="D96" s="71" t="s">
        <v>369</v>
      </c>
      <c r="E96" s="97">
        <f>+IF(ISERROR(VLOOKUP($D96,[1]STS!$E$9:$G$1503,3,0)=0),0,VLOOKUP($D96,[1]STS!$E$9:$G$1503,3,0))</f>
        <v>6.96</v>
      </c>
      <c r="F96" s="98">
        <v>1.3920000000000001</v>
      </c>
      <c r="G96" s="99">
        <f>+IF(ISERROR(VLOOKUP(D96,[1]STS!$E$9:$AO$1503,37,0)=0),0,VLOOKUP(D96,[1]STS!$E$9:$AO$1503,37,0))</f>
        <v>3.3451851080246948</v>
      </c>
      <c r="H96" s="77" t="str">
        <f>+IF(ISERROR(VLOOKUP(D96,[1]STS!$E$9:$I$1503,5,0)=0),0,VLOOKUP(D96,[1]STS!$E$9:$I$1503,5,0))</f>
        <v>BK</v>
      </c>
      <c r="I96" s="56"/>
      <c r="J96" s="66" t="str">
        <f>VLOOKUP(D96,[1]STS!$E$9:$BC$1359,51,0)</f>
        <v>F18</v>
      </c>
      <c r="K96" s="57"/>
      <c r="L96" s="78" t="str">
        <f>+VLOOKUP(N96,'[1]MSTR AKT'!$C$4:$E$460,3,0)</f>
        <v>Etri 2</v>
      </c>
      <c r="M96" s="79">
        <f>+IF(ISERROR(VLOOKUP($N96,'[1]MSTR AKT'!$C$4:$D$460,2,0)=0),0,VLOOKUP($N96,'[1]MSTR AKT'!$C$4:$D$460,2,0))</f>
        <v>1315131517</v>
      </c>
      <c r="N96" s="70" t="s">
        <v>4</v>
      </c>
      <c r="O96" s="58"/>
      <c r="P96" s="59">
        <v>45999</v>
      </c>
      <c r="Q96" s="100">
        <v>3</v>
      </c>
      <c r="R96" s="101">
        <v>4.1760000000000002</v>
      </c>
      <c r="S96" s="102">
        <f t="shared" si="4"/>
        <v>418664.88</v>
      </c>
    </row>
    <row r="97" spans="1:19" x14ac:dyDescent="0.35">
      <c r="A97" s="55" t="s">
        <v>33</v>
      </c>
      <c r="B97" s="55" t="str">
        <f>+VLOOKUP($D97,[1]STS!$A$9:$E$1405,3,0)</f>
        <v>05</v>
      </c>
      <c r="C97" s="86">
        <f>+VLOOKUP($D97,[1]STS!$A$9:$E$1405,4,0)</f>
        <v>17</v>
      </c>
      <c r="D97" s="71" t="s">
        <v>90</v>
      </c>
      <c r="E97" s="97">
        <f>+IF(ISERROR(VLOOKUP($D97,[1]STS!$E$9:$G$1503,3,0)=0),0,VLOOKUP($D97,[1]STS!$E$9:$G$1503,3,0))</f>
        <v>6.04</v>
      </c>
      <c r="F97" s="98">
        <v>1.1000000000000001</v>
      </c>
      <c r="G97" s="99">
        <f>+IF(ISERROR(VLOOKUP(D97,[1]STS!$E$9:$AO$1503,37,0)=0),0,VLOOKUP(D97,[1]STS!$E$9:$AO$1503,37,0))</f>
        <v>9.1118517746913614</v>
      </c>
      <c r="H97" s="77" t="str">
        <f>+IF(ISERROR(VLOOKUP(D97,[1]STS!$E$9:$I$1503,5,0)=0),0,VLOOKUP(D97,[1]STS!$E$9:$I$1503,5,0))</f>
        <v>FC</v>
      </c>
      <c r="I97" s="56"/>
      <c r="J97" s="66" t="str">
        <f>VLOOKUP(D97,[1]STS!$E$9:$BC$1359,51,0)</f>
        <v>F18CK</v>
      </c>
      <c r="K97" s="57"/>
      <c r="L97" s="78" t="str">
        <f>+VLOOKUP(N97,'[1]MSTR AKT'!$C$4:$E$460,3,0)</f>
        <v>Etri 2</v>
      </c>
      <c r="M97" s="79">
        <f>+IF(ISERROR(VLOOKUP($N97,'[1]MSTR AKT'!$C$4:$D$460,2,0)=0),0,VLOOKUP($N97,'[1]MSTR AKT'!$C$4:$D$460,2,0))</f>
        <v>1315131517</v>
      </c>
      <c r="N97" s="70" t="s">
        <v>4</v>
      </c>
      <c r="O97" s="58"/>
      <c r="P97" s="59">
        <v>46003</v>
      </c>
      <c r="Q97" s="100">
        <v>3</v>
      </c>
      <c r="R97" s="101">
        <v>3.3000000000000003</v>
      </c>
      <c r="S97" s="102">
        <f t="shared" si="4"/>
        <v>330841.5</v>
      </c>
    </row>
    <row r="98" spans="1:19" x14ac:dyDescent="0.35">
      <c r="A98" s="55" t="s">
        <v>33</v>
      </c>
      <c r="B98" s="55" t="str">
        <f>+VLOOKUP($D98,[1]STS!$A$9:$E$1405,3,0)</f>
        <v>05</v>
      </c>
      <c r="C98" s="86">
        <f>+VLOOKUP($D98,[1]STS!$A$9:$E$1405,4,0)</f>
        <v>17</v>
      </c>
      <c r="D98" s="71" t="s">
        <v>206</v>
      </c>
      <c r="E98" s="97">
        <f>+IF(ISERROR(VLOOKUP($D98,[1]STS!$E$9:$G$1503,3,0)=0),0,VLOOKUP($D98,[1]STS!$E$9:$G$1503,3,0))</f>
        <v>7.67</v>
      </c>
      <c r="F98" s="98">
        <v>1.494</v>
      </c>
      <c r="G98" s="99">
        <f>+IF(ISERROR(VLOOKUP(D98,[1]STS!$E$9:$AO$1503,37,0)=0),0,VLOOKUP(D98,[1]STS!$E$9:$AO$1503,37,0))</f>
        <v>3.2118517746913615</v>
      </c>
      <c r="H98" s="77" t="str">
        <f>+IF(ISERROR(VLOOKUP(D98,[1]STS!$E$9:$I$1503,5,0)=0),0,VLOOKUP(D98,[1]STS!$E$9:$I$1503,5,0))</f>
        <v>FC</v>
      </c>
      <c r="I98" s="56"/>
      <c r="J98" s="66" t="str">
        <f>VLOOKUP(D98,[1]STS!$E$9:$BC$1359,51,0)</f>
        <v>F18CK</v>
      </c>
      <c r="K98" s="57"/>
      <c r="L98" s="78" t="str">
        <f>+VLOOKUP(N98,'[1]MSTR AKT'!$C$4:$E$460,3,0)</f>
        <v>Etri 2</v>
      </c>
      <c r="M98" s="79">
        <f>+IF(ISERROR(VLOOKUP($N98,'[1]MSTR AKT'!$C$4:$D$460,2,0)=0),0,VLOOKUP($N98,'[1]MSTR AKT'!$C$4:$D$460,2,0))</f>
        <v>1315131517</v>
      </c>
      <c r="N98" s="70" t="s">
        <v>4</v>
      </c>
      <c r="O98" s="58"/>
      <c r="P98" s="59">
        <v>45999</v>
      </c>
      <c r="Q98" s="100">
        <v>3</v>
      </c>
      <c r="R98" s="101">
        <v>4.4820000000000002</v>
      </c>
      <c r="S98" s="102">
        <f t="shared" si="4"/>
        <v>449342.91000000003</v>
      </c>
    </row>
    <row r="99" spans="1:19" x14ac:dyDescent="0.35">
      <c r="A99" s="55" t="s">
        <v>33</v>
      </c>
      <c r="B99" s="55" t="str">
        <f>+VLOOKUP($D99,[1]STS!$A$9:$E$1405,3,0)</f>
        <v>05</v>
      </c>
      <c r="C99" s="86">
        <f>+VLOOKUP($D99,[1]STS!$A$9:$E$1405,4,0)</f>
        <v>17</v>
      </c>
      <c r="D99" s="71" t="s">
        <v>207</v>
      </c>
      <c r="E99" s="97">
        <f>+IF(ISERROR(VLOOKUP($D99,[1]STS!$E$9:$G$1503,3,0)=0),0,VLOOKUP($D99,[1]STS!$E$9:$G$1503,3,0))</f>
        <v>8.74</v>
      </c>
      <c r="F99" s="98">
        <v>1.752</v>
      </c>
      <c r="G99" s="99">
        <f>+IF(ISERROR(VLOOKUP(D99,[1]STS!$E$9:$AO$1503,37,0)=0),0,VLOOKUP(D99,[1]STS!$E$9:$AO$1503,37,0))</f>
        <v>3.2118517746913615</v>
      </c>
      <c r="H99" s="77" t="str">
        <f>+IF(ISERROR(VLOOKUP(D99,[1]STS!$E$9:$I$1503,5,0)=0),0,VLOOKUP(D99,[1]STS!$E$9:$I$1503,5,0))</f>
        <v>FC</v>
      </c>
      <c r="I99" s="56"/>
      <c r="J99" s="66" t="str">
        <f>VLOOKUP(D99,[1]STS!$E$9:$BC$1359,51,0)</f>
        <v>F18CK</v>
      </c>
      <c r="K99" s="57"/>
      <c r="L99" s="78" t="str">
        <f>+VLOOKUP(N99,'[1]MSTR AKT'!$C$4:$E$460,3,0)</f>
        <v>Etri 2</v>
      </c>
      <c r="M99" s="79">
        <f>+IF(ISERROR(VLOOKUP($N99,'[1]MSTR AKT'!$C$4:$D$460,2,0)=0),0,VLOOKUP($N99,'[1]MSTR AKT'!$C$4:$D$460,2,0))</f>
        <v>1315131517</v>
      </c>
      <c r="N99" s="70" t="s">
        <v>4</v>
      </c>
      <c r="O99" s="58"/>
      <c r="P99" s="59">
        <v>46003</v>
      </c>
      <c r="Q99" s="100">
        <v>3</v>
      </c>
      <c r="R99" s="101">
        <v>5.2560000000000002</v>
      </c>
      <c r="S99" s="102">
        <f t="shared" si="4"/>
        <v>526940.28</v>
      </c>
    </row>
    <row r="100" spans="1:19" x14ac:dyDescent="0.35">
      <c r="A100" s="55" t="s">
        <v>33</v>
      </c>
      <c r="B100" s="55" t="str">
        <f>+VLOOKUP($D100,[1]STS!$A$9:$E$1405,3,0)</f>
        <v>05</v>
      </c>
      <c r="C100" s="86">
        <f>+VLOOKUP($D100,[1]STS!$A$9:$E$1405,4,0)</f>
        <v>17</v>
      </c>
      <c r="D100" s="71" t="s">
        <v>77</v>
      </c>
      <c r="E100" s="97">
        <f>+IF(ISERROR(VLOOKUP($D100,[1]STS!$E$9:$G$1503,3,0)=0),0,VLOOKUP($D100,[1]STS!$E$9:$G$1503,3,0))</f>
        <v>10.95</v>
      </c>
      <c r="F100" s="98">
        <v>2.0620000000000003</v>
      </c>
      <c r="G100" s="99">
        <f>+IF(ISERROR(VLOOKUP(D100,[1]STS!$E$9:$AO$1503,37,0)=0),0,VLOOKUP(D100,[1]STS!$E$9:$AO$1503,37,0))</f>
        <v>7.545185108024695</v>
      </c>
      <c r="H100" s="77" t="str">
        <f>+IF(ISERROR(VLOOKUP(D100,[1]STS!$E$9:$I$1503,5,0)=0),0,VLOOKUP(D100,[1]STS!$E$9:$I$1503,5,0))</f>
        <v>FC</v>
      </c>
      <c r="I100" s="56"/>
      <c r="J100" s="66" t="str">
        <f>VLOOKUP(D100,[1]STS!$E$9:$BC$1359,51,0)</f>
        <v>F18CK</v>
      </c>
      <c r="K100" s="57"/>
      <c r="L100" s="78" t="str">
        <f>+VLOOKUP(N100,'[1]MSTR AKT'!$C$4:$E$460,3,0)</f>
        <v>Etri 2</v>
      </c>
      <c r="M100" s="79">
        <f>+IF(ISERROR(VLOOKUP($N100,'[1]MSTR AKT'!$C$4:$D$460,2,0)=0),0,VLOOKUP($N100,'[1]MSTR AKT'!$C$4:$D$460,2,0))</f>
        <v>1315131517</v>
      </c>
      <c r="N100" s="70" t="s">
        <v>4</v>
      </c>
      <c r="O100" s="58"/>
      <c r="P100" s="59">
        <v>45999</v>
      </c>
      <c r="Q100" s="100">
        <v>3</v>
      </c>
      <c r="R100" s="101">
        <v>6.1860000000000008</v>
      </c>
      <c r="S100" s="102">
        <f t="shared" si="4"/>
        <v>620177.43000000005</v>
      </c>
    </row>
    <row r="101" spans="1:19" x14ac:dyDescent="0.35">
      <c r="A101" s="55" t="s">
        <v>33</v>
      </c>
      <c r="B101" s="55" t="str">
        <f>+VLOOKUP($D101,[1]STS!$A$9:$E$1405,3,0)</f>
        <v>05</v>
      </c>
      <c r="C101" s="86">
        <f>+VLOOKUP($D101,[1]STS!$A$9:$E$1405,4,0)</f>
        <v>17</v>
      </c>
      <c r="D101" s="71" t="s">
        <v>78</v>
      </c>
      <c r="E101" s="97">
        <f>+IF(ISERROR(VLOOKUP($D101,[1]STS!$E$9:$G$1503,3,0)=0),0,VLOOKUP($D101,[1]STS!$E$9:$G$1503,3,0))</f>
        <v>4.87</v>
      </c>
      <c r="F101" s="98">
        <v>0.99600000000000011</v>
      </c>
      <c r="G101" s="99">
        <f>+IF(ISERROR(VLOOKUP(D101,[1]STS!$E$9:$AO$1503,37,0)=0),0,VLOOKUP(D101,[1]STS!$E$9:$AO$1503,37,0))</f>
        <v>8.4118517746913621</v>
      </c>
      <c r="H101" s="77" t="str">
        <f>+IF(ISERROR(VLOOKUP(D101,[1]STS!$E$9:$I$1503,5,0)=0),0,VLOOKUP(D101,[1]STS!$E$9:$I$1503,5,0))</f>
        <v>FC</v>
      </c>
      <c r="I101" s="56"/>
      <c r="J101" s="66" t="str">
        <f>VLOOKUP(D101,[1]STS!$E$9:$BC$1359,51,0)</f>
        <v>F18SS</v>
      </c>
      <c r="K101" s="57"/>
      <c r="L101" s="78" t="str">
        <f>+VLOOKUP(N101,'[1]MSTR AKT'!$C$4:$E$460,3,0)</f>
        <v>Etri 2</v>
      </c>
      <c r="M101" s="79">
        <f>+IF(ISERROR(VLOOKUP($N101,'[1]MSTR AKT'!$C$4:$D$460,2,0)=0),0,VLOOKUP($N101,'[1]MSTR AKT'!$C$4:$D$460,2,0))</f>
        <v>1315131517</v>
      </c>
      <c r="N101" s="70" t="s">
        <v>4</v>
      </c>
      <c r="O101" s="58"/>
      <c r="P101" s="59">
        <v>45999</v>
      </c>
      <c r="Q101" s="100">
        <v>3</v>
      </c>
      <c r="R101" s="101">
        <v>2.9880000000000004</v>
      </c>
      <c r="S101" s="102">
        <f t="shared" si="4"/>
        <v>299561.94000000006</v>
      </c>
    </row>
    <row r="102" spans="1:19" x14ac:dyDescent="0.35">
      <c r="A102" s="55" t="s">
        <v>33</v>
      </c>
      <c r="B102" s="55" t="str">
        <f>+VLOOKUP($D102,[1]STS!$A$9:$E$1405,3,0)</f>
        <v>05</v>
      </c>
      <c r="C102" s="86">
        <f>+VLOOKUP($D102,[1]STS!$A$9:$E$1405,4,0)</f>
        <v>17</v>
      </c>
      <c r="D102" s="71" t="s">
        <v>193</v>
      </c>
      <c r="E102" s="97">
        <f>+IF(ISERROR(VLOOKUP($D102,[1]STS!$E$9:$G$1503,3,0)=0),0,VLOOKUP($D102,[1]STS!$E$9:$G$1503,3,0))</f>
        <v>8.61</v>
      </c>
      <c r="F102" s="98">
        <v>1.7120000000000002</v>
      </c>
      <c r="G102" s="99">
        <f>+IF(ISERROR(VLOOKUP(D102,[1]STS!$E$9:$AO$1503,37,0)=0),0,VLOOKUP(D102,[1]STS!$E$9:$AO$1503,37,0))</f>
        <v>4.1785184413580279</v>
      </c>
      <c r="H102" s="77" t="str">
        <f>+IF(ISERROR(VLOOKUP(D102,[1]STS!$E$9:$I$1503,5,0)=0),0,VLOOKUP(D102,[1]STS!$E$9:$I$1503,5,0))</f>
        <v>FC</v>
      </c>
      <c r="I102" s="56"/>
      <c r="J102" s="66" t="str">
        <f>VLOOKUP(D102,[1]STS!$E$9:$BC$1359,51,0)</f>
        <v>GP3SS</v>
      </c>
      <c r="K102" s="57"/>
      <c r="L102" s="78" t="str">
        <f>+VLOOKUP(N102,'[1]MSTR AKT'!$C$4:$E$460,3,0)</f>
        <v>Etri 2</v>
      </c>
      <c r="M102" s="79">
        <f>+IF(ISERROR(VLOOKUP($N102,'[1]MSTR AKT'!$C$4:$D$460,2,0)=0),0,VLOOKUP($N102,'[1]MSTR AKT'!$C$4:$D$460,2,0))</f>
        <v>1315131517</v>
      </c>
      <c r="N102" s="70" t="s">
        <v>4</v>
      </c>
      <c r="O102" s="58"/>
      <c r="P102" s="59">
        <v>46003</v>
      </c>
      <c r="Q102" s="100">
        <v>3</v>
      </c>
      <c r="R102" s="101">
        <v>5.136000000000001</v>
      </c>
      <c r="S102" s="102">
        <f t="shared" si="4"/>
        <v>514909.68000000011</v>
      </c>
    </row>
    <row r="103" spans="1:19" x14ac:dyDescent="0.35">
      <c r="A103" s="55" t="s">
        <v>33</v>
      </c>
      <c r="B103" s="55" t="str">
        <f>+VLOOKUP($D103,[1]STS!$A$9:$E$1405,3,0)</f>
        <v>05</v>
      </c>
      <c r="C103" s="86">
        <f>+VLOOKUP($D103,[1]STS!$A$9:$E$1405,4,0)</f>
        <v>17</v>
      </c>
      <c r="D103" s="71" t="s">
        <v>370</v>
      </c>
      <c r="E103" s="97">
        <f>+IF(ISERROR(VLOOKUP($D103,[1]STS!$E$9:$G$1503,3,0)=0),0,VLOOKUP($D103,[1]STS!$E$9:$G$1503,3,0))</f>
        <v>7.63</v>
      </c>
      <c r="F103" s="98">
        <v>2.2889999999999997</v>
      </c>
      <c r="G103" s="99">
        <f>+IF(ISERROR(VLOOKUP(D103,[1]STS!$E$9:$AO$1503,37,0)=0),0,VLOOKUP(D103,[1]STS!$E$9:$AO$1503,37,0))</f>
        <v>1.0785184413580282</v>
      </c>
      <c r="H103" s="77" t="str">
        <f>+IF(ISERROR(VLOOKUP(D103,[1]STS!$E$9:$I$1503,5,0)=0),0,VLOOKUP(D103,[1]STS!$E$9:$I$1503,5,0))</f>
        <v>BK</v>
      </c>
      <c r="I103" s="56"/>
      <c r="J103" s="66" t="str">
        <f>VLOOKUP(D103,[1]STS!$E$9:$BC$1359,51,0)</f>
        <v>F18</v>
      </c>
      <c r="K103" s="57"/>
      <c r="L103" s="78" t="str">
        <f>+VLOOKUP(N103,'[1]MSTR AKT'!$C$4:$E$460,3,0)</f>
        <v>Etri 2</v>
      </c>
      <c r="M103" s="79">
        <f>+IF(ISERROR(VLOOKUP($N103,'[1]MSTR AKT'!$C$4:$D$460,2,0)=0),0,VLOOKUP($N103,'[1]MSTR AKT'!$C$4:$D$460,2,0))</f>
        <v>1113111113</v>
      </c>
      <c r="N103" s="70" t="s">
        <v>6</v>
      </c>
      <c r="O103" s="58"/>
      <c r="P103" s="59">
        <v>45998</v>
      </c>
      <c r="Q103" s="100">
        <v>4</v>
      </c>
      <c r="R103" s="101">
        <v>9.1559999999999988</v>
      </c>
      <c r="S103" s="102">
        <f t="shared" si="4"/>
        <v>917934.77999999991</v>
      </c>
    </row>
    <row r="104" spans="1:19" x14ac:dyDescent="0.35">
      <c r="A104" s="55" t="s">
        <v>33</v>
      </c>
      <c r="B104" s="55" t="str">
        <f>+VLOOKUP($D104,[1]STS!$A$9:$E$1405,3,0)</f>
        <v>05</v>
      </c>
      <c r="C104" s="86">
        <f>+VLOOKUP($D104,[1]STS!$A$9:$E$1405,4,0)</f>
        <v>17</v>
      </c>
      <c r="D104" s="71" t="s">
        <v>371</v>
      </c>
      <c r="E104" s="97">
        <f>+IF(ISERROR(VLOOKUP($D104,[1]STS!$E$9:$G$1503,3,0)=0),0,VLOOKUP($D104,[1]STS!$E$9:$G$1503,3,0))</f>
        <v>8.74</v>
      </c>
      <c r="F104" s="113">
        <v>2.6219999999999999</v>
      </c>
      <c r="G104" s="99">
        <f>+IF(ISERROR(VLOOKUP(D104,[1]STS!$E$9:$AO$1503,37,0)=0),0,VLOOKUP(D104,[1]STS!$E$9:$AO$1503,37,0))</f>
        <v>1.0785184413580282</v>
      </c>
      <c r="H104" s="77" t="str">
        <f>+IF(ISERROR(VLOOKUP(D104,[1]STS!$E$9:$I$1503,5,0)=0),0,VLOOKUP(D104,[1]STS!$E$9:$I$1503,5,0))</f>
        <v>BK</v>
      </c>
      <c r="I104" s="56"/>
      <c r="J104" s="66" t="str">
        <f>VLOOKUP(D104,[1]STS!$E$9:$BC$1359,51,0)</f>
        <v>F18</v>
      </c>
      <c r="K104" s="57"/>
      <c r="L104" s="78" t="str">
        <f>+VLOOKUP(N104,'[1]MSTR AKT'!$C$4:$E$460,3,0)</f>
        <v>Etri 2</v>
      </c>
      <c r="M104" s="79">
        <f>+IF(ISERROR(VLOOKUP($N104,'[1]MSTR AKT'!$C$4:$D$460,2,0)=0),0,VLOOKUP($N104,'[1]MSTR AKT'!$C$4:$D$460,2,0))</f>
        <v>1113111113</v>
      </c>
      <c r="N104" s="70" t="s">
        <v>6</v>
      </c>
      <c r="O104" s="58"/>
      <c r="P104" s="59">
        <v>45999</v>
      </c>
      <c r="Q104" s="100">
        <v>4</v>
      </c>
      <c r="R104" s="101">
        <v>10.488</v>
      </c>
      <c r="S104" s="102">
        <f t="shared" si="4"/>
        <v>1051474.44</v>
      </c>
    </row>
    <row r="105" spans="1:19" x14ac:dyDescent="0.35">
      <c r="A105" s="55" t="s">
        <v>33</v>
      </c>
      <c r="B105" s="55" t="str">
        <f>+VLOOKUP($D105,[1]STS!$A$9:$E$1405,3,0)</f>
        <v>05</v>
      </c>
      <c r="C105" s="86">
        <f>+VLOOKUP($D105,[1]STS!$A$9:$E$1405,4,0)</f>
        <v>17</v>
      </c>
      <c r="D105" s="71" t="s">
        <v>372</v>
      </c>
      <c r="E105" s="97">
        <f>+IF(ISERROR(VLOOKUP($D105,[1]STS!$E$9:$G$1503,3,0)=0),0,VLOOKUP($D105,[1]STS!$E$9:$G$1503,3,0))</f>
        <v>5</v>
      </c>
      <c r="F105" s="98">
        <v>1.5</v>
      </c>
      <c r="G105" s="99">
        <f>+IF(ISERROR(VLOOKUP(D105,[1]STS!$E$9:$AO$1503,37,0)=0),0,VLOOKUP(D105,[1]STS!$E$9:$AO$1503,37,0))</f>
        <v>7.8518441358028213E-2</v>
      </c>
      <c r="H105" s="77" t="str">
        <f>+IF(ISERROR(VLOOKUP(D105,[1]STS!$E$9:$I$1503,5,0)=0),0,VLOOKUP(D105,[1]STS!$E$9:$I$1503,5,0))</f>
        <v>BK</v>
      </c>
      <c r="I105" s="56"/>
      <c r="J105" s="66" t="str">
        <f>VLOOKUP(D105,[1]STS!$E$9:$BC$1359,51,0)</f>
        <v>F18</v>
      </c>
      <c r="K105" s="57"/>
      <c r="L105" s="78" t="str">
        <f>+VLOOKUP(N105,'[1]MSTR AKT'!$C$4:$E$460,3,0)</f>
        <v>Etri 2</v>
      </c>
      <c r="M105" s="79">
        <f>+IF(ISERROR(VLOOKUP($N105,'[1]MSTR AKT'!$C$4:$D$460,2,0)=0),0,VLOOKUP($N105,'[1]MSTR AKT'!$C$4:$D$460,2,0))</f>
        <v>1113111113</v>
      </c>
      <c r="N105" s="70" t="s">
        <v>6</v>
      </c>
      <c r="O105" s="58"/>
      <c r="P105" s="59">
        <v>45999</v>
      </c>
      <c r="Q105" s="100">
        <v>4</v>
      </c>
      <c r="R105" s="101">
        <v>6</v>
      </c>
      <c r="S105" s="102">
        <f t="shared" si="4"/>
        <v>601530</v>
      </c>
    </row>
    <row r="106" spans="1:19" x14ac:dyDescent="0.35">
      <c r="A106" s="55" t="s">
        <v>33</v>
      </c>
      <c r="B106" s="55" t="str">
        <f>+VLOOKUP($D106,[1]STS!$A$9:$E$1405,3,0)</f>
        <v>05</v>
      </c>
      <c r="C106" s="86">
        <f>+VLOOKUP($D106,[1]STS!$A$9:$E$1405,4,0)</f>
        <v>17</v>
      </c>
      <c r="D106" s="71" t="s">
        <v>133</v>
      </c>
      <c r="E106" s="97">
        <f>+IF(ISERROR(VLOOKUP($D106,[1]STS!$E$9:$G$1503,3,0)=0),0,VLOOKUP($D106,[1]STS!$E$9:$G$1503,3,0))</f>
        <v>7.61</v>
      </c>
      <c r="F106" s="98">
        <v>2.2829999999999999</v>
      </c>
      <c r="G106" s="99">
        <f>+IF(ISERROR(VLOOKUP(D106,[1]STS!$E$9:$AO$1503,37,0)=0),0,VLOOKUP(D106,[1]STS!$E$9:$AO$1503,37,0))</f>
        <v>1.1118517746913616</v>
      </c>
      <c r="H106" s="77" t="str">
        <f>+IF(ISERROR(VLOOKUP(D106,[1]STS!$E$9:$I$1503,5,0)=0),0,VLOOKUP(D106,[1]STS!$E$9:$I$1503,5,0))</f>
        <v>BK</v>
      </c>
      <c r="I106" s="56"/>
      <c r="J106" s="66" t="str">
        <f>VLOOKUP(D106,[1]STS!$E$9:$BC$1359,51,0)</f>
        <v>F18</v>
      </c>
      <c r="K106" s="57"/>
      <c r="L106" s="78" t="str">
        <f>+VLOOKUP(N106,'[1]MSTR AKT'!$C$4:$E$460,3,0)</f>
        <v>Etri 2</v>
      </c>
      <c r="M106" s="79">
        <f>+IF(ISERROR(VLOOKUP($N106,'[1]MSTR AKT'!$C$4:$D$460,2,0)=0),0,VLOOKUP($N106,'[1]MSTR AKT'!$C$4:$D$460,2,0))</f>
        <v>1113111113</v>
      </c>
      <c r="N106" s="70" t="s">
        <v>6</v>
      </c>
      <c r="O106" s="58"/>
      <c r="P106" s="59">
        <v>45999</v>
      </c>
      <c r="Q106" s="100">
        <v>4</v>
      </c>
      <c r="R106" s="101">
        <v>9.1319999999999997</v>
      </c>
      <c r="S106" s="102">
        <f t="shared" si="4"/>
        <v>915528.65999999992</v>
      </c>
    </row>
    <row r="107" spans="1:19" x14ac:dyDescent="0.35">
      <c r="A107" s="55" t="s">
        <v>33</v>
      </c>
      <c r="B107" s="55" t="str">
        <f>+VLOOKUP($D107,[1]STS!$A$9:$E$1405,3,0)</f>
        <v>05</v>
      </c>
      <c r="C107" s="86">
        <f>+VLOOKUP($D107,[1]STS!$A$9:$E$1405,4,0)</f>
        <v>17</v>
      </c>
      <c r="D107" s="71" t="s">
        <v>134</v>
      </c>
      <c r="E107" s="97">
        <f>+IF(ISERROR(VLOOKUP($D107,[1]STS!$E$9:$G$1503,3,0)=0),0,VLOOKUP($D107,[1]STS!$E$9:$G$1503,3,0))</f>
        <v>9.4</v>
      </c>
      <c r="F107" s="98">
        <v>2.82</v>
      </c>
      <c r="G107" s="99">
        <f>+IF(ISERROR(VLOOKUP(D107,[1]STS!$E$9:$AO$1503,37,0)=0),0,VLOOKUP(D107,[1]STS!$E$9:$AO$1503,37,0))</f>
        <v>1.1118517746913616</v>
      </c>
      <c r="H107" s="77" t="str">
        <f>+IF(ISERROR(VLOOKUP(D107,[1]STS!$E$9:$I$1503,5,0)=0),0,VLOOKUP(D107,[1]STS!$E$9:$I$1503,5,0))</f>
        <v>BK</v>
      </c>
      <c r="I107" s="56"/>
      <c r="J107" s="66" t="str">
        <f>VLOOKUP(D107,[1]STS!$E$9:$BC$1359,51,0)</f>
        <v>F18</v>
      </c>
      <c r="K107" s="57"/>
      <c r="L107" s="78" t="str">
        <f>+VLOOKUP(N107,'[1]MSTR AKT'!$C$4:$E$460,3,0)</f>
        <v>Etri 2</v>
      </c>
      <c r="M107" s="79">
        <f>+IF(ISERROR(VLOOKUP($N107,'[1]MSTR AKT'!$C$4:$D$460,2,0)=0),0,VLOOKUP($N107,'[1]MSTR AKT'!$C$4:$D$460,2,0))</f>
        <v>1113111113</v>
      </c>
      <c r="N107" s="70" t="s">
        <v>6</v>
      </c>
      <c r="O107" s="58"/>
      <c r="P107" s="59">
        <v>46003</v>
      </c>
      <c r="Q107" s="100">
        <v>4</v>
      </c>
      <c r="R107" s="101">
        <v>11.28</v>
      </c>
      <c r="S107" s="102">
        <f t="shared" si="4"/>
        <v>1130876.3999999999</v>
      </c>
    </row>
    <row r="108" spans="1:19" x14ac:dyDescent="0.35">
      <c r="A108" s="55" t="s">
        <v>33</v>
      </c>
      <c r="B108" s="55" t="str">
        <f>+VLOOKUP($D108,[1]STS!$A$9:$E$1405,3,0)</f>
        <v>05</v>
      </c>
      <c r="C108" s="86">
        <f>+VLOOKUP($D108,[1]STS!$A$9:$E$1405,4,0)</f>
        <v>17</v>
      </c>
      <c r="D108" s="71" t="s">
        <v>196</v>
      </c>
      <c r="E108" s="97">
        <f>+IF(ISERROR(VLOOKUP($D108,[1]STS!$E$9:$G$1503,3,0)=0),0,VLOOKUP($D108,[1]STS!$E$9:$G$1503,3,0))</f>
        <v>7.4</v>
      </c>
      <c r="F108" s="98">
        <v>2.2200000000000002</v>
      </c>
      <c r="G108" s="99">
        <f>+IF(ISERROR(VLOOKUP(D108,[1]STS!$E$9:$AO$1503,37,0)=0),0,VLOOKUP(D108,[1]STS!$E$9:$AO$1503,37,0))</f>
        <v>0.74518510802469484</v>
      </c>
      <c r="H108" s="77" t="str">
        <f>+IF(ISERROR(VLOOKUP(D108,[1]STS!$E$9:$I$1503,5,0)=0),0,VLOOKUP(D108,[1]STS!$E$9:$I$1503,5,0))</f>
        <v>BK</v>
      </c>
      <c r="I108" s="56"/>
      <c r="J108" s="66" t="str">
        <f>VLOOKUP(D108,[1]STS!$E$9:$BC$1359,51,0)</f>
        <v>F18</v>
      </c>
      <c r="K108" s="57"/>
      <c r="L108" s="78" t="str">
        <f>+VLOOKUP(N108,'[1]MSTR AKT'!$C$4:$E$460,3,0)</f>
        <v>Etri 2</v>
      </c>
      <c r="M108" s="79">
        <f>+IF(ISERROR(VLOOKUP($N108,'[1]MSTR AKT'!$C$4:$D$460,2,0)=0),0,VLOOKUP($N108,'[1]MSTR AKT'!$C$4:$D$460,2,0))</f>
        <v>1113111113</v>
      </c>
      <c r="N108" s="70" t="s">
        <v>6</v>
      </c>
      <c r="O108" s="58"/>
      <c r="P108" s="59">
        <v>46000</v>
      </c>
      <c r="Q108" s="100">
        <v>4</v>
      </c>
      <c r="R108" s="101">
        <v>8.8800000000000008</v>
      </c>
      <c r="S108" s="102">
        <f>+R108*100255</f>
        <v>890264.4</v>
      </c>
    </row>
    <row r="109" spans="1:19" x14ac:dyDescent="0.35">
      <c r="A109" s="55" t="s">
        <v>33</v>
      </c>
      <c r="B109" s="55" t="str">
        <f>+VLOOKUP($D109,[1]STS!$A$9:$E$1405,3,0)</f>
        <v>05</v>
      </c>
      <c r="C109" s="86">
        <f>+VLOOKUP($D109,[1]STS!$A$9:$E$1405,4,0)</f>
        <v>17</v>
      </c>
      <c r="D109" s="71" t="s">
        <v>240</v>
      </c>
      <c r="E109" s="97">
        <f>+IF(ISERROR(VLOOKUP($D109,[1]STS!$E$9:$G$1503,3,0)=0),0,VLOOKUP($D109,[1]STS!$E$9:$G$1503,3,0))</f>
        <v>12.57</v>
      </c>
      <c r="F109" s="98">
        <v>4.68</v>
      </c>
      <c r="G109" s="99">
        <f>+IF(ISERROR(VLOOKUP(D109,[1]STS!$E$9:$AO$1503,37,0)=0),0,VLOOKUP(D109,[1]STS!$E$9:$AO$1503,37,0))</f>
        <v>3.0118517746913613</v>
      </c>
      <c r="H109" s="77" t="str">
        <f>+IF(ISERROR(VLOOKUP(D109,[1]STS!$E$9:$I$1503,5,0)=0),0,VLOOKUP(D109,[1]STS!$E$9:$I$1503,5,0))</f>
        <v>FC</v>
      </c>
      <c r="I109" s="56"/>
      <c r="J109" s="66" t="str">
        <f>VLOOKUP(D109,[1]STS!$E$9:$BC$1359,51,0)</f>
        <v>F18CK</v>
      </c>
      <c r="K109" s="57"/>
      <c r="L109" s="78" t="str">
        <f>+VLOOKUP(N109,'[1]MSTR AKT'!$C$4:$E$460,3,0)</f>
        <v>Widi</v>
      </c>
      <c r="M109" s="79">
        <f>+IF(ISERROR(VLOOKUP($N109,'[1]MSTR AKT'!$C$4:$D$460,2,0)=0),0,VLOOKUP($N109,'[1]MSTR AKT'!$C$4:$D$460,2,0))</f>
        <v>1317111113</v>
      </c>
      <c r="N109" s="70" t="s">
        <v>34</v>
      </c>
      <c r="O109" s="58"/>
      <c r="P109" s="59">
        <v>46004</v>
      </c>
      <c r="Q109" s="100">
        <v>4</v>
      </c>
      <c r="R109" s="101">
        <v>18.72</v>
      </c>
      <c r="S109" s="102">
        <f t="shared" ref="S109:S139" si="5">+R109*100255</f>
        <v>1876773.5999999999</v>
      </c>
    </row>
    <row r="110" spans="1:19" x14ac:dyDescent="0.35">
      <c r="A110" s="55" t="s">
        <v>33</v>
      </c>
      <c r="B110" s="55" t="str">
        <f>+VLOOKUP($D110,[1]STS!$A$9:$E$1405,3,0)</f>
        <v>05</v>
      </c>
      <c r="C110" s="86">
        <f>+VLOOKUP($D110,[1]STS!$A$9:$E$1405,4,0)</f>
        <v>17</v>
      </c>
      <c r="D110" s="71" t="s">
        <v>91</v>
      </c>
      <c r="E110" s="97">
        <f>+IF(ISERROR(VLOOKUP($D110,[1]STS!$E$9:$G$1503,3,0)=0),0,VLOOKUP($D110,[1]STS!$E$9:$G$1503,3,0))</f>
        <v>11.83</v>
      </c>
      <c r="F110" s="98">
        <v>4.508</v>
      </c>
      <c r="G110" s="99">
        <f>+IF(ISERROR(VLOOKUP(D110,[1]STS!$E$9:$AO$1503,37,0)=0),0,VLOOKUP(D110,[1]STS!$E$9:$AO$1503,37,0))</f>
        <v>7.6118517746913614</v>
      </c>
      <c r="H110" s="77" t="str">
        <f>+IF(ISERROR(VLOOKUP(D110,[1]STS!$E$9:$I$1503,5,0)=0),0,VLOOKUP(D110,[1]STS!$E$9:$I$1503,5,0))</f>
        <v>FC</v>
      </c>
      <c r="I110" s="56"/>
      <c r="J110" s="66" t="str">
        <f>VLOOKUP(D110,[1]STS!$E$9:$BC$1359,51,0)</f>
        <v>F18SB</v>
      </c>
      <c r="K110" s="57"/>
      <c r="L110" s="78" t="str">
        <f>+VLOOKUP(N110,'[1]MSTR AKT'!$C$4:$E$460,3,0)</f>
        <v>Widi</v>
      </c>
      <c r="M110" s="79">
        <f>+IF(ISERROR(VLOOKUP($N110,'[1]MSTR AKT'!$C$4:$D$460,2,0)=0),0,VLOOKUP($N110,'[1]MSTR AKT'!$C$4:$D$460,2,0))</f>
        <v>1317111113</v>
      </c>
      <c r="N110" s="70" t="s">
        <v>34</v>
      </c>
      <c r="O110" s="58"/>
      <c r="P110" s="59">
        <v>46000</v>
      </c>
      <c r="Q110" s="100">
        <v>4</v>
      </c>
      <c r="R110" s="101">
        <v>18.032</v>
      </c>
      <c r="S110" s="102">
        <f t="shared" si="5"/>
        <v>1807798.16</v>
      </c>
    </row>
    <row r="111" spans="1:19" x14ac:dyDescent="0.35">
      <c r="A111" s="55" t="s">
        <v>33</v>
      </c>
      <c r="B111" s="55" t="str">
        <f>+VLOOKUP($D111,[1]STS!$A$9:$E$1405,3,0)</f>
        <v>05</v>
      </c>
      <c r="C111" s="86">
        <f>+VLOOKUP($D111,[1]STS!$A$9:$E$1405,4,0)</f>
        <v>17</v>
      </c>
      <c r="D111" s="71" t="s">
        <v>249</v>
      </c>
      <c r="E111" s="97">
        <f>+IF(ISERROR(VLOOKUP($D111,[1]STS!$E$9:$G$1503,3,0)=0),0,VLOOKUP($D111,[1]STS!$E$9:$G$1503,3,0))</f>
        <v>6.55</v>
      </c>
      <c r="F111" s="98">
        <v>2.3960000000000004</v>
      </c>
      <c r="G111" s="99">
        <f>+IF(ISERROR(VLOOKUP(D111,[1]STS!$E$9:$AO$1503,37,0)=0),0,VLOOKUP(D111,[1]STS!$E$9:$AO$1503,37,0))</f>
        <v>1.6118517746913616</v>
      </c>
      <c r="H111" s="77" t="str">
        <f>+IF(ISERROR(VLOOKUP(D111,[1]STS!$E$9:$I$1503,5,0)=0),0,VLOOKUP(D111,[1]STS!$E$9:$I$1503,5,0))</f>
        <v>ST</v>
      </c>
      <c r="I111" s="56"/>
      <c r="J111" s="66" t="str">
        <f>VLOOKUP(D111,[1]STS!$E$9:$BC$1359,51,0)</f>
        <v>F18</v>
      </c>
      <c r="K111" s="57"/>
      <c r="L111" s="78" t="str">
        <f>+VLOOKUP(N111,'[1]MSTR AKT'!$C$4:$E$460,3,0)</f>
        <v>Widi</v>
      </c>
      <c r="M111" s="79">
        <f>+IF(ISERROR(VLOOKUP($N111,'[1]MSTR AKT'!$C$4:$D$460,2,0)=0),0,VLOOKUP($N111,'[1]MSTR AKT'!$C$4:$D$460,2,0))</f>
        <v>1317111113</v>
      </c>
      <c r="N111" s="70" t="s">
        <v>34</v>
      </c>
      <c r="O111" s="58"/>
      <c r="P111" s="59">
        <v>46001</v>
      </c>
      <c r="Q111" s="100">
        <v>4</v>
      </c>
      <c r="R111" s="101">
        <v>9.5840000000000014</v>
      </c>
      <c r="S111" s="102">
        <f t="shared" si="5"/>
        <v>960843.92000000016</v>
      </c>
    </row>
    <row r="112" spans="1:19" x14ac:dyDescent="0.35">
      <c r="A112" s="55" t="s">
        <v>33</v>
      </c>
      <c r="B112" s="55" t="str">
        <f>+VLOOKUP($D112,[1]STS!$A$9:$E$1405,3,0)</f>
        <v>05</v>
      </c>
      <c r="C112" s="86">
        <f>+VLOOKUP($D112,[1]STS!$A$9:$E$1405,4,0)</f>
        <v>17</v>
      </c>
      <c r="D112" s="71" t="s">
        <v>87</v>
      </c>
      <c r="E112" s="97">
        <f>+IF(ISERROR(VLOOKUP($D112,[1]STS!$E$9:$G$1503,3,0)=0),0,VLOOKUP($D112,[1]STS!$E$9:$G$1503,3,0))</f>
        <v>12.09</v>
      </c>
      <c r="F112" s="98">
        <v>4.58</v>
      </c>
      <c r="G112" s="99">
        <f>+IF(ISERROR(VLOOKUP(D112,[1]STS!$E$9:$AO$1503,37,0)=0),0,VLOOKUP(D112,[1]STS!$E$9:$AO$1503,37,0))</f>
        <v>7.045185108024695</v>
      </c>
      <c r="H112" s="77" t="str">
        <f>+IF(ISERROR(VLOOKUP(D112,[1]STS!$E$9:$I$1503,5,0)=0),0,VLOOKUP(D112,[1]STS!$E$9:$I$1503,5,0))</f>
        <v>FC</v>
      </c>
      <c r="I112" s="56"/>
      <c r="J112" s="66" t="str">
        <f>VLOOKUP(D112,[1]STS!$E$9:$BC$1359,51,0)</f>
        <v>F18CK</v>
      </c>
      <c r="K112" s="57"/>
      <c r="L112" s="78" t="str">
        <f>+VLOOKUP(N112,'[1]MSTR AKT'!$C$4:$E$460,3,0)</f>
        <v>Widi</v>
      </c>
      <c r="M112" s="79">
        <f>+IF(ISERROR(VLOOKUP($N112,'[1]MSTR AKT'!$C$4:$D$460,2,0)=0),0,VLOOKUP($N112,'[1]MSTR AKT'!$C$4:$D$460,2,0))</f>
        <v>1317111113</v>
      </c>
      <c r="N112" s="70" t="s">
        <v>34</v>
      </c>
      <c r="O112" s="58"/>
      <c r="P112" s="59">
        <v>45998</v>
      </c>
      <c r="Q112" s="100">
        <v>4</v>
      </c>
      <c r="R112" s="101">
        <v>18.32</v>
      </c>
      <c r="S112" s="102">
        <f t="shared" si="5"/>
        <v>1836671.6</v>
      </c>
    </row>
    <row r="113" spans="1:19" x14ac:dyDescent="0.35">
      <c r="A113" s="55" t="s">
        <v>33</v>
      </c>
      <c r="B113" s="55" t="str">
        <f>+VLOOKUP($D113,[1]STS!$A$9:$E$1405,3,0)</f>
        <v>05</v>
      </c>
      <c r="C113" s="86">
        <f>+VLOOKUP($D113,[1]STS!$A$9:$E$1405,4,0)</f>
        <v>17</v>
      </c>
      <c r="D113" s="71" t="s">
        <v>246</v>
      </c>
      <c r="E113" s="97">
        <f>+IF(ISERROR(VLOOKUP($D113,[1]STS!$E$9:$G$1503,3,0)=0),0,VLOOKUP($D113,[1]STS!$E$9:$G$1503,3,0))</f>
        <v>7.6</v>
      </c>
      <c r="F113" s="98">
        <v>2.84</v>
      </c>
      <c r="G113" s="99">
        <f>+IF(ISERROR(VLOOKUP(D113,[1]STS!$E$9:$AO$1503,37,0)=0),0,VLOOKUP(D113,[1]STS!$E$9:$AO$1503,37,0))</f>
        <v>1.2785184413580282</v>
      </c>
      <c r="H113" s="77" t="str">
        <f>+IF(ISERROR(VLOOKUP(D113,[1]STS!$E$9:$I$1503,5,0)=0),0,VLOOKUP(D113,[1]STS!$E$9:$I$1503,5,0))</f>
        <v>FC</v>
      </c>
      <c r="I113" s="56"/>
      <c r="J113" s="66" t="str">
        <f>VLOOKUP(D113,[1]STS!$E$9:$BC$1359,51,0)</f>
        <v>F18CK</v>
      </c>
      <c r="K113" s="57"/>
      <c r="L113" s="78" t="str">
        <f>+VLOOKUP(N113,'[1]MSTR AKT'!$C$4:$E$460,3,0)</f>
        <v>Widi</v>
      </c>
      <c r="M113" s="79">
        <f>+IF(ISERROR(VLOOKUP($N113,'[1]MSTR AKT'!$C$4:$D$460,2,0)=0),0,VLOOKUP($N113,'[1]MSTR AKT'!$C$4:$D$460,2,0))</f>
        <v>1317111113</v>
      </c>
      <c r="N113" s="70" t="s">
        <v>34</v>
      </c>
      <c r="O113" s="58"/>
      <c r="P113" s="59">
        <v>46003</v>
      </c>
      <c r="Q113" s="100">
        <v>4</v>
      </c>
      <c r="R113" s="101">
        <v>11.36</v>
      </c>
      <c r="S113" s="102">
        <f t="shared" si="5"/>
        <v>1138896.8</v>
      </c>
    </row>
    <row r="114" spans="1:19" x14ac:dyDescent="0.35">
      <c r="A114" s="55" t="s">
        <v>33</v>
      </c>
      <c r="B114" s="55" t="str">
        <f>+VLOOKUP($D114,[1]STS!$A$9:$E$1405,3,0)</f>
        <v>05</v>
      </c>
      <c r="C114" s="86">
        <f>+VLOOKUP($D114,[1]STS!$A$9:$E$1405,4,0)</f>
        <v>17</v>
      </c>
      <c r="D114" s="71" t="s">
        <v>247</v>
      </c>
      <c r="E114" s="97">
        <f>+IF(ISERROR(VLOOKUP($D114,[1]STS!$E$9:$G$1503,3,0)=0),0,VLOOKUP($D114,[1]STS!$E$9:$G$1503,3,0))</f>
        <v>8.69</v>
      </c>
      <c r="F114" s="98">
        <v>3.476</v>
      </c>
      <c r="G114" s="99">
        <f>+IF(ISERROR(VLOOKUP(D114,[1]STS!$E$9:$AO$1503,37,0)=0),0,VLOOKUP(D114,[1]STS!$E$9:$AO$1503,37,0))</f>
        <v>2.545185108024695</v>
      </c>
      <c r="H114" s="77" t="str">
        <f>+IF(ISERROR(VLOOKUP(D114,[1]STS!$E$9:$I$1503,5,0)=0),0,VLOOKUP(D114,[1]STS!$E$9:$I$1503,5,0))</f>
        <v>BK</v>
      </c>
      <c r="I114" s="56"/>
      <c r="J114" s="66" t="str">
        <f>VLOOKUP(D114,[1]STS!$E$9:$BC$1359,51,0)</f>
        <v>F18</v>
      </c>
      <c r="K114" s="57"/>
      <c r="L114" s="78" t="str">
        <f>+VLOOKUP(N114,'[1]MSTR AKT'!$C$4:$E$460,3,0)</f>
        <v>Widi</v>
      </c>
      <c r="M114" s="79">
        <f>+IF(ISERROR(VLOOKUP($N114,'[1]MSTR AKT'!$C$4:$D$460,2,0)=0),0,VLOOKUP($N114,'[1]MSTR AKT'!$C$4:$D$460,2,0))</f>
        <v>1317111113</v>
      </c>
      <c r="N114" s="70" t="s">
        <v>34</v>
      </c>
      <c r="O114" s="58"/>
      <c r="P114" s="59">
        <v>45998</v>
      </c>
      <c r="Q114" s="100">
        <v>4</v>
      </c>
      <c r="R114" s="101">
        <v>13.904</v>
      </c>
      <c r="S114" s="102">
        <f t="shared" si="5"/>
        <v>1393945.52</v>
      </c>
    </row>
    <row r="115" spans="1:19" x14ac:dyDescent="0.35">
      <c r="A115" s="55" t="s">
        <v>33</v>
      </c>
      <c r="B115" s="55" t="str">
        <f>+VLOOKUP($D115,[1]STS!$A$9:$E$1405,3,0)</f>
        <v>05</v>
      </c>
      <c r="C115" s="86">
        <f>+VLOOKUP($D115,[1]STS!$A$9:$E$1405,4,0)</f>
        <v>17</v>
      </c>
      <c r="D115" s="71" t="s">
        <v>206</v>
      </c>
      <c r="E115" s="97">
        <f>+IF(ISERROR(VLOOKUP($D115,[1]STS!$E$9:$G$1503,3,0)=0),0,VLOOKUP($D115,[1]STS!$E$9:$G$1503,3,0))</f>
        <v>7.67</v>
      </c>
      <c r="F115" s="98">
        <v>2.988</v>
      </c>
      <c r="G115" s="99">
        <f>+IF(ISERROR(VLOOKUP(D115,[1]STS!$E$9:$AO$1503,37,0)=0),0,VLOOKUP(D115,[1]STS!$E$9:$AO$1503,37,0))</f>
        <v>3.2118517746913615</v>
      </c>
      <c r="H115" s="77" t="str">
        <f>+IF(ISERROR(VLOOKUP(D115,[1]STS!$E$9:$I$1503,5,0)=0),0,VLOOKUP(D115,[1]STS!$E$9:$I$1503,5,0))</f>
        <v>FC</v>
      </c>
      <c r="I115" s="56"/>
      <c r="J115" s="66" t="str">
        <f>VLOOKUP(D115,[1]STS!$E$9:$BC$1359,51,0)</f>
        <v>F18CK</v>
      </c>
      <c r="K115" s="57"/>
      <c r="L115" s="78" t="str">
        <f>+VLOOKUP(N115,'[1]MSTR AKT'!$C$4:$E$460,3,0)</f>
        <v>Widi</v>
      </c>
      <c r="M115" s="79">
        <f>+IF(ISERROR(VLOOKUP($N115,'[1]MSTR AKT'!$C$4:$D$460,2,0)=0),0,VLOOKUP($N115,'[1]MSTR AKT'!$C$4:$D$460,2,0))</f>
        <v>1317111113</v>
      </c>
      <c r="N115" s="70" t="s">
        <v>34</v>
      </c>
      <c r="O115" s="58"/>
      <c r="P115" s="59">
        <v>45999</v>
      </c>
      <c r="Q115" s="100">
        <v>4</v>
      </c>
      <c r="R115" s="101">
        <v>11.952</v>
      </c>
      <c r="S115" s="102">
        <f t="shared" si="5"/>
        <v>1198247.76</v>
      </c>
    </row>
    <row r="116" spans="1:19" x14ac:dyDescent="0.35">
      <c r="A116" s="55" t="s">
        <v>33</v>
      </c>
      <c r="B116" s="55" t="str">
        <f>+VLOOKUP($D116,[1]STS!$A$9:$E$1405,3,0)</f>
        <v>05</v>
      </c>
      <c r="C116" s="86">
        <f>+VLOOKUP($D116,[1]STS!$A$9:$E$1405,4,0)</f>
        <v>17</v>
      </c>
      <c r="D116" s="71" t="s">
        <v>207</v>
      </c>
      <c r="E116" s="97">
        <f>+IF(ISERROR(VLOOKUP($D116,[1]STS!$E$9:$G$1503,3,0)=0),0,VLOOKUP($D116,[1]STS!$E$9:$G$1503,3,0))</f>
        <v>8.74</v>
      </c>
      <c r="F116" s="98">
        <v>3.504</v>
      </c>
      <c r="G116" s="99">
        <f>+IF(ISERROR(VLOOKUP(D116,[1]STS!$E$9:$AO$1503,37,0)=0),0,VLOOKUP(D116,[1]STS!$E$9:$AO$1503,37,0))</f>
        <v>3.2118517746913615</v>
      </c>
      <c r="H116" s="77" t="str">
        <f>+IF(ISERROR(VLOOKUP(D116,[1]STS!$E$9:$I$1503,5,0)=0),0,VLOOKUP(D116,[1]STS!$E$9:$I$1503,5,0))</f>
        <v>FC</v>
      </c>
      <c r="I116" s="56"/>
      <c r="J116" s="66" t="str">
        <f>VLOOKUP(D116,[1]STS!$E$9:$BC$1359,51,0)</f>
        <v>F18CK</v>
      </c>
      <c r="K116" s="57"/>
      <c r="L116" s="78" t="str">
        <f>+VLOOKUP(N116,'[1]MSTR AKT'!$C$4:$E$460,3,0)</f>
        <v>Widi</v>
      </c>
      <c r="M116" s="79">
        <f>+IF(ISERROR(VLOOKUP($N116,'[1]MSTR AKT'!$C$4:$D$460,2,0)=0),0,VLOOKUP($N116,'[1]MSTR AKT'!$C$4:$D$460,2,0))</f>
        <v>1317111113</v>
      </c>
      <c r="N116" s="70" t="s">
        <v>34</v>
      </c>
      <c r="O116" s="58"/>
      <c r="P116" s="59">
        <v>46003</v>
      </c>
      <c r="Q116" s="100">
        <v>4</v>
      </c>
      <c r="R116" s="101">
        <v>14.016</v>
      </c>
      <c r="S116" s="102">
        <f t="shared" si="5"/>
        <v>1405174.08</v>
      </c>
    </row>
    <row r="117" spans="1:19" x14ac:dyDescent="0.35">
      <c r="A117" s="55" t="s">
        <v>33</v>
      </c>
      <c r="B117" s="55" t="str">
        <f>+VLOOKUP($D117,[1]STS!$A$9:$E$1405,3,0)</f>
        <v>05</v>
      </c>
      <c r="C117" s="86">
        <f>+VLOOKUP($D117,[1]STS!$A$9:$E$1405,4,0)</f>
        <v>17</v>
      </c>
      <c r="D117" s="71" t="s">
        <v>76</v>
      </c>
      <c r="E117" s="97">
        <f>+IF(ISERROR(VLOOKUP($D117,[1]STS!$E$9:$G$1503,3,0)=0),0,VLOOKUP($D117,[1]STS!$E$9:$G$1503,3,0))</f>
        <v>13.23</v>
      </c>
      <c r="F117" s="98">
        <v>5.2280000000000006</v>
      </c>
      <c r="G117" s="99">
        <f>+IF(ISERROR(VLOOKUP(D117,[1]STS!$E$9:$AO$1503,37,0)=0),0,VLOOKUP(D117,[1]STS!$E$9:$AO$1503,37,0))</f>
        <v>8.545185108024695</v>
      </c>
      <c r="H117" s="77" t="str">
        <f>+IF(ISERROR(VLOOKUP(D117,[1]STS!$E$9:$I$1503,5,0)=0),0,VLOOKUP(D117,[1]STS!$E$9:$I$1503,5,0))</f>
        <v>FC</v>
      </c>
      <c r="I117" s="56"/>
      <c r="J117" s="66" t="str">
        <f>VLOOKUP(D117,[1]STS!$E$9:$BC$1359,51,0)</f>
        <v>F18CK</v>
      </c>
      <c r="K117" s="57"/>
      <c r="L117" s="78" t="str">
        <f>+VLOOKUP(N117,'[1]MSTR AKT'!$C$4:$E$460,3,0)</f>
        <v>Widi</v>
      </c>
      <c r="M117" s="79">
        <f>+IF(ISERROR(VLOOKUP($N117,'[1]MSTR AKT'!$C$4:$D$460,2,0)=0),0,VLOOKUP($N117,'[1]MSTR AKT'!$C$4:$D$460,2,0))</f>
        <v>1317111113</v>
      </c>
      <c r="N117" s="70" t="s">
        <v>34</v>
      </c>
      <c r="O117" s="58"/>
      <c r="P117" s="59">
        <v>45998</v>
      </c>
      <c r="Q117" s="100">
        <v>4</v>
      </c>
      <c r="R117" s="101">
        <v>20.912000000000003</v>
      </c>
      <c r="S117" s="102">
        <f t="shared" si="5"/>
        <v>2096532.5600000003</v>
      </c>
    </row>
    <row r="118" spans="1:19" x14ac:dyDescent="0.35">
      <c r="A118" s="55" t="s">
        <v>33</v>
      </c>
      <c r="B118" s="55" t="str">
        <f>+VLOOKUP($D118,[1]STS!$A$9:$E$1405,3,0)</f>
        <v>05</v>
      </c>
      <c r="C118" s="86">
        <f>+VLOOKUP($D118,[1]STS!$A$9:$E$1405,4,0)</f>
        <v>17</v>
      </c>
      <c r="D118" s="71" t="s">
        <v>77</v>
      </c>
      <c r="E118" s="97">
        <f>+IF(ISERROR(VLOOKUP($D118,[1]STS!$E$9:$G$1503,3,0)=0),0,VLOOKUP($D118,[1]STS!$E$9:$G$1503,3,0))</f>
        <v>10.95</v>
      </c>
      <c r="F118" s="113">
        <v>4.1240000000000006</v>
      </c>
      <c r="G118" s="99">
        <f>+IF(ISERROR(VLOOKUP(D118,[1]STS!$E$9:$AO$1503,37,0)=0),0,VLOOKUP(D118,[1]STS!$E$9:$AO$1503,37,0))</f>
        <v>7.545185108024695</v>
      </c>
      <c r="H118" s="77" t="str">
        <f>+IF(ISERROR(VLOOKUP(D118,[1]STS!$E$9:$I$1503,5,0)=0),0,VLOOKUP(D118,[1]STS!$E$9:$I$1503,5,0))</f>
        <v>FC</v>
      </c>
      <c r="I118" s="56"/>
      <c r="J118" s="66" t="str">
        <f>VLOOKUP(D118,[1]STS!$E$9:$BC$1359,51,0)</f>
        <v>F18CK</v>
      </c>
      <c r="K118" s="57"/>
      <c r="L118" s="78" t="str">
        <f>+VLOOKUP(N118,'[1]MSTR AKT'!$C$4:$E$460,3,0)</f>
        <v>Widi</v>
      </c>
      <c r="M118" s="79">
        <f>+IF(ISERROR(VLOOKUP($N118,'[1]MSTR AKT'!$C$4:$D$460,2,0)=0),0,VLOOKUP($N118,'[1]MSTR AKT'!$C$4:$D$460,2,0))</f>
        <v>1317111113</v>
      </c>
      <c r="N118" s="70" t="s">
        <v>34</v>
      </c>
      <c r="O118" s="58"/>
      <c r="P118" s="59">
        <v>45999</v>
      </c>
      <c r="Q118" s="100">
        <v>4</v>
      </c>
      <c r="R118" s="101">
        <v>16.496000000000002</v>
      </c>
      <c r="S118" s="102">
        <f t="shared" si="5"/>
        <v>1653806.4800000002</v>
      </c>
    </row>
    <row r="119" spans="1:19" x14ac:dyDescent="0.35">
      <c r="A119" s="55" t="s">
        <v>33</v>
      </c>
      <c r="B119" s="55" t="str">
        <f>+VLOOKUP($D119,[1]STS!$A$9:$E$1405,3,0)</f>
        <v>05</v>
      </c>
      <c r="C119" s="86">
        <f>+VLOOKUP($D119,[1]STS!$A$9:$E$1405,4,0)</f>
        <v>17</v>
      </c>
      <c r="D119" s="71" t="s">
        <v>193</v>
      </c>
      <c r="E119" s="97">
        <f>+IF(ISERROR(VLOOKUP($D119,[1]STS!$E$9:$G$1503,3,0)=0),0,VLOOKUP($D119,[1]STS!$E$9:$G$1503,3,0))</f>
        <v>8.61</v>
      </c>
      <c r="F119" s="98">
        <v>3.4240000000000004</v>
      </c>
      <c r="G119" s="99">
        <f>+IF(ISERROR(VLOOKUP(D119,[1]STS!$E$9:$AO$1503,37,0)=0),0,VLOOKUP(D119,[1]STS!$E$9:$AO$1503,37,0))</f>
        <v>4.1785184413580279</v>
      </c>
      <c r="H119" s="77" t="str">
        <f>+IF(ISERROR(VLOOKUP(D119,[1]STS!$E$9:$I$1503,5,0)=0),0,VLOOKUP(D119,[1]STS!$E$9:$I$1503,5,0))</f>
        <v>FC</v>
      </c>
      <c r="I119" s="56"/>
      <c r="J119" s="66" t="str">
        <f>VLOOKUP(D119,[1]STS!$E$9:$BC$1359,51,0)</f>
        <v>GP3SS</v>
      </c>
      <c r="K119" s="57"/>
      <c r="L119" s="78" t="str">
        <f>+VLOOKUP(N119,'[1]MSTR AKT'!$C$4:$E$460,3,0)</f>
        <v>Widi</v>
      </c>
      <c r="M119" s="79">
        <f>+IF(ISERROR(VLOOKUP($N119,'[1]MSTR AKT'!$C$4:$D$460,2,0)=0),0,VLOOKUP($N119,'[1]MSTR AKT'!$C$4:$D$460,2,0))</f>
        <v>1317111113</v>
      </c>
      <c r="N119" s="70" t="s">
        <v>34</v>
      </c>
      <c r="O119" s="58"/>
      <c r="P119" s="59">
        <v>45999</v>
      </c>
      <c r="Q119" s="100">
        <v>4</v>
      </c>
      <c r="R119" s="101">
        <v>13.696000000000002</v>
      </c>
      <c r="S119" s="102">
        <f t="shared" si="5"/>
        <v>1373092.4800000002</v>
      </c>
    </row>
    <row r="120" spans="1:19" x14ac:dyDescent="0.35">
      <c r="A120" s="55" t="s">
        <v>33</v>
      </c>
      <c r="B120" s="55" t="str">
        <f>+VLOOKUP($D120,[1]STS!$A$9:$E$1405,3,0)</f>
        <v>05</v>
      </c>
      <c r="C120" s="86">
        <f>+VLOOKUP($D120,[1]STS!$A$9:$E$1405,4,0)</f>
        <v>17</v>
      </c>
      <c r="D120" s="71" t="s">
        <v>248</v>
      </c>
      <c r="E120" s="97">
        <f>+IF(ISERROR(VLOOKUP($D120,[1]STS!$E$9:$G$1503,3,0)=0),0,VLOOKUP($D120,[1]STS!$E$9:$G$1503,3,0))</f>
        <v>8.9499999999999993</v>
      </c>
      <c r="F120" s="98">
        <v>3.2520000000000007</v>
      </c>
      <c r="G120" s="99">
        <f>+IF(ISERROR(VLOOKUP(D120,[1]STS!$E$9:$AO$1503,37,0)=0),0,VLOOKUP(D120,[1]STS!$E$9:$AO$1503,37,0))</f>
        <v>1.0785184413580282</v>
      </c>
      <c r="H120" s="77" t="str">
        <f>+IF(ISERROR(VLOOKUP(D120,[1]STS!$E$9:$I$1503,5,0)=0),0,VLOOKUP(D120,[1]STS!$E$9:$I$1503,5,0))</f>
        <v>ST</v>
      </c>
      <c r="I120" s="56"/>
      <c r="J120" s="66" t="str">
        <f>VLOOKUP(D120,[1]STS!$E$9:$BC$1359,51,0)</f>
        <v>F18</v>
      </c>
      <c r="K120" s="57"/>
      <c r="L120" s="78" t="str">
        <f>+VLOOKUP(N120,'[1]MSTR AKT'!$C$4:$E$460,3,0)</f>
        <v>Widi</v>
      </c>
      <c r="M120" s="79">
        <f>+IF(ISERROR(VLOOKUP($N120,'[1]MSTR AKT'!$C$4:$D$460,2,0)=0),0,VLOOKUP($N120,'[1]MSTR AKT'!$C$4:$D$460,2,0))</f>
        <v>1317111113</v>
      </c>
      <c r="N120" s="70" t="s">
        <v>34</v>
      </c>
      <c r="O120" s="58"/>
      <c r="P120" s="59">
        <v>45999</v>
      </c>
      <c r="Q120" s="100">
        <v>4</v>
      </c>
      <c r="R120" s="101">
        <v>13.008000000000003</v>
      </c>
      <c r="S120" s="102">
        <f t="shared" si="5"/>
        <v>1304117.0400000003</v>
      </c>
    </row>
    <row r="121" spans="1:19" x14ac:dyDescent="0.35">
      <c r="A121" s="55" t="s">
        <v>33</v>
      </c>
      <c r="B121" s="55" t="str">
        <f>+VLOOKUP($D121,[1]STS!$A$9:$E$1405,3,0)</f>
        <v>05</v>
      </c>
      <c r="C121" s="86">
        <f>+VLOOKUP($D121,[1]STS!$A$9:$E$1405,4,0)</f>
        <v>17</v>
      </c>
      <c r="D121" s="71" t="s">
        <v>240</v>
      </c>
      <c r="E121" s="97">
        <f>+IF(ISERROR(VLOOKUP($D121,[1]STS!$E$9:$G$1503,3,0)=0),0,VLOOKUP($D121,[1]STS!$E$9:$G$1503,3,0))</f>
        <v>12.57</v>
      </c>
      <c r="F121" s="98">
        <v>4.68</v>
      </c>
      <c r="G121" s="99">
        <f>+IF(ISERROR(VLOOKUP(D121,[1]STS!$E$9:$AO$1503,37,0)=0),0,VLOOKUP(D121,[1]STS!$E$9:$AO$1503,37,0))</f>
        <v>3.0118517746913613</v>
      </c>
      <c r="H121" s="77" t="str">
        <f>+IF(ISERROR(VLOOKUP(D121,[1]STS!$E$9:$I$1503,5,0)=0),0,VLOOKUP(D121,[1]STS!$E$9:$I$1503,5,0))</f>
        <v>FC</v>
      </c>
      <c r="I121" s="56"/>
      <c r="J121" s="66" t="str">
        <f>VLOOKUP(D121,[1]STS!$E$9:$BC$1359,51,0)</f>
        <v>F18CK</v>
      </c>
      <c r="K121" s="57"/>
      <c r="L121" s="78" t="str">
        <f>+VLOOKUP(N121,'[1]MSTR AKT'!$C$4:$E$460,3,0)</f>
        <v>Widi</v>
      </c>
      <c r="M121" s="79">
        <f>+IF(ISERROR(VLOOKUP($N121,'[1]MSTR AKT'!$C$4:$D$460,2,0)=0),0,VLOOKUP($N121,'[1]MSTR AKT'!$C$4:$D$460,2,0))</f>
        <v>1317111115</v>
      </c>
      <c r="N121" s="70" t="s">
        <v>47</v>
      </c>
      <c r="O121" s="58"/>
      <c r="P121" s="59">
        <v>46003</v>
      </c>
      <c r="Q121" s="100">
        <v>4</v>
      </c>
      <c r="R121" s="101">
        <v>18.72</v>
      </c>
      <c r="S121" s="102">
        <f t="shared" si="5"/>
        <v>1876773.5999999999</v>
      </c>
    </row>
    <row r="122" spans="1:19" x14ac:dyDescent="0.35">
      <c r="A122" s="55" t="s">
        <v>33</v>
      </c>
      <c r="B122" s="55" t="str">
        <f>+VLOOKUP($D122,[1]STS!$A$9:$E$1405,3,0)</f>
        <v>05</v>
      </c>
      <c r="C122" s="86">
        <f>+VLOOKUP($D122,[1]STS!$A$9:$E$1405,4,0)</f>
        <v>17</v>
      </c>
      <c r="D122" s="71" t="s">
        <v>91</v>
      </c>
      <c r="E122" s="97">
        <f>+IF(ISERROR(VLOOKUP($D122,[1]STS!$E$9:$G$1503,3,0)=0),0,VLOOKUP($D122,[1]STS!$E$9:$G$1503,3,0))</f>
        <v>11.83</v>
      </c>
      <c r="F122" s="98">
        <v>4.508</v>
      </c>
      <c r="G122" s="99">
        <f>+IF(ISERROR(VLOOKUP(D122,[1]STS!$E$9:$AO$1503,37,0)=0),0,VLOOKUP(D122,[1]STS!$E$9:$AO$1503,37,0))</f>
        <v>7.6118517746913614</v>
      </c>
      <c r="H122" s="77" t="str">
        <f>+IF(ISERROR(VLOOKUP(D122,[1]STS!$E$9:$I$1503,5,0)=0),0,VLOOKUP(D122,[1]STS!$E$9:$I$1503,5,0))</f>
        <v>FC</v>
      </c>
      <c r="I122" s="56"/>
      <c r="J122" s="66" t="str">
        <f>VLOOKUP(D122,[1]STS!$E$9:$BC$1359,51,0)</f>
        <v>F18SB</v>
      </c>
      <c r="K122" s="57"/>
      <c r="L122" s="78" t="str">
        <f>+VLOOKUP(N122,'[1]MSTR AKT'!$C$4:$E$460,3,0)</f>
        <v>Widi</v>
      </c>
      <c r="M122" s="79">
        <f>+IF(ISERROR(VLOOKUP($N122,'[1]MSTR AKT'!$C$4:$D$460,2,0)=0),0,VLOOKUP($N122,'[1]MSTR AKT'!$C$4:$D$460,2,0))</f>
        <v>1317111115</v>
      </c>
      <c r="N122" s="70" t="s">
        <v>47</v>
      </c>
      <c r="O122" s="58"/>
      <c r="P122" s="59">
        <v>46004</v>
      </c>
      <c r="Q122" s="100">
        <v>4</v>
      </c>
      <c r="R122" s="101">
        <v>18.032</v>
      </c>
      <c r="S122" s="102">
        <f t="shared" si="5"/>
        <v>1807798.16</v>
      </c>
    </row>
    <row r="123" spans="1:19" x14ac:dyDescent="0.35">
      <c r="A123" s="55" t="s">
        <v>33</v>
      </c>
      <c r="B123" s="55" t="str">
        <f>+VLOOKUP($D123,[1]STS!$A$9:$E$1405,3,0)</f>
        <v>05</v>
      </c>
      <c r="C123" s="86">
        <f>+VLOOKUP($D123,[1]STS!$A$9:$E$1405,4,0)</f>
        <v>17</v>
      </c>
      <c r="D123" s="71" t="s">
        <v>249</v>
      </c>
      <c r="E123" s="97">
        <f>+IF(ISERROR(VLOOKUP($D123,[1]STS!$E$9:$G$1503,3,0)=0),0,VLOOKUP($D123,[1]STS!$E$9:$G$1503,3,0))</f>
        <v>6.55</v>
      </c>
      <c r="F123" s="98">
        <v>2.3960000000000004</v>
      </c>
      <c r="G123" s="99">
        <f>+IF(ISERROR(VLOOKUP(D123,[1]STS!$E$9:$AO$1503,37,0)=0),0,VLOOKUP(D123,[1]STS!$E$9:$AO$1503,37,0))</f>
        <v>1.6118517746913616</v>
      </c>
      <c r="H123" s="77" t="str">
        <f>+IF(ISERROR(VLOOKUP(D123,[1]STS!$E$9:$I$1503,5,0)=0),0,VLOOKUP(D123,[1]STS!$E$9:$I$1503,5,0))</f>
        <v>ST</v>
      </c>
      <c r="I123" s="56"/>
      <c r="J123" s="66" t="str">
        <f>VLOOKUP(D123,[1]STS!$E$9:$BC$1359,51,0)</f>
        <v>F18</v>
      </c>
      <c r="K123" s="57"/>
      <c r="L123" s="78" t="str">
        <f>+VLOOKUP(N123,'[1]MSTR AKT'!$C$4:$E$460,3,0)</f>
        <v>Widi</v>
      </c>
      <c r="M123" s="79">
        <f>+IF(ISERROR(VLOOKUP($N123,'[1]MSTR AKT'!$C$4:$D$460,2,0)=0),0,VLOOKUP($N123,'[1]MSTR AKT'!$C$4:$D$460,2,0))</f>
        <v>1317111115</v>
      </c>
      <c r="N123" s="70" t="s">
        <v>47</v>
      </c>
      <c r="O123" s="58"/>
      <c r="P123" s="59">
        <v>46000</v>
      </c>
      <c r="Q123" s="100">
        <v>4</v>
      </c>
      <c r="R123" s="101">
        <v>9.5840000000000014</v>
      </c>
      <c r="S123" s="102">
        <f t="shared" si="5"/>
        <v>960843.92000000016</v>
      </c>
    </row>
    <row r="124" spans="1:19" x14ac:dyDescent="0.35">
      <c r="A124" s="55" t="s">
        <v>33</v>
      </c>
      <c r="B124" s="55" t="str">
        <f>+VLOOKUP($D124,[1]STS!$A$9:$E$1405,3,0)</f>
        <v>05</v>
      </c>
      <c r="C124" s="86">
        <f>+VLOOKUP($D124,[1]STS!$A$9:$E$1405,4,0)</f>
        <v>17</v>
      </c>
      <c r="D124" s="71" t="s">
        <v>87</v>
      </c>
      <c r="E124" s="97">
        <f>+IF(ISERROR(VLOOKUP($D124,[1]STS!$E$9:$G$1503,3,0)=0),0,VLOOKUP($D124,[1]STS!$E$9:$G$1503,3,0))</f>
        <v>12.09</v>
      </c>
      <c r="F124" s="98">
        <v>4.58</v>
      </c>
      <c r="G124" s="99">
        <f>+IF(ISERROR(VLOOKUP(D124,[1]STS!$E$9:$AO$1503,37,0)=0),0,VLOOKUP(D124,[1]STS!$E$9:$AO$1503,37,0))</f>
        <v>7.045185108024695</v>
      </c>
      <c r="H124" s="77" t="str">
        <f>+IF(ISERROR(VLOOKUP(D124,[1]STS!$E$9:$I$1503,5,0)=0),0,VLOOKUP(D124,[1]STS!$E$9:$I$1503,5,0))</f>
        <v>FC</v>
      </c>
      <c r="I124" s="56"/>
      <c r="J124" s="66" t="str">
        <f>VLOOKUP(D124,[1]STS!$E$9:$BC$1359,51,0)</f>
        <v>F18CK</v>
      </c>
      <c r="K124" s="57"/>
      <c r="L124" s="78" t="str">
        <f>+VLOOKUP(N124,'[1]MSTR AKT'!$C$4:$E$460,3,0)</f>
        <v>Widi</v>
      </c>
      <c r="M124" s="79">
        <f>+IF(ISERROR(VLOOKUP($N124,'[1]MSTR AKT'!$C$4:$D$460,2,0)=0),0,VLOOKUP($N124,'[1]MSTR AKT'!$C$4:$D$460,2,0))</f>
        <v>1317111115</v>
      </c>
      <c r="N124" s="70" t="s">
        <v>47</v>
      </c>
      <c r="O124" s="58"/>
      <c r="P124" s="59">
        <v>46001</v>
      </c>
      <c r="Q124" s="100">
        <v>4</v>
      </c>
      <c r="R124" s="101">
        <v>18.32</v>
      </c>
      <c r="S124" s="102">
        <f t="shared" si="5"/>
        <v>1836671.6</v>
      </c>
    </row>
    <row r="125" spans="1:19" x14ac:dyDescent="0.35">
      <c r="A125" s="55" t="s">
        <v>33</v>
      </c>
      <c r="B125" s="55" t="str">
        <f>+VLOOKUP($D125,[1]STS!$A$9:$E$1405,3,0)</f>
        <v>05</v>
      </c>
      <c r="C125" s="86">
        <f>+VLOOKUP($D125,[1]STS!$A$9:$E$1405,4,0)</f>
        <v>17</v>
      </c>
      <c r="D125" s="71" t="s">
        <v>204</v>
      </c>
      <c r="E125" s="97">
        <f>+IF(ISERROR(VLOOKUP($D125,[1]STS!$E$9:$G$1503,3,0)=0),0,VLOOKUP($D125,[1]STS!$E$9:$G$1503,3,0))</f>
        <v>13.36</v>
      </c>
      <c r="F125" s="98">
        <v>4.9960000000000004</v>
      </c>
      <c r="G125" s="99">
        <f>+IF(ISERROR(VLOOKUP(D125,[1]STS!$E$9:$AO$1503,37,0)=0),0,VLOOKUP(D125,[1]STS!$E$9:$AO$1503,37,0))</f>
        <v>4.211851774691362</v>
      </c>
      <c r="H125" s="77" t="str">
        <f>+IF(ISERROR(VLOOKUP(D125,[1]STS!$E$9:$I$1503,5,0)=0),0,VLOOKUP(D125,[1]STS!$E$9:$I$1503,5,0))</f>
        <v>FC</v>
      </c>
      <c r="I125" s="56"/>
      <c r="J125" s="66" t="str">
        <f>VLOOKUP(D125,[1]STS!$E$9:$BC$1359,51,0)</f>
        <v>F18CK</v>
      </c>
      <c r="K125" s="57"/>
      <c r="L125" s="78" t="str">
        <f>+VLOOKUP(N125,'[1]MSTR AKT'!$C$4:$E$460,3,0)</f>
        <v>Widi</v>
      </c>
      <c r="M125" s="79">
        <f>+IF(ISERROR(VLOOKUP($N125,'[1]MSTR AKT'!$C$4:$D$460,2,0)=0),0,VLOOKUP($N125,'[1]MSTR AKT'!$C$4:$D$460,2,0))</f>
        <v>1317111115</v>
      </c>
      <c r="N125" s="70" t="s">
        <v>47</v>
      </c>
      <c r="O125" s="58"/>
      <c r="P125" s="59">
        <v>45998</v>
      </c>
      <c r="Q125" s="100">
        <v>4</v>
      </c>
      <c r="R125" s="101">
        <v>19.984000000000002</v>
      </c>
      <c r="S125" s="102">
        <f t="shared" si="5"/>
        <v>2003495.9200000002</v>
      </c>
    </row>
    <row r="126" spans="1:19" x14ac:dyDescent="0.35">
      <c r="A126" s="55" t="s">
        <v>33</v>
      </c>
      <c r="B126" s="55" t="str">
        <f>+VLOOKUP($D126,[1]STS!$A$9:$E$1405,3,0)</f>
        <v>05</v>
      </c>
      <c r="C126" s="86">
        <f>+VLOOKUP($D126,[1]STS!$A$9:$E$1405,4,0)</f>
        <v>17</v>
      </c>
      <c r="D126" s="71" t="s">
        <v>205</v>
      </c>
      <c r="E126" s="97">
        <f>+IF(ISERROR(VLOOKUP($D126,[1]STS!$E$9:$G$1503,3,0)=0),0,VLOOKUP($D126,[1]STS!$E$9:$G$1503,3,0))</f>
        <v>6.9</v>
      </c>
      <c r="F126" s="98">
        <v>2.7560000000000002</v>
      </c>
      <c r="G126" s="99">
        <f>+IF(ISERROR(VLOOKUP(D126,[1]STS!$E$9:$AO$1503,37,0)=0),0,VLOOKUP(D126,[1]STS!$E$9:$AO$1503,37,0))</f>
        <v>3.9451851080246949</v>
      </c>
      <c r="H126" s="77" t="str">
        <f>+IF(ISERROR(VLOOKUP(D126,[1]STS!$E$9:$I$1503,5,0)=0),0,VLOOKUP(D126,[1]STS!$E$9:$I$1503,5,0))</f>
        <v>FC</v>
      </c>
      <c r="I126" s="56"/>
      <c r="J126" s="66" t="str">
        <f>VLOOKUP(D126,[1]STS!$E$9:$BC$1359,51,0)</f>
        <v>GP3SB</v>
      </c>
      <c r="K126" s="57"/>
      <c r="L126" s="78" t="str">
        <f>+VLOOKUP(N126,'[1]MSTR AKT'!$C$4:$E$460,3,0)</f>
        <v>Widi</v>
      </c>
      <c r="M126" s="79">
        <f>+IF(ISERROR(VLOOKUP($N126,'[1]MSTR AKT'!$C$4:$D$460,2,0)=0),0,VLOOKUP($N126,'[1]MSTR AKT'!$C$4:$D$460,2,0))</f>
        <v>1317111115</v>
      </c>
      <c r="N126" s="70" t="s">
        <v>47</v>
      </c>
      <c r="O126" s="58"/>
      <c r="P126" s="59">
        <v>46003</v>
      </c>
      <c r="Q126" s="100">
        <v>4</v>
      </c>
      <c r="R126" s="101">
        <v>11.024000000000001</v>
      </c>
      <c r="S126" s="102">
        <f t="shared" si="5"/>
        <v>1105211.1200000001</v>
      </c>
    </row>
    <row r="127" spans="1:19" x14ac:dyDescent="0.35">
      <c r="A127" s="55" t="s">
        <v>33</v>
      </c>
      <c r="B127" s="55" t="str">
        <f>+VLOOKUP($D127,[1]STS!$A$9:$E$1405,3,0)</f>
        <v>05</v>
      </c>
      <c r="C127" s="86">
        <f>+VLOOKUP($D127,[1]STS!$A$9:$E$1405,4,0)</f>
        <v>17</v>
      </c>
      <c r="D127" s="71" t="s">
        <v>88</v>
      </c>
      <c r="E127" s="97">
        <f>+IF(ISERROR(VLOOKUP($D127,[1]STS!$E$9:$G$1503,3,0)=0),0,VLOOKUP($D127,[1]STS!$E$9:$G$1503,3,0))</f>
        <v>7.09</v>
      </c>
      <c r="F127" s="98">
        <v>2.8360000000000003</v>
      </c>
      <c r="G127" s="99">
        <f>+IF(ISERROR(VLOOKUP(D127,[1]STS!$E$9:$AO$1503,37,0)=0),0,VLOOKUP(D127,[1]STS!$E$9:$AO$1503,37,0))</f>
        <v>3.1451851080246951</v>
      </c>
      <c r="H127" s="77" t="str">
        <f>+IF(ISERROR(VLOOKUP(D127,[1]STS!$E$9:$I$1503,5,0)=0),0,VLOOKUP(D127,[1]STS!$E$9:$I$1503,5,0))</f>
        <v>SC</v>
      </c>
      <c r="I127" s="56"/>
      <c r="J127" s="66" t="str">
        <f>VLOOKUP(D127,[1]STS!$E$9:$BC$1359,51,0)</f>
        <v>F18</v>
      </c>
      <c r="K127" s="57"/>
      <c r="L127" s="78" t="str">
        <f>+VLOOKUP(N127,'[1]MSTR AKT'!$C$4:$E$460,3,0)</f>
        <v>Widi</v>
      </c>
      <c r="M127" s="79">
        <f>+IF(ISERROR(VLOOKUP($N127,'[1]MSTR AKT'!$C$4:$D$460,2,0)=0),0,VLOOKUP($N127,'[1]MSTR AKT'!$C$4:$D$460,2,0))</f>
        <v>1317111115</v>
      </c>
      <c r="N127" s="70" t="s">
        <v>47</v>
      </c>
      <c r="O127" s="58"/>
      <c r="P127" s="59">
        <v>45998</v>
      </c>
      <c r="Q127" s="100">
        <v>4</v>
      </c>
      <c r="R127" s="101">
        <v>11.344000000000001</v>
      </c>
      <c r="S127" s="102">
        <f t="shared" si="5"/>
        <v>1137292.7200000002</v>
      </c>
    </row>
    <row r="128" spans="1:19" x14ac:dyDescent="0.35">
      <c r="A128" s="55" t="s">
        <v>33</v>
      </c>
      <c r="B128" s="55" t="str">
        <f>+VLOOKUP($D128,[1]STS!$A$9:$E$1405,3,0)</f>
        <v>05</v>
      </c>
      <c r="C128" s="86">
        <f>+VLOOKUP($D128,[1]STS!$A$9:$E$1405,4,0)</f>
        <v>17</v>
      </c>
      <c r="D128" s="71" t="s">
        <v>247</v>
      </c>
      <c r="E128" s="97">
        <f>+IF(ISERROR(VLOOKUP($D128,[1]STS!$E$9:$G$1503,3,0)=0),0,VLOOKUP($D128,[1]STS!$E$9:$G$1503,3,0))</f>
        <v>8.69</v>
      </c>
      <c r="F128" s="98">
        <v>2</v>
      </c>
      <c r="G128" s="99">
        <f>+IF(ISERROR(VLOOKUP(D128,[1]STS!$E$9:$AO$1503,37,0)=0),0,VLOOKUP(D128,[1]STS!$E$9:$AO$1503,37,0))</f>
        <v>2.545185108024695</v>
      </c>
      <c r="H128" s="77" t="str">
        <f>+IF(ISERROR(VLOOKUP(D128,[1]STS!$E$9:$I$1503,5,0)=0),0,VLOOKUP(D128,[1]STS!$E$9:$I$1503,5,0))</f>
        <v>BK</v>
      </c>
      <c r="I128" s="56"/>
      <c r="J128" s="66" t="str">
        <f>VLOOKUP(D128,[1]STS!$E$9:$BC$1359,51,0)</f>
        <v>F18</v>
      </c>
      <c r="K128" s="57"/>
      <c r="L128" s="78" t="str">
        <f>+VLOOKUP(N128,'[1]MSTR AKT'!$C$4:$E$460,3,0)</f>
        <v>Widi</v>
      </c>
      <c r="M128" s="79">
        <v>6111191115</v>
      </c>
      <c r="N128" s="70" t="s">
        <v>351</v>
      </c>
      <c r="O128" s="58"/>
      <c r="P128" s="59">
        <v>45999</v>
      </c>
      <c r="Q128" s="100">
        <v>4</v>
      </c>
      <c r="R128" s="101">
        <v>8</v>
      </c>
      <c r="S128" s="102">
        <f t="shared" si="5"/>
        <v>802040</v>
      </c>
    </row>
    <row r="129" spans="1:19" x14ac:dyDescent="0.35">
      <c r="A129" s="55" t="s">
        <v>33</v>
      </c>
      <c r="B129" s="55" t="str">
        <f>+VLOOKUP($D129,[1]STS!$A$9:$E$1405,3,0)</f>
        <v>05</v>
      </c>
      <c r="C129" s="86">
        <f>+VLOOKUP($D129,[1]STS!$A$9:$E$1405,4,0)</f>
        <v>17</v>
      </c>
      <c r="D129" s="71" t="s">
        <v>369</v>
      </c>
      <c r="E129" s="97">
        <f>+IF(ISERROR(VLOOKUP($D129,[1]STS!$E$9:$G$1503,3,0)=0),0,VLOOKUP($D129,[1]STS!$E$9:$G$1503,3,0))</f>
        <v>6.96</v>
      </c>
      <c r="F129" s="98">
        <v>2</v>
      </c>
      <c r="G129" s="99">
        <f>+IF(ISERROR(VLOOKUP(D129,[1]STS!$E$9:$AO$1503,37,0)=0),0,VLOOKUP(D129,[1]STS!$E$9:$AO$1503,37,0))</f>
        <v>3.3451851080246948</v>
      </c>
      <c r="H129" s="77" t="str">
        <f>+IF(ISERROR(VLOOKUP(D129,[1]STS!$E$9:$I$1503,5,0)=0),0,VLOOKUP(D129,[1]STS!$E$9:$I$1503,5,0))</f>
        <v>BK</v>
      </c>
      <c r="I129" s="56"/>
      <c r="J129" s="66" t="str">
        <f>VLOOKUP(D129,[1]STS!$E$9:$BC$1359,51,0)</f>
        <v>F18</v>
      </c>
      <c r="K129" s="57"/>
      <c r="L129" s="78" t="str">
        <f>+VLOOKUP(N129,'[1]MSTR AKT'!$C$4:$E$460,3,0)</f>
        <v>Widi</v>
      </c>
      <c r="M129" s="79">
        <v>6111191115</v>
      </c>
      <c r="N129" s="70" t="s">
        <v>351</v>
      </c>
      <c r="O129" s="58"/>
      <c r="P129" s="59">
        <v>45999</v>
      </c>
      <c r="Q129" s="100">
        <v>4</v>
      </c>
      <c r="R129" s="101">
        <v>8</v>
      </c>
      <c r="S129" s="102">
        <f t="shared" si="5"/>
        <v>802040</v>
      </c>
    </row>
    <row r="130" spans="1:19" x14ac:dyDescent="0.35">
      <c r="A130" s="55" t="s">
        <v>33</v>
      </c>
      <c r="B130" s="55" t="str">
        <f>+VLOOKUP($D130,[1]STS!$A$9:$E$1405,3,0)</f>
        <v>05</v>
      </c>
      <c r="C130" s="86">
        <f>+VLOOKUP($D130,[1]STS!$A$9:$E$1405,4,0)</f>
        <v>17</v>
      </c>
      <c r="D130" s="71" t="s">
        <v>248</v>
      </c>
      <c r="E130" s="97">
        <f>+IF(ISERROR(VLOOKUP($D130,[1]STS!$E$9:$G$1503,3,0)=0),0,VLOOKUP($D130,[1]STS!$E$9:$G$1503,3,0))</f>
        <v>8.9499999999999993</v>
      </c>
      <c r="F130" s="98">
        <v>4</v>
      </c>
      <c r="G130" s="99">
        <f>+IF(ISERROR(VLOOKUP(D130,[1]STS!$E$9:$AO$1503,37,0)=0),0,VLOOKUP(D130,[1]STS!$E$9:$AO$1503,37,0))</f>
        <v>1.0785184413580282</v>
      </c>
      <c r="H130" s="77" t="str">
        <f>+IF(ISERROR(VLOOKUP(D130,[1]STS!$E$9:$I$1503,5,0)=0),0,VLOOKUP(D130,[1]STS!$E$9:$I$1503,5,0))</f>
        <v>ST</v>
      </c>
      <c r="I130" s="56"/>
      <c r="J130" s="66" t="str">
        <f>VLOOKUP(D130,[1]STS!$E$9:$BC$1359,51,0)</f>
        <v>F18</v>
      </c>
      <c r="K130" s="57"/>
      <c r="L130" s="78" t="str">
        <f>+VLOOKUP(N130,'[1]MSTR AKT'!$C$4:$E$460,3,0)</f>
        <v>Widi</v>
      </c>
      <c r="M130" s="79">
        <f>+IF(ISERROR(VLOOKUP($N130,'[1]MSTR AKT'!$C$4:$D$460,2,0)=0),0,VLOOKUP($N130,'[1]MSTR AKT'!$C$4:$D$460,2,0))</f>
        <v>1117131111</v>
      </c>
      <c r="N130" s="70" t="s">
        <v>60</v>
      </c>
      <c r="O130" s="58"/>
      <c r="P130" s="59">
        <v>46003</v>
      </c>
      <c r="Q130" s="100">
        <v>2</v>
      </c>
      <c r="R130" s="101">
        <v>8</v>
      </c>
      <c r="S130" s="102">
        <f t="shared" si="5"/>
        <v>802040</v>
      </c>
    </row>
    <row r="131" spans="1:19" x14ac:dyDescent="0.35">
      <c r="A131" s="55" t="s">
        <v>33</v>
      </c>
      <c r="B131" s="55" t="str">
        <f>+VLOOKUP($D131,[1]STS!$A$9:$E$1405,3,0)</f>
        <v>05</v>
      </c>
      <c r="C131" s="86">
        <f>+VLOOKUP($D131,[1]STS!$A$9:$E$1405,4,0)</f>
        <v>17</v>
      </c>
      <c r="D131" s="71" t="s">
        <v>206</v>
      </c>
      <c r="E131" s="97">
        <f>+IF(ISERROR(VLOOKUP($D131,[1]STS!$E$9:$G$1503,3,0)=0),0,VLOOKUP($D131,[1]STS!$E$9:$G$1503,3,0))</f>
        <v>7.67</v>
      </c>
      <c r="F131" s="98">
        <v>4</v>
      </c>
      <c r="G131" s="99">
        <f>+IF(ISERROR(VLOOKUP(D131,[1]STS!$E$9:$AO$1503,37,0)=0),0,VLOOKUP(D131,[1]STS!$E$9:$AO$1503,37,0))</f>
        <v>3.2118517746913615</v>
      </c>
      <c r="H131" s="77" t="str">
        <f>+IF(ISERROR(VLOOKUP(D131,[1]STS!$E$9:$I$1503,5,0)=0),0,VLOOKUP(D131,[1]STS!$E$9:$I$1503,5,0))</f>
        <v>FC</v>
      </c>
      <c r="I131" s="56"/>
      <c r="J131" s="66" t="str">
        <f>VLOOKUP(D131,[1]STS!$E$9:$BC$1359,51,0)</f>
        <v>F18CK</v>
      </c>
      <c r="K131" s="57"/>
      <c r="L131" s="78" t="str">
        <f>+VLOOKUP(N131,'[1]MSTR AKT'!$C$4:$E$460,3,0)</f>
        <v>Widi</v>
      </c>
      <c r="M131" s="79">
        <f>+IF(ISERROR(VLOOKUP($N131,'[1]MSTR AKT'!$C$4:$D$460,2,0)=0),0,VLOOKUP($N131,'[1]MSTR AKT'!$C$4:$D$460,2,0))</f>
        <v>1117131111</v>
      </c>
      <c r="N131" s="70" t="s">
        <v>60</v>
      </c>
      <c r="O131" s="58"/>
      <c r="P131" s="59">
        <v>45998</v>
      </c>
      <c r="Q131" s="100">
        <v>2</v>
      </c>
      <c r="R131" s="101">
        <v>8</v>
      </c>
      <c r="S131" s="102">
        <f t="shared" si="5"/>
        <v>802040</v>
      </c>
    </row>
    <row r="132" spans="1:19" x14ac:dyDescent="0.35">
      <c r="A132" s="55" t="s">
        <v>33</v>
      </c>
      <c r="B132" s="55" t="str">
        <f>+VLOOKUP($D132,[1]STS!$A$9:$E$1405,3,0)</f>
        <v>05</v>
      </c>
      <c r="C132" s="86">
        <f>+VLOOKUP($D132,[1]STS!$A$9:$E$1405,4,0)</f>
        <v>17</v>
      </c>
      <c r="D132" s="71" t="s">
        <v>207</v>
      </c>
      <c r="E132" s="97">
        <f>+IF(ISERROR(VLOOKUP($D132,[1]STS!$E$9:$G$1503,3,0)=0),0,VLOOKUP($D132,[1]STS!$E$9:$G$1503,3,0))</f>
        <v>8.74</v>
      </c>
      <c r="F132" s="113">
        <v>4</v>
      </c>
      <c r="G132" s="99">
        <f>+IF(ISERROR(VLOOKUP(D132,[1]STS!$E$9:$AO$1503,37,0)=0),0,VLOOKUP(D132,[1]STS!$E$9:$AO$1503,37,0))</f>
        <v>3.2118517746913615</v>
      </c>
      <c r="H132" s="77" t="str">
        <f>+IF(ISERROR(VLOOKUP(D132,[1]STS!$E$9:$I$1503,5,0)=0),0,VLOOKUP(D132,[1]STS!$E$9:$I$1503,5,0))</f>
        <v>FC</v>
      </c>
      <c r="I132" s="56"/>
      <c r="J132" s="66" t="str">
        <f>VLOOKUP(D132,[1]STS!$E$9:$BC$1359,51,0)</f>
        <v>F18CK</v>
      </c>
      <c r="K132" s="57"/>
      <c r="L132" s="78" t="str">
        <f>+VLOOKUP(N132,'[1]MSTR AKT'!$C$4:$E$460,3,0)</f>
        <v>Widi</v>
      </c>
      <c r="M132" s="79">
        <f>+IF(ISERROR(VLOOKUP($N132,'[1]MSTR AKT'!$C$4:$D$460,2,0)=0),0,VLOOKUP($N132,'[1]MSTR AKT'!$C$4:$D$460,2,0))</f>
        <v>1117131111</v>
      </c>
      <c r="N132" s="70" t="s">
        <v>60</v>
      </c>
      <c r="O132" s="58"/>
      <c r="P132" s="59">
        <v>45999</v>
      </c>
      <c r="Q132" s="100">
        <v>2</v>
      </c>
      <c r="R132" s="101">
        <v>8</v>
      </c>
      <c r="S132" s="102">
        <f t="shared" si="5"/>
        <v>802040</v>
      </c>
    </row>
    <row r="133" spans="1:19" x14ac:dyDescent="0.35">
      <c r="A133" s="55" t="s">
        <v>33</v>
      </c>
      <c r="B133" s="55" t="str">
        <f>+VLOOKUP($D133,[1]STS!$A$9:$E$1405,3,0)</f>
        <v>05</v>
      </c>
      <c r="C133" s="86">
        <f>+VLOOKUP($D133,[1]STS!$A$9:$E$1405,4,0)</f>
        <v>17</v>
      </c>
      <c r="D133" s="71" t="s">
        <v>77</v>
      </c>
      <c r="E133" s="97">
        <f>+IF(ISERROR(VLOOKUP($D133,[1]STS!$E$9:$G$1503,3,0)=0),0,VLOOKUP($D133,[1]STS!$E$9:$G$1503,3,0))</f>
        <v>10.95</v>
      </c>
      <c r="F133" s="98">
        <v>4</v>
      </c>
      <c r="G133" s="99">
        <f>+IF(ISERROR(VLOOKUP(D133,[1]STS!$E$9:$AO$1503,37,0)=0),0,VLOOKUP(D133,[1]STS!$E$9:$AO$1503,37,0))</f>
        <v>7.545185108024695</v>
      </c>
      <c r="H133" s="77" t="str">
        <f>+IF(ISERROR(VLOOKUP(D133,[1]STS!$E$9:$I$1503,5,0)=0),0,VLOOKUP(D133,[1]STS!$E$9:$I$1503,5,0))</f>
        <v>FC</v>
      </c>
      <c r="I133" s="56"/>
      <c r="J133" s="66" t="str">
        <f>VLOOKUP(D133,[1]STS!$E$9:$BC$1359,51,0)</f>
        <v>F18CK</v>
      </c>
      <c r="K133" s="57"/>
      <c r="L133" s="78" t="str">
        <f>+VLOOKUP(N133,'[1]MSTR AKT'!$C$4:$E$460,3,0)</f>
        <v>Widi</v>
      </c>
      <c r="M133" s="79">
        <f>+IF(ISERROR(VLOOKUP($N133,'[1]MSTR AKT'!$C$4:$D$460,2,0)=0),0,VLOOKUP($N133,'[1]MSTR AKT'!$C$4:$D$460,2,0))</f>
        <v>1117131111</v>
      </c>
      <c r="N133" s="70" t="s">
        <v>60</v>
      </c>
      <c r="O133" s="58"/>
      <c r="P133" s="59">
        <v>45999</v>
      </c>
      <c r="Q133" s="100">
        <v>2</v>
      </c>
      <c r="R133" s="101">
        <v>8</v>
      </c>
      <c r="S133" s="102">
        <f t="shared" si="5"/>
        <v>802040</v>
      </c>
    </row>
    <row r="134" spans="1:19" x14ac:dyDescent="0.35">
      <c r="A134" s="55" t="s">
        <v>33</v>
      </c>
      <c r="B134" s="55" t="str">
        <f>+VLOOKUP($D134,[1]STS!$A$9:$E$1405,3,0)</f>
        <v>05</v>
      </c>
      <c r="C134" s="86">
        <f>+VLOOKUP($D134,[1]STS!$A$9:$E$1405,4,0)</f>
        <v>17</v>
      </c>
      <c r="D134" s="71" t="s">
        <v>193</v>
      </c>
      <c r="E134" s="97">
        <f>+IF(ISERROR(VLOOKUP($D134,[1]STS!$E$9:$G$1503,3,0)=0),0,VLOOKUP($D134,[1]STS!$E$9:$G$1503,3,0))</f>
        <v>8.61</v>
      </c>
      <c r="F134" s="98">
        <v>4</v>
      </c>
      <c r="G134" s="99">
        <f>+IF(ISERROR(VLOOKUP(D134,[1]STS!$E$9:$AO$1503,37,0)=0),0,VLOOKUP(D134,[1]STS!$E$9:$AO$1503,37,0))</f>
        <v>4.1785184413580279</v>
      </c>
      <c r="H134" s="77" t="str">
        <f>+IF(ISERROR(VLOOKUP(D134,[1]STS!$E$9:$I$1503,5,0)=0),0,VLOOKUP(D134,[1]STS!$E$9:$I$1503,5,0))</f>
        <v>FC</v>
      </c>
      <c r="I134" s="56"/>
      <c r="J134" s="66" t="str">
        <f>VLOOKUP(D134,[1]STS!$E$9:$BC$1359,51,0)</f>
        <v>GP3SS</v>
      </c>
      <c r="K134" s="57"/>
      <c r="L134" s="78" t="str">
        <f>+VLOOKUP(N134,'[1]MSTR AKT'!$C$4:$E$460,3,0)</f>
        <v>Widi</v>
      </c>
      <c r="M134" s="79">
        <f>+IF(ISERROR(VLOOKUP($N134,'[1]MSTR AKT'!$C$4:$D$460,2,0)=0),0,VLOOKUP($N134,'[1]MSTR AKT'!$C$4:$D$460,2,0))</f>
        <v>1117131111</v>
      </c>
      <c r="N134" s="70" t="s">
        <v>60</v>
      </c>
      <c r="O134" s="58"/>
      <c r="P134" s="59">
        <v>45999</v>
      </c>
      <c r="Q134" s="100">
        <v>2</v>
      </c>
      <c r="R134" s="101">
        <v>8</v>
      </c>
      <c r="S134" s="102">
        <f t="shared" si="5"/>
        <v>802040</v>
      </c>
    </row>
    <row r="135" spans="1:19" x14ac:dyDescent="0.35">
      <c r="A135" s="55" t="s">
        <v>33</v>
      </c>
      <c r="B135" s="55" t="str">
        <f>+VLOOKUP($D135,[1]STS!$A$9:$E$1405,3,0)</f>
        <v>05</v>
      </c>
      <c r="C135" s="86">
        <f>+VLOOKUP($D135,[1]STS!$A$9:$E$1405,4,0)</f>
        <v>17</v>
      </c>
      <c r="D135" s="71" t="s">
        <v>88</v>
      </c>
      <c r="E135" s="97">
        <f>+IF(ISERROR(VLOOKUP($D135,[1]STS!$E$9:$G$1503,3,0)=0),0,VLOOKUP($D135,[1]STS!$E$9:$G$1503,3,0))</f>
        <v>7.09</v>
      </c>
      <c r="F135" s="98">
        <v>4</v>
      </c>
      <c r="G135" s="99">
        <f>+IF(ISERROR(VLOOKUP(D135,[1]STS!$E$9:$AO$1503,37,0)=0),0,VLOOKUP(D135,[1]STS!$E$9:$AO$1503,37,0))</f>
        <v>3.1451851080246951</v>
      </c>
      <c r="H135" s="77" t="str">
        <f>+IF(ISERROR(VLOOKUP(D135,[1]STS!$E$9:$I$1503,5,0)=0),0,VLOOKUP(D135,[1]STS!$E$9:$I$1503,5,0))</f>
        <v>SC</v>
      </c>
      <c r="I135" s="56"/>
      <c r="J135" s="66" t="str">
        <f>VLOOKUP(D135,[1]STS!$E$9:$BC$1359,51,0)</f>
        <v>F18</v>
      </c>
      <c r="K135" s="57"/>
      <c r="L135" s="78" t="str">
        <f>+VLOOKUP(N135,'[1]MSTR AKT'!$C$4:$E$460,3,0)</f>
        <v>Widi</v>
      </c>
      <c r="M135" s="79">
        <f>+IF(ISERROR(VLOOKUP($N135,'[1]MSTR AKT'!$C$4:$D$460,2,0)=0),0,VLOOKUP($N135,'[1]MSTR AKT'!$C$4:$D$460,2,0))</f>
        <v>1117131111</v>
      </c>
      <c r="N135" s="70" t="s">
        <v>60</v>
      </c>
      <c r="O135" s="58"/>
      <c r="P135" s="59">
        <v>46003</v>
      </c>
      <c r="Q135" s="100">
        <v>2</v>
      </c>
      <c r="R135" s="101">
        <v>8</v>
      </c>
      <c r="S135" s="102">
        <f t="shared" si="5"/>
        <v>802040</v>
      </c>
    </row>
    <row r="136" spans="1:19" x14ac:dyDescent="0.35">
      <c r="A136" s="55" t="s">
        <v>33</v>
      </c>
      <c r="B136" s="55" t="str">
        <f>+VLOOKUP($D136,[1]STS!$A$9:$E$1405,3,0)</f>
        <v>05</v>
      </c>
      <c r="C136" s="86">
        <f>+VLOOKUP($D136,[1]STS!$A$9:$E$1405,4,0)</f>
        <v>17</v>
      </c>
      <c r="D136" s="71" t="s">
        <v>240</v>
      </c>
      <c r="E136" s="97">
        <f>+IF(ISERROR(VLOOKUP($D136,[1]STS!$E$9:$G$1503,3,0)=0),0,VLOOKUP($D136,[1]STS!$E$9:$G$1503,3,0))</f>
        <v>12.57</v>
      </c>
      <c r="F136" s="98">
        <v>4</v>
      </c>
      <c r="G136" s="99">
        <f>+IF(ISERROR(VLOOKUP(D136,[1]STS!$E$9:$AO$1503,37,0)=0),0,VLOOKUP(D136,[1]STS!$E$9:$AO$1503,37,0))</f>
        <v>3.0118517746913613</v>
      </c>
      <c r="H136" s="77" t="str">
        <f>+IF(ISERROR(VLOOKUP(D136,[1]STS!$E$9:$I$1503,5,0)=0),0,VLOOKUP(D136,[1]STS!$E$9:$I$1503,5,0))</f>
        <v>FC</v>
      </c>
      <c r="I136" s="56"/>
      <c r="J136" s="66" t="str">
        <f>VLOOKUP(D136,[1]STS!$E$9:$BC$1359,51,0)</f>
        <v>F18CK</v>
      </c>
      <c r="K136" s="57"/>
      <c r="L136" s="78" t="str">
        <f>+VLOOKUP(N136,'[1]MSTR AKT'!$C$4:$E$460,3,0)</f>
        <v>Widi</v>
      </c>
      <c r="M136" s="79">
        <f>+IF(ISERROR(VLOOKUP($N136,'[1]MSTR AKT'!$C$4:$D$460,2,0)=0),0,VLOOKUP($N136,'[1]MSTR AKT'!$C$4:$D$460,2,0))</f>
        <v>1117271311</v>
      </c>
      <c r="N136" s="70" t="s">
        <v>46</v>
      </c>
      <c r="O136" s="58"/>
      <c r="P136" s="59">
        <v>46004</v>
      </c>
      <c r="Q136" s="100">
        <v>2</v>
      </c>
      <c r="R136" s="101">
        <v>8</v>
      </c>
      <c r="S136" s="102">
        <f t="shared" si="5"/>
        <v>802040</v>
      </c>
    </row>
    <row r="137" spans="1:19" x14ac:dyDescent="0.35">
      <c r="A137" s="55" t="s">
        <v>33</v>
      </c>
      <c r="B137" s="55" t="str">
        <f>+VLOOKUP($D137,[1]STS!$A$9:$E$1405,3,0)</f>
        <v>05</v>
      </c>
      <c r="C137" s="86">
        <f>+VLOOKUP($D137,[1]STS!$A$9:$E$1405,4,0)</f>
        <v>17</v>
      </c>
      <c r="D137" s="71" t="s">
        <v>249</v>
      </c>
      <c r="E137" s="97">
        <f>+IF(ISERROR(VLOOKUP($D137,[1]STS!$E$9:$G$1503,3,0)=0),0,VLOOKUP($D137,[1]STS!$E$9:$G$1503,3,0))</f>
        <v>6.55</v>
      </c>
      <c r="F137" s="98">
        <v>4</v>
      </c>
      <c r="G137" s="99">
        <f>+IF(ISERROR(VLOOKUP(D137,[1]STS!$E$9:$AO$1503,37,0)=0),0,VLOOKUP(D137,[1]STS!$E$9:$AO$1503,37,0))</f>
        <v>1.6118517746913616</v>
      </c>
      <c r="H137" s="77" t="str">
        <f>+IF(ISERROR(VLOOKUP(D137,[1]STS!$E$9:$I$1503,5,0)=0),0,VLOOKUP(D137,[1]STS!$E$9:$I$1503,5,0))</f>
        <v>ST</v>
      </c>
      <c r="I137" s="56"/>
      <c r="J137" s="66" t="str">
        <f>VLOOKUP(D137,[1]STS!$E$9:$BC$1359,51,0)</f>
        <v>F18</v>
      </c>
      <c r="K137" s="57"/>
      <c r="L137" s="78" t="str">
        <f>+VLOOKUP(N137,'[1]MSTR AKT'!$C$4:$E$460,3,0)</f>
        <v>Widi</v>
      </c>
      <c r="M137" s="79">
        <f>+IF(ISERROR(VLOOKUP($N137,'[1]MSTR AKT'!$C$4:$D$460,2,0)=0),0,VLOOKUP($N137,'[1]MSTR AKT'!$C$4:$D$460,2,0))</f>
        <v>1117271311</v>
      </c>
      <c r="N137" s="70" t="s">
        <v>46</v>
      </c>
      <c r="O137" s="58"/>
      <c r="P137" s="59">
        <v>46000</v>
      </c>
      <c r="Q137" s="100">
        <v>2</v>
      </c>
      <c r="R137" s="101">
        <v>8</v>
      </c>
      <c r="S137" s="102">
        <f t="shared" si="5"/>
        <v>802040</v>
      </c>
    </row>
    <row r="138" spans="1:19" x14ac:dyDescent="0.35">
      <c r="A138" s="55" t="s">
        <v>33</v>
      </c>
      <c r="B138" s="55" t="str">
        <f>+VLOOKUP($D138,[1]STS!$A$9:$E$1405,3,0)</f>
        <v>05</v>
      </c>
      <c r="C138" s="86">
        <f>+VLOOKUP($D138,[1]STS!$A$9:$E$1405,4,0)</f>
        <v>17</v>
      </c>
      <c r="D138" s="71" t="s">
        <v>206</v>
      </c>
      <c r="E138" s="97">
        <f>+IF(ISERROR(VLOOKUP($D138,[1]STS!$E$9:$G$1503,3,0)=0),0,VLOOKUP($D138,[1]STS!$E$9:$G$1503,3,0))</f>
        <v>7.67</v>
      </c>
      <c r="F138" s="98">
        <v>4</v>
      </c>
      <c r="G138" s="99">
        <f>+IF(ISERROR(VLOOKUP(D138,[1]STS!$E$9:$AO$1503,37,0)=0),0,VLOOKUP(D138,[1]STS!$E$9:$AO$1503,37,0))</f>
        <v>3.2118517746913615</v>
      </c>
      <c r="H138" s="77" t="str">
        <f>+IF(ISERROR(VLOOKUP(D138,[1]STS!$E$9:$I$1503,5,0)=0),0,VLOOKUP(D138,[1]STS!$E$9:$I$1503,5,0))</f>
        <v>FC</v>
      </c>
      <c r="I138" s="56"/>
      <c r="J138" s="66" t="str">
        <f>VLOOKUP(D138,[1]STS!$E$9:$BC$1359,51,0)</f>
        <v>F18CK</v>
      </c>
      <c r="K138" s="57"/>
      <c r="L138" s="78" t="str">
        <f>+VLOOKUP(N138,'[1]MSTR AKT'!$C$4:$E$460,3,0)</f>
        <v>Widi</v>
      </c>
      <c r="M138" s="79">
        <f>+IF(ISERROR(VLOOKUP($N138,'[1]MSTR AKT'!$C$4:$D$460,2,0)=0),0,VLOOKUP($N138,'[1]MSTR AKT'!$C$4:$D$460,2,0))</f>
        <v>1117271311</v>
      </c>
      <c r="N138" s="70" t="s">
        <v>46</v>
      </c>
      <c r="O138" s="58"/>
      <c r="P138" s="59">
        <v>46001</v>
      </c>
      <c r="Q138" s="100">
        <v>2</v>
      </c>
      <c r="R138" s="101">
        <v>8</v>
      </c>
      <c r="S138" s="102">
        <f t="shared" si="5"/>
        <v>802040</v>
      </c>
    </row>
    <row r="139" spans="1:19" x14ac:dyDescent="0.35">
      <c r="A139" s="55" t="s">
        <v>33</v>
      </c>
      <c r="B139" s="55" t="str">
        <f>+VLOOKUP($D139,[1]STS!$A$9:$E$1405,3,0)</f>
        <v>05</v>
      </c>
      <c r="C139" s="86">
        <f>+VLOOKUP($D139,[1]STS!$A$9:$E$1405,4,0)</f>
        <v>17</v>
      </c>
      <c r="D139" s="71" t="s">
        <v>207</v>
      </c>
      <c r="E139" s="97">
        <f>+IF(ISERROR(VLOOKUP($D139,[1]STS!$E$9:$G$1503,3,0)=0),0,VLOOKUP($D139,[1]STS!$E$9:$G$1503,3,0))</f>
        <v>8.74</v>
      </c>
      <c r="F139" s="98">
        <v>4</v>
      </c>
      <c r="G139" s="99">
        <f>+IF(ISERROR(VLOOKUP(D139,[1]STS!$E$9:$AO$1503,37,0)=0),0,VLOOKUP(D139,[1]STS!$E$9:$AO$1503,37,0))</f>
        <v>3.2118517746913615</v>
      </c>
      <c r="H139" s="77" t="str">
        <f>+IF(ISERROR(VLOOKUP(D139,[1]STS!$E$9:$I$1503,5,0)=0),0,VLOOKUP(D139,[1]STS!$E$9:$I$1503,5,0))</f>
        <v>FC</v>
      </c>
      <c r="I139" s="56"/>
      <c r="J139" s="66" t="str">
        <f>VLOOKUP(D139,[1]STS!$E$9:$BC$1359,51,0)</f>
        <v>F18CK</v>
      </c>
      <c r="K139" s="57"/>
      <c r="L139" s="78" t="str">
        <f>+VLOOKUP(N139,'[1]MSTR AKT'!$C$4:$E$460,3,0)</f>
        <v>Widi</v>
      </c>
      <c r="M139" s="79">
        <f>+IF(ISERROR(VLOOKUP($N139,'[1]MSTR AKT'!$C$4:$D$460,2,0)=0),0,VLOOKUP($N139,'[1]MSTR AKT'!$C$4:$D$460,2,0))</f>
        <v>1117271311</v>
      </c>
      <c r="N139" s="70" t="s">
        <v>46</v>
      </c>
      <c r="O139" s="58"/>
      <c r="P139" s="59">
        <v>45998</v>
      </c>
      <c r="Q139" s="100">
        <v>2</v>
      </c>
      <c r="R139" s="101">
        <v>8</v>
      </c>
      <c r="S139" s="102">
        <f t="shared" si="5"/>
        <v>802040</v>
      </c>
    </row>
    <row r="140" spans="1:19" x14ac:dyDescent="0.35">
      <c r="A140" s="55" t="s">
        <v>33</v>
      </c>
      <c r="B140" s="55" t="str">
        <f>+VLOOKUP($D140,[1]STS!$A$9:$E$1405,3,0)</f>
        <v>05</v>
      </c>
      <c r="C140" s="86">
        <f>+VLOOKUP($D140,[1]STS!$A$9:$E$1405,4,0)</f>
        <v>17</v>
      </c>
      <c r="D140" s="71" t="s">
        <v>193</v>
      </c>
      <c r="E140" s="97">
        <f>+IF(ISERROR(VLOOKUP($D140,[1]STS!$E$9:$G$1503,3,0)=0),0,VLOOKUP($D140,[1]STS!$E$9:$G$1503,3,0))</f>
        <v>8.61</v>
      </c>
      <c r="F140" s="98">
        <v>4</v>
      </c>
      <c r="G140" s="99">
        <f>+IF(ISERROR(VLOOKUP(D140,[1]STS!$E$9:$AO$1503,37,0)=0),0,VLOOKUP(D140,[1]STS!$E$9:$AO$1503,37,0))</f>
        <v>4.1785184413580279</v>
      </c>
      <c r="H140" s="77" t="str">
        <f>+IF(ISERROR(VLOOKUP(D140,[1]STS!$E$9:$I$1503,5,0)=0),0,VLOOKUP(D140,[1]STS!$E$9:$I$1503,5,0))</f>
        <v>FC</v>
      </c>
      <c r="I140" s="56"/>
      <c r="J140" s="66" t="str">
        <f>VLOOKUP(D140,[1]STS!$E$9:$BC$1359,51,0)</f>
        <v>GP3SS</v>
      </c>
      <c r="K140" s="57"/>
      <c r="L140" s="78" t="str">
        <f>+VLOOKUP(N140,'[1]MSTR AKT'!$C$4:$E$460,3,0)</f>
        <v>Widi</v>
      </c>
      <c r="M140" s="79">
        <f>+IF(ISERROR(VLOOKUP($N140,'[1]MSTR AKT'!$C$4:$D$460,2,0)=0),0,VLOOKUP($N140,'[1]MSTR AKT'!$C$4:$D$460,2,0))</f>
        <v>1117271311</v>
      </c>
      <c r="N140" s="70" t="s">
        <v>46</v>
      </c>
      <c r="O140" s="58"/>
      <c r="P140" s="59">
        <v>46003</v>
      </c>
      <c r="Q140" s="100">
        <v>2</v>
      </c>
      <c r="R140" s="101">
        <v>8</v>
      </c>
      <c r="S140" s="102">
        <f>+R140*100255</f>
        <v>802040</v>
      </c>
    </row>
    <row r="141" spans="1:19" x14ac:dyDescent="0.35">
      <c r="A141" s="55" t="s">
        <v>33</v>
      </c>
      <c r="B141" s="55" t="str">
        <f>+VLOOKUP($D141,[1]STS!$A$9:$E$1405,3,0)</f>
        <v>05</v>
      </c>
      <c r="C141" s="86">
        <f>+VLOOKUP($D141,[1]STS!$A$9:$E$1405,4,0)</f>
        <v>17</v>
      </c>
      <c r="D141" s="71" t="s">
        <v>118</v>
      </c>
      <c r="E141" s="97">
        <f>+IF(ISERROR(VLOOKUP($D141,[1]STS!$E$9:$G$1503,3,0)=0),0,VLOOKUP($D141,[1]STS!$E$9:$G$1503,3,0))</f>
        <v>5.92</v>
      </c>
      <c r="F141" s="98">
        <v>2</v>
      </c>
      <c r="G141" s="99">
        <f>+IF(ISERROR(VLOOKUP(D141,[1]STS!$E$9:$AO$1503,37,0)=0),0,VLOOKUP(D141,[1]STS!$E$9:$AO$1503,37,0))</f>
        <v>15.111851774691361</v>
      </c>
      <c r="H141" s="77" t="str">
        <f>+IF(ISERROR(VLOOKUP(D141,[1]STS!$E$9:$I$1503,5,0)=0),0,VLOOKUP(D141,[1]STS!$E$9:$I$1503,5,0))</f>
        <v>FC</v>
      </c>
      <c r="I141" s="56"/>
      <c r="J141" s="66" t="str">
        <f>VLOOKUP(D141,[1]STS!$E$9:$BC$1359,51,0)</f>
        <v>F18CK</v>
      </c>
      <c r="K141" s="57"/>
      <c r="L141" s="78" t="str">
        <f>+VLOOKUP(N141,'[1]MSTR AKT'!$C$4:$E$460,3,0)</f>
        <v>Nugroho</v>
      </c>
      <c r="M141" s="79">
        <f>+IF(ISERROR(VLOOKUP($N141,'[1]MSTR AKT'!$C$4:$D$460,2,0)=0),0,VLOOKUP($N141,'[1]MSTR AKT'!$C$4:$D$460,2,0))</f>
        <v>1311131311</v>
      </c>
      <c r="N141" s="70" t="s">
        <v>38</v>
      </c>
      <c r="O141" s="58"/>
      <c r="P141" s="59">
        <v>45999</v>
      </c>
      <c r="Q141" s="100">
        <v>4</v>
      </c>
      <c r="R141" s="101">
        <v>8</v>
      </c>
      <c r="S141" s="102">
        <f>+R141*100255</f>
        <v>802040</v>
      </c>
    </row>
    <row r="142" spans="1:19" x14ac:dyDescent="0.35">
      <c r="A142" s="55" t="s">
        <v>33</v>
      </c>
      <c r="B142" s="55" t="str">
        <f>+VLOOKUP($D142,[1]STS!$A$9:$E$1405,3,0)</f>
        <v>05</v>
      </c>
      <c r="C142" s="86">
        <f>+VLOOKUP($D142,[1]STS!$A$9:$E$1405,4,0)</f>
        <v>17</v>
      </c>
      <c r="D142" s="71" t="s">
        <v>119</v>
      </c>
      <c r="E142" s="97">
        <f>+IF(ISERROR(VLOOKUP($D142,[1]STS!$E$9:$G$1503,3,0)=0),0,VLOOKUP($D142,[1]STS!$E$9:$G$1503,3,0))</f>
        <v>6.39</v>
      </c>
      <c r="F142" s="98">
        <v>3</v>
      </c>
      <c r="G142" s="99">
        <f>+IF(ISERROR(VLOOKUP(D142,[1]STS!$E$9:$AO$1503,37,0)=0),0,VLOOKUP(D142,[1]STS!$E$9:$AO$1503,37,0))</f>
        <v>15.078518441358028</v>
      </c>
      <c r="H142" s="77" t="str">
        <f>+IF(ISERROR(VLOOKUP(D142,[1]STS!$E$9:$I$1503,5,0)=0),0,VLOOKUP(D142,[1]STS!$E$9:$I$1503,5,0))</f>
        <v>FC</v>
      </c>
      <c r="I142" s="56"/>
      <c r="J142" s="66" t="str">
        <f>VLOOKUP(D142,[1]STS!$E$9:$BC$1359,51,0)</f>
        <v>F18CK</v>
      </c>
      <c r="K142" s="57"/>
      <c r="L142" s="78" t="str">
        <f>+VLOOKUP(N142,'[1]MSTR AKT'!$C$4:$E$460,3,0)</f>
        <v>Nugroho</v>
      </c>
      <c r="M142" s="79">
        <f>+IF(ISERROR(VLOOKUP($N142,'[1]MSTR AKT'!$C$4:$D$460,2,0)=0),0,VLOOKUP($N142,'[1]MSTR AKT'!$C$4:$D$460,2,0))</f>
        <v>1311131311</v>
      </c>
      <c r="N142" s="70" t="s">
        <v>38</v>
      </c>
      <c r="O142" s="58"/>
      <c r="P142" s="59">
        <v>45999</v>
      </c>
      <c r="Q142" s="100">
        <v>4</v>
      </c>
      <c r="R142" s="101">
        <v>12</v>
      </c>
      <c r="S142" s="102">
        <f t="shared" ref="S142:S152" si="6">+R142*100255</f>
        <v>1203060</v>
      </c>
    </row>
    <row r="143" spans="1:19" x14ac:dyDescent="0.35">
      <c r="A143" s="55" t="s">
        <v>33</v>
      </c>
      <c r="B143" s="55" t="str">
        <f>+VLOOKUP($D143,[1]STS!$A$9:$E$1405,3,0)</f>
        <v>05</v>
      </c>
      <c r="C143" s="86">
        <f>+VLOOKUP($D143,[1]STS!$A$9:$E$1405,4,0)</f>
        <v>17</v>
      </c>
      <c r="D143" s="71" t="s">
        <v>191</v>
      </c>
      <c r="E143" s="97">
        <f>+IF(ISERROR(VLOOKUP($D143,[1]STS!$E$9:$G$1503,3,0)=0),0,VLOOKUP($D143,[1]STS!$E$9:$G$1503,3,0))</f>
        <v>3.07</v>
      </c>
      <c r="F143" s="98">
        <v>3</v>
      </c>
      <c r="G143" s="99">
        <f>+IF(ISERROR(VLOOKUP(D143,[1]STS!$E$9:$AO$1503,37,0)=0),0,VLOOKUP(D143,[1]STS!$E$9:$AO$1503,37,0))</f>
        <v>14.711851774691361</v>
      </c>
      <c r="H143" s="77" t="str">
        <f>+IF(ISERROR(VLOOKUP(D143,[1]STS!$E$9:$I$1503,5,0)=0),0,VLOOKUP(D143,[1]STS!$E$9:$I$1503,5,0))</f>
        <v>FC</v>
      </c>
      <c r="I143" s="56"/>
      <c r="J143" s="66" t="str">
        <f>VLOOKUP(D143,[1]STS!$E$9:$BC$1359,51,0)</f>
        <v>F18SK</v>
      </c>
      <c r="K143" s="57"/>
      <c r="L143" s="78" t="str">
        <f>+VLOOKUP(N143,'[1]MSTR AKT'!$C$4:$E$460,3,0)</f>
        <v>Nugroho</v>
      </c>
      <c r="M143" s="79">
        <f>+IF(ISERROR(VLOOKUP($N143,'[1]MSTR AKT'!$C$4:$D$460,2,0)=0),0,VLOOKUP($N143,'[1]MSTR AKT'!$C$4:$D$460,2,0))</f>
        <v>1311131311</v>
      </c>
      <c r="N143" s="70" t="s">
        <v>38</v>
      </c>
      <c r="O143" s="58"/>
      <c r="P143" s="59">
        <v>46003</v>
      </c>
      <c r="Q143" s="100">
        <v>4</v>
      </c>
      <c r="R143" s="101">
        <v>12</v>
      </c>
      <c r="S143" s="102">
        <f t="shared" si="6"/>
        <v>1203060</v>
      </c>
    </row>
    <row r="144" spans="1:19" x14ac:dyDescent="0.35">
      <c r="A144" s="55" t="s">
        <v>33</v>
      </c>
      <c r="B144" s="55" t="str">
        <f>+VLOOKUP($D144,[1]STS!$A$9:$E$1405,3,0)</f>
        <v>05</v>
      </c>
      <c r="C144" s="86">
        <f>+VLOOKUP($D144,[1]STS!$A$9:$E$1405,4,0)</f>
        <v>17</v>
      </c>
      <c r="D144" s="71" t="s">
        <v>91</v>
      </c>
      <c r="E144" s="97">
        <f>+IF(ISERROR(VLOOKUP($D144,[1]STS!$E$9:$G$1503,3,0)=0),0,VLOOKUP($D144,[1]STS!$E$9:$G$1503,3,0))</f>
        <v>11.83</v>
      </c>
      <c r="F144" s="98">
        <v>2</v>
      </c>
      <c r="G144" s="99">
        <f>+IF(ISERROR(VLOOKUP(D144,[1]STS!$E$9:$AO$1503,37,0)=0),0,VLOOKUP(D144,[1]STS!$E$9:$AO$1503,37,0))</f>
        <v>7.6118517746913614</v>
      </c>
      <c r="H144" s="77" t="str">
        <f>+IF(ISERROR(VLOOKUP(D144,[1]STS!$E$9:$I$1503,5,0)=0),0,VLOOKUP(D144,[1]STS!$E$9:$I$1503,5,0))</f>
        <v>FC</v>
      </c>
      <c r="I144" s="56"/>
      <c r="J144" s="66" t="str">
        <f>VLOOKUP(D144,[1]STS!$E$9:$BC$1359,51,0)</f>
        <v>F18SB</v>
      </c>
      <c r="K144" s="57"/>
      <c r="L144" s="78" t="str">
        <f>+VLOOKUP(N144,'[1]MSTR AKT'!$C$4:$E$460,3,0)</f>
        <v>Nugroho</v>
      </c>
      <c r="M144" s="79">
        <f>+IF(ISERROR(VLOOKUP($N144,'[1]MSTR AKT'!$C$4:$D$460,2,0)=0),0,VLOOKUP($N144,'[1]MSTR AKT'!$C$4:$D$460,2,0))</f>
        <v>1311131311</v>
      </c>
      <c r="N144" s="70" t="s">
        <v>38</v>
      </c>
      <c r="O144" s="58"/>
      <c r="P144" s="59">
        <v>45998</v>
      </c>
      <c r="Q144" s="100">
        <v>4</v>
      </c>
      <c r="R144" s="101">
        <v>8</v>
      </c>
      <c r="S144" s="102">
        <f t="shared" si="6"/>
        <v>802040</v>
      </c>
    </row>
    <row r="145" spans="1:19" x14ac:dyDescent="0.35">
      <c r="A145" s="55" t="s">
        <v>33</v>
      </c>
      <c r="B145" s="55" t="str">
        <f>+VLOOKUP($D145,[1]STS!$A$9:$E$1405,3,0)</f>
        <v>05</v>
      </c>
      <c r="C145" s="86">
        <f>+VLOOKUP($D145,[1]STS!$A$9:$E$1405,4,0)</f>
        <v>17</v>
      </c>
      <c r="D145" s="71" t="s">
        <v>204</v>
      </c>
      <c r="E145" s="97">
        <f>+IF(ISERROR(VLOOKUP($D145,[1]STS!$E$9:$G$1503,3,0)=0),0,VLOOKUP($D145,[1]STS!$E$9:$G$1503,3,0))</f>
        <v>13.36</v>
      </c>
      <c r="F145" s="113">
        <v>2</v>
      </c>
      <c r="G145" s="99">
        <f>+IF(ISERROR(VLOOKUP(D145,[1]STS!$E$9:$AO$1503,37,0)=0),0,VLOOKUP(D145,[1]STS!$E$9:$AO$1503,37,0))</f>
        <v>4.211851774691362</v>
      </c>
      <c r="H145" s="77" t="str">
        <f>+IF(ISERROR(VLOOKUP(D145,[1]STS!$E$9:$I$1503,5,0)=0),0,VLOOKUP(D145,[1]STS!$E$9:$I$1503,5,0))</f>
        <v>FC</v>
      </c>
      <c r="I145" s="56"/>
      <c r="J145" s="66" t="str">
        <f>VLOOKUP(D145,[1]STS!$E$9:$BC$1359,51,0)</f>
        <v>F18CK</v>
      </c>
      <c r="K145" s="57"/>
      <c r="L145" s="78" t="str">
        <f>+VLOOKUP(N145,'[1]MSTR AKT'!$C$4:$E$460,3,0)</f>
        <v>Nugroho</v>
      </c>
      <c r="M145" s="79">
        <f>+IF(ISERROR(VLOOKUP($N145,'[1]MSTR AKT'!$C$4:$D$460,2,0)=0),0,VLOOKUP($N145,'[1]MSTR AKT'!$C$4:$D$460,2,0))</f>
        <v>1311131311</v>
      </c>
      <c r="N145" s="70" t="s">
        <v>38</v>
      </c>
      <c r="O145" s="58"/>
      <c r="P145" s="59">
        <v>45999</v>
      </c>
      <c r="Q145" s="100">
        <v>4</v>
      </c>
      <c r="R145" s="101">
        <v>8</v>
      </c>
      <c r="S145" s="102">
        <f t="shared" si="6"/>
        <v>802040</v>
      </c>
    </row>
    <row r="146" spans="1:19" x14ac:dyDescent="0.35">
      <c r="A146" s="55" t="s">
        <v>33</v>
      </c>
      <c r="B146" s="55" t="str">
        <f>+VLOOKUP($D146,[1]STS!$A$9:$E$1405,3,0)</f>
        <v>05</v>
      </c>
      <c r="C146" s="86">
        <f>+VLOOKUP($D146,[1]STS!$A$9:$E$1405,4,0)</f>
        <v>17</v>
      </c>
      <c r="D146" s="71" t="s">
        <v>74</v>
      </c>
      <c r="E146" s="97">
        <f>+IF(ISERROR(VLOOKUP($D146,[1]STS!$E$9:$G$1503,3,0)=0),0,VLOOKUP($D146,[1]STS!$E$9:$G$1503,3,0))</f>
        <v>5.03</v>
      </c>
      <c r="F146" s="98">
        <v>3</v>
      </c>
      <c r="G146" s="99">
        <f>+IF(ISERROR(VLOOKUP(D146,[1]STS!$E$9:$AO$1503,37,0)=0),0,VLOOKUP(D146,[1]STS!$E$9:$AO$1503,37,0))</f>
        <v>8.4451851080246954</v>
      </c>
      <c r="H146" s="77" t="str">
        <f>+IF(ISERROR(VLOOKUP(D146,[1]STS!$E$9:$I$1503,5,0)=0),0,VLOOKUP(D146,[1]STS!$E$9:$I$1503,5,0))</f>
        <v>FC</v>
      </c>
      <c r="I146" s="56"/>
      <c r="J146" s="66" t="str">
        <f>VLOOKUP(D146,[1]STS!$E$9:$BC$1359,51,0)</f>
        <v>F18CK</v>
      </c>
      <c r="K146" s="57"/>
      <c r="L146" s="78" t="str">
        <f>+VLOOKUP(N146,'[1]MSTR AKT'!$C$4:$E$460,3,0)</f>
        <v>Nugroho</v>
      </c>
      <c r="M146" s="79">
        <f>+IF(ISERROR(VLOOKUP($N146,'[1]MSTR AKT'!$C$4:$D$460,2,0)=0),0,VLOOKUP($N146,'[1]MSTR AKT'!$C$4:$D$460,2,0))</f>
        <v>1311131311</v>
      </c>
      <c r="N146" s="70" t="s">
        <v>38</v>
      </c>
      <c r="O146" s="58"/>
      <c r="P146" s="59">
        <v>45999</v>
      </c>
      <c r="Q146" s="100">
        <v>4</v>
      </c>
      <c r="R146" s="101">
        <v>12</v>
      </c>
      <c r="S146" s="102">
        <f t="shared" si="6"/>
        <v>1203060</v>
      </c>
    </row>
    <row r="147" spans="1:19" x14ac:dyDescent="0.35">
      <c r="A147" s="55" t="s">
        <v>33</v>
      </c>
      <c r="B147" s="55" t="str">
        <f>+VLOOKUP($D147,[1]STS!$A$9:$E$1405,3,0)</f>
        <v>05</v>
      </c>
      <c r="C147" s="86">
        <f>+VLOOKUP($D147,[1]STS!$A$9:$E$1405,4,0)</f>
        <v>17</v>
      </c>
      <c r="D147" s="71" t="s">
        <v>206</v>
      </c>
      <c r="E147" s="97">
        <f>+IF(ISERROR(VLOOKUP($D147,[1]STS!$E$9:$G$1503,3,0)=0),0,VLOOKUP($D147,[1]STS!$E$9:$G$1503,3,0))</f>
        <v>7.67</v>
      </c>
      <c r="F147" s="98">
        <v>0.747</v>
      </c>
      <c r="G147" s="99">
        <f>+IF(ISERROR(VLOOKUP(D147,[1]STS!$E$9:$AO$1503,37,0)=0),0,VLOOKUP(D147,[1]STS!$E$9:$AO$1503,37,0))</f>
        <v>3.2118517746913615</v>
      </c>
      <c r="H147" s="77" t="str">
        <f>+IF(ISERROR(VLOOKUP(D147,[1]STS!$E$9:$I$1503,5,0)=0),0,VLOOKUP(D147,[1]STS!$E$9:$I$1503,5,0))</f>
        <v>FC</v>
      </c>
      <c r="I147" s="56"/>
      <c r="J147" s="66" t="str">
        <f>VLOOKUP(D147,[1]STS!$E$9:$BC$1359,51,0)</f>
        <v>F18CK</v>
      </c>
      <c r="K147" s="57"/>
      <c r="L147" s="78" t="str">
        <f>+VLOOKUP(N147,'[1]MSTR AKT'!$C$4:$E$460,3,0)</f>
        <v>Nugroho</v>
      </c>
      <c r="M147" s="79">
        <f>+IF(ISERROR(VLOOKUP($N147,'[1]MSTR AKT'!$C$4:$D$460,2,0)=0),0,VLOOKUP($N147,'[1]MSTR AKT'!$C$4:$D$460,2,0))</f>
        <v>1313131111</v>
      </c>
      <c r="N147" s="70" t="s">
        <v>35</v>
      </c>
      <c r="O147" s="58"/>
      <c r="P147" s="59">
        <v>45999</v>
      </c>
      <c r="Q147" s="100">
        <v>4</v>
      </c>
      <c r="R147" s="101">
        <v>2.988</v>
      </c>
      <c r="S147" s="102">
        <f t="shared" si="6"/>
        <v>299561.94</v>
      </c>
    </row>
    <row r="148" spans="1:19" x14ac:dyDescent="0.35">
      <c r="A148" s="55" t="s">
        <v>33</v>
      </c>
      <c r="B148" s="55" t="str">
        <f>+VLOOKUP($D148,[1]STS!$A$9:$E$1405,3,0)</f>
        <v>05</v>
      </c>
      <c r="C148" s="86">
        <f>+VLOOKUP($D148,[1]STS!$A$9:$E$1405,4,0)</f>
        <v>17</v>
      </c>
      <c r="D148" s="71" t="s">
        <v>207</v>
      </c>
      <c r="E148" s="97">
        <f>+IF(ISERROR(VLOOKUP($D148,[1]STS!$E$9:$G$1503,3,0)=0),0,VLOOKUP($D148,[1]STS!$E$9:$G$1503,3,0))</f>
        <v>8.74</v>
      </c>
      <c r="F148" s="98">
        <v>0.876</v>
      </c>
      <c r="G148" s="99">
        <f>+IF(ISERROR(VLOOKUP(D148,[1]STS!$E$9:$AO$1503,37,0)=0),0,VLOOKUP(D148,[1]STS!$E$9:$AO$1503,37,0))</f>
        <v>3.2118517746913615</v>
      </c>
      <c r="H148" s="77" t="str">
        <f>+IF(ISERROR(VLOOKUP(D148,[1]STS!$E$9:$I$1503,5,0)=0),0,VLOOKUP(D148,[1]STS!$E$9:$I$1503,5,0))</f>
        <v>FC</v>
      </c>
      <c r="I148" s="56"/>
      <c r="J148" s="66" t="str">
        <f>VLOOKUP(D148,[1]STS!$E$9:$BC$1359,51,0)</f>
        <v>F18CK</v>
      </c>
      <c r="K148" s="57"/>
      <c r="L148" s="78" t="str">
        <f>+VLOOKUP(N148,'[1]MSTR AKT'!$C$4:$E$460,3,0)</f>
        <v>Nugroho</v>
      </c>
      <c r="M148" s="79">
        <f>+IF(ISERROR(VLOOKUP($N148,'[1]MSTR AKT'!$C$4:$D$460,2,0)=0),0,VLOOKUP($N148,'[1]MSTR AKT'!$C$4:$D$460,2,0))</f>
        <v>1313131111</v>
      </c>
      <c r="N148" s="70" t="s">
        <v>35</v>
      </c>
      <c r="O148" s="58"/>
      <c r="P148" s="59">
        <v>46003</v>
      </c>
      <c r="Q148" s="100">
        <v>4</v>
      </c>
      <c r="R148" s="101">
        <v>3.504</v>
      </c>
      <c r="S148" s="102">
        <f t="shared" si="6"/>
        <v>351293.52</v>
      </c>
    </row>
    <row r="149" spans="1:19" x14ac:dyDescent="0.35">
      <c r="A149" s="55" t="s">
        <v>33</v>
      </c>
      <c r="B149" s="55" t="str">
        <f>+VLOOKUP($D149,[1]STS!$A$9:$E$1405,3,0)</f>
        <v>05</v>
      </c>
      <c r="C149" s="86">
        <f>+VLOOKUP($D149,[1]STS!$A$9:$E$1405,4,0)</f>
        <v>17</v>
      </c>
      <c r="D149" s="71" t="s">
        <v>193</v>
      </c>
      <c r="E149" s="97">
        <f>+IF(ISERROR(VLOOKUP($D149,[1]STS!$E$9:$G$1503,3,0)=0),0,VLOOKUP($D149,[1]STS!$E$9:$G$1503,3,0))</f>
        <v>8.61</v>
      </c>
      <c r="F149" s="98">
        <v>0.85600000000000009</v>
      </c>
      <c r="G149" s="99">
        <f>+IF(ISERROR(VLOOKUP(D149,[1]STS!$E$9:$AO$1503,37,0)=0),0,VLOOKUP(D149,[1]STS!$E$9:$AO$1503,37,0))</f>
        <v>4.1785184413580279</v>
      </c>
      <c r="H149" s="77" t="str">
        <f>+IF(ISERROR(VLOOKUP(D149,[1]STS!$E$9:$I$1503,5,0)=0),0,VLOOKUP(D149,[1]STS!$E$9:$I$1503,5,0))</f>
        <v>FC</v>
      </c>
      <c r="I149" s="56"/>
      <c r="J149" s="66" t="str">
        <f>VLOOKUP(D149,[1]STS!$E$9:$BC$1359,51,0)</f>
        <v>GP3SS</v>
      </c>
      <c r="K149" s="57"/>
      <c r="L149" s="78" t="str">
        <f>+VLOOKUP(N149,'[1]MSTR AKT'!$C$4:$E$460,3,0)</f>
        <v>Nugroho</v>
      </c>
      <c r="M149" s="79">
        <f>+IF(ISERROR(VLOOKUP($N149,'[1]MSTR AKT'!$C$4:$D$460,2,0)=0),0,VLOOKUP($N149,'[1]MSTR AKT'!$C$4:$D$460,2,0))</f>
        <v>1313131111</v>
      </c>
      <c r="N149" s="70" t="s">
        <v>35</v>
      </c>
      <c r="O149" s="58"/>
      <c r="P149" s="59">
        <v>46004</v>
      </c>
      <c r="Q149" s="100">
        <v>4</v>
      </c>
      <c r="R149" s="101">
        <v>3.4240000000000004</v>
      </c>
      <c r="S149" s="102">
        <f t="shared" si="6"/>
        <v>343273.12000000005</v>
      </c>
    </row>
    <row r="150" spans="1:19" x14ac:dyDescent="0.35">
      <c r="A150" s="55" t="s">
        <v>33</v>
      </c>
      <c r="B150" s="55" t="str">
        <f>+VLOOKUP($D150,[1]STS!$A$9:$E$1405,3,0)</f>
        <v>05</v>
      </c>
      <c r="C150" s="86">
        <f>+VLOOKUP($D150,[1]STS!$A$9:$E$1405,4,0)</f>
        <v>17</v>
      </c>
      <c r="D150" s="71" t="s">
        <v>206</v>
      </c>
      <c r="E150" s="97">
        <f>+IF(ISERROR(VLOOKUP($D150,[1]STS!$E$9:$G$1503,3,0)=0),0,VLOOKUP($D150,[1]STS!$E$9:$G$1503,3,0))</f>
        <v>7.67</v>
      </c>
      <c r="F150" s="98">
        <v>4.4819999999999993</v>
      </c>
      <c r="G150" s="99">
        <f>+IF(ISERROR(VLOOKUP(D150,[1]STS!$E$9:$AO$1503,37,0)=0),0,VLOOKUP(D150,[1]STS!$E$9:$AO$1503,37,0))</f>
        <v>3.2118517746913615</v>
      </c>
      <c r="H150" s="77" t="str">
        <f>+IF(ISERROR(VLOOKUP(D150,[1]STS!$E$9:$I$1503,5,0)=0),0,VLOOKUP(D150,[1]STS!$E$9:$I$1503,5,0))</f>
        <v>FC</v>
      </c>
      <c r="I150" s="56"/>
      <c r="J150" s="66" t="str">
        <f>VLOOKUP(D150,[1]STS!$E$9:$BC$1359,51,0)</f>
        <v>F18CK</v>
      </c>
      <c r="K150" s="57"/>
      <c r="L150" s="78" t="str">
        <f>+VLOOKUP(N150,'[1]MSTR AKT'!$C$4:$E$460,3,0)</f>
        <v>Widi</v>
      </c>
      <c r="M150" s="79">
        <f>+IF(ISERROR(VLOOKUP($N150,'[1]MSTR AKT'!$C$4:$D$460,2,0)=0),0,VLOOKUP($N150,'[1]MSTR AKT'!$C$4:$D$460,2,0))</f>
        <v>1315111511</v>
      </c>
      <c r="N150" s="70" t="s">
        <v>0</v>
      </c>
      <c r="O150" s="58"/>
      <c r="P150" s="59">
        <v>46000</v>
      </c>
      <c r="Q150" s="100">
        <v>5</v>
      </c>
      <c r="R150" s="101">
        <v>22.409999999999997</v>
      </c>
      <c r="S150" s="102">
        <f t="shared" si="6"/>
        <v>2246714.5499999998</v>
      </c>
    </row>
    <row r="151" spans="1:19" x14ac:dyDescent="0.35">
      <c r="A151" s="55" t="s">
        <v>33</v>
      </c>
      <c r="B151" s="55" t="str">
        <f>+VLOOKUP($D151,[1]STS!$A$9:$E$1405,3,0)</f>
        <v>05</v>
      </c>
      <c r="C151" s="86">
        <f>+VLOOKUP($D151,[1]STS!$A$9:$E$1405,4,0)</f>
        <v>17</v>
      </c>
      <c r="D151" s="71" t="s">
        <v>207</v>
      </c>
      <c r="E151" s="97">
        <f>+IF(ISERROR(VLOOKUP($D151,[1]STS!$E$9:$G$1503,3,0)=0),0,VLOOKUP($D151,[1]STS!$E$9:$G$1503,3,0))</f>
        <v>8.74</v>
      </c>
      <c r="F151" s="98">
        <v>5.2559999999999993</v>
      </c>
      <c r="G151" s="99">
        <f>+IF(ISERROR(VLOOKUP(D151,[1]STS!$E$9:$AO$1503,37,0)=0),0,VLOOKUP(D151,[1]STS!$E$9:$AO$1503,37,0))</f>
        <v>3.2118517746913615</v>
      </c>
      <c r="H151" s="77" t="str">
        <f>+IF(ISERROR(VLOOKUP(D151,[1]STS!$E$9:$I$1503,5,0)=0),0,VLOOKUP(D151,[1]STS!$E$9:$I$1503,5,0))</f>
        <v>FC</v>
      </c>
      <c r="I151" s="56"/>
      <c r="J151" s="66" t="str">
        <f>VLOOKUP(D151,[1]STS!$E$9:$BC$1359,51,0)</f>
        <v>F18CK</v>
      </c>
      <c r="K151" s="57"/>
      <c r="L151" s="78" t="str">
        <f>+VLOOKUP(N151,'[1]MSTR AKT'!$C$4:$E$460,3,0)</f>
        <v>Widi</v>
      </c>
      <c r="M151" s="79">
        <f>+IF(ISERROR(VLOOKUP($N151,'[1]MSTR AKT'!$C$4:$D$460,2,0)=0),0,VLOOKUP($N151,'[1]MSTR AKT'!$C$4:$D$460,2,0))</f>
        <v>1315111511</v>
      </c>
      <c r="N151" s="70" t="s">
        <v>0</v>
      </c>
      <c r="O151" s="58"/>
      <c r="P151" s="59">
        <v>46001</v>
      </c>
      <c r="Q151" s="100">
        <v>5</v>
      </c>
      <c r="R151" s="101">
        <v>26.279999999999998</v>
      </c>
      <c r="S151" s="102">
        <f t="shared" si="6"/>
        <v>2634701.4</v>
      </c>
    </row>
    <row r="152" spans="1:19" x14ac:dyDescent="0.35">
      <c r="A152" s="55" t="s">
        <v>33</v>
      </c>
      <c r="B152" s="55" t="str">
        <f>+VLOOKUP($D152,[1]STS!$A$9:$E$1405,3,0)</f>
        <v>05</v>
      </c>
      <c r="C152" s="86">
        <f>+VLOOKUP($D152,[1]STS!$A$9:$E$1405,4,0)</f>
        <v>17</v>
      </c>
      <c r="D152" s="71" t="s">
        <v>248</v>
      </c>
      <c r="E152" s="97">
        <f>+IF(ISERROR(VLOOKUP($D152,[1]STS!$E$9:$G$1503,3,0)=0),0,VLOOKUP($D152,[1]STS!$E$9:$G$1503,3,0))</f>
        <v>8.9499999999999993</v>
      </c>
      <c r="F152" s="98">
        <v>4.8780000000000001</v>
      </c>
      <c r="G152" s="99">
        <f>+IF(ISERROR(VLOOKUP(D152,[1]STS!$E$9:$AO$1503,37,0)=0),0,VLOOKUP(D152,[1]STS!$E$9:$AO$1503,37,0))</f>
        <v>1.0785184413580282</v>
      </c>
      <c r="H152" s="77" t="str">
        <f>+IF(ISERROR(VLOOKUP(D152,[1]STS!$E$9:$I$1503,5,0)=0),0,VLOOKUP(D152,[1]STS!$E$9:$I$1503,5,0))</f>
        <v>ST</v>
      </c>
      <c r="I152" s="56"/>
      <c r="J152" s="66" t="str">
        <f>VLOOKUP(D152,[1]STS!$E$9:$BC$1359,51,0)</f>
        <v>F18</v>
      </c>
      <c r="K152" s="57"/>
      <c r="L152" s="78" t="str">
        <f>+VLOOKUP(N152,'[1]MSTR AKT'!$C$4:$E$460,3,0)</f>
        <v>Widi</v>
      </c>
      <c r="M152" s="79">
        <f>+IF(ISERROR(VLOOKUP($N152,'[1]MSTR AKT'!$C$4:$D$460,2,0)=0),0,VLOOKUP($N152,'[1]MSTR AKT'!$C$4:$D$460,2,0))</f>
        <v>1315111511</v>
      </c>
      <c r="N152" s="70" t="s">
        <v>0</v>
      </c>
      <c r="O152" s="58"/>
      <c r="P152" s="59">
        <v>45998</v>
      </c>
      <c r="Q152" s="100">
        <v>5</v>
      </c>
      <c r="R152" s="101">
        <v>24.39</v>
      </c>
      <c r="S152" s="102">
        <f t="shared" si="6"/>
        <v>2445219.4500000002</v>
      </c>
    </row>
    <row r="153" spans="1:19" x14ac:dyDescent="0.35">
      <c r="A153" s="55" t="s">
        <v>33</v>
      </c>
      <c r="B153" s="55" t="str">
        <f>+VLOOKUP($D153,[1]STS!$A$9:$E$1405,3,0)</f>
        <v>05</v>
      </c>
      <c r="C153" s="86">
        <f>+VLOOKUP($D153,[1]STS!$A$9:$E$1405,4,0)</f>
        <v>17</v>
      </c>
      <c r="D153" s="71" t="s">
        <v>240</v>
      </c>
      <c r="E153" s="97">
        <f>+IF(ISERROR(VLOOKUP($D153,[1]STS!$E$9:$G$1503,3,0)=0),0,VLOOKUP($D153,[1]STS!$E$9:$G$1503,3,0))</f>
        <v>12.57</v>
      </c>
      <c r="F153" s="98">
        <v>2.34</v>
      </c>
      <c r="G153" s="99">
        <f>+IF(ISERROR(VLOOKUP(D153,[1]STS!$E$9:$AO$1503,37,0)=0),0,VLOOKUP(D153,[1]STS!$E$9:$AO$1503,37,0))</f>
        <v>3.0118517746913613</v>
      </c>
      <c r="H153" s="77" t="str">
        <f>+IF(ISERROR(VLOOKUP(D153,[1]STS!$E$9:$I$1503,5,0)=0),0,VLOOKUP(D153,[1]STS!$E$9:$I$1503,5,0))</f>
        <v>FC</v>
      </c>
      <c r="I153" s="56"/>
      <c r="J153" s="66" t="str">
        <f>VLOOKUP(D153,[1]STS!$E$9:$BC$1359,51,0)</f>
        <v>F18CK</v>
      </c>
      <c r="K153" s="57"/>
      <c r="L153" s="78" t="str">
        <f>+VLOOKUP(N153,'[1]MSTR AKT'!$C$4:$E$460,3,0)</f>
        <v>Etri 1</v>
      </c>
      <c r="M153" s="79">
        <f>+IF(ISERROR(VLOOKUP($N153,'[1]MSTR AKT'!$C$4:$D$460,2,0)=0),0,VLOOKUP($N153,'[1]MSTR AKT'!$C$4:$D$460,2,0))</f>
        <v>1113211115</v>
      </c>
      <c r="N153" s="70" t="s">
        <v>45</v>
      </c>
      <c r="O153" s="58"/>
      <c r="P153" s="59">
        <v>45998</v>
      </c>
      <c r="Q153" s="100">
        <v>3.9</v>
      </c>
      <c r="R153" s="101">
        <v>3</v>
      </c>
      <c r="S153" s="102">
        <f t="shared" ref="S153:S158" si="7">+R153*100255</f>
        <v>300765</v>
      </c>
    </row>
    <row r="154" spans="1:19" x14ac:dyDescent="0.35">
      <c r="A154" s="55" t="s">
        <v>33</v>
      </c>
      <c r="B154" s="55" t="str">
        <f>+VLOOKUP($D154,[1]STS!$A$9:$E$1405,3,0)</f>
        <v>05</v>
      </c>
      <c r="C154" s="86">
        <f>+VLOOKUP($D154,[1]STS!$A$9:$E$1405,4,0)</f>
        <v>17</v>
      </c>
      <c r="D154" s="71" t="s">
        <v>241</v>
      </c>
      <c r="E154" s="97">
        <f>+IF(ISERROR(VLOOKUP($D154,[1]STS!$E$9:$G$1503,3,0)=0),0,VLOOKUP($D154,[1]STS!$E$9:$G$1503,3,0))</f>
        <v>3.52</v>
      </c>
      <c r="F154" s="98">
        <v>0.63600000000000012</v>
      </c>
      <c r="G154" s="99">
        <f>+IF(ISERROR(VLOOKUP(D154,[1]STS!$E$9:$AO$1503,37,0)=0),0,VLOOKUP(D154,[1]STS!$E$9:$AO$1503,37,0))</f>
        <v>2.6118517746913614</v>
      </c>
      <c r="H154" s="77" t="str">
        <f>+IF(ISERROR(VLOOKUP(D154,[1]STS!$E$9:$I$1503,5,0)=0),0,VLOOKUP(D154,[1]STS!$E$9:$I$1503,5,0))</f>
        <v>FC</v>
      </c>
      <c r="I154" s="56"/>
      <c r="J154" s="66" t="str">
        <f>VLOOKUP(D154,[1]STS!$E$9:$BC$1359,51,0)</f>
        <v>F18CK</v>
      </c>
      <c r="K154" s="57"/>
      <c r="L154" s="78" t="str">
        <f>+VLOOKUP(N154,'[1]MSTR AKT'!$C$4:$E$460,3,0)</f>
        <v>Etri 1</v>
      </c>
      <c r="M154" s="79">
        <f>+IF(ISERROR(VLOOKUP($N154,'[1]MSTR AKT'!$C$4:$D$460,2,0)=0),0,VLOOKUP($N154,'[1]MSTR AKT'!$C$4:$D$460,2,0))</f>
        <v>1113211115</v>
      </c>
      <c r="N154" s="70" t="s">
        <v>45</v>
      </c>
      <c r="O154" s="58"/>
      <c r="P154" s="59">
        <v>45999</v>
      </c>
      <c r="Q154" s="100">
        <v>1.06</v>
      </c>
      <c r="R154" s="101">
        <v>3</v>
      </c>
      <c r="S154" s="102">
        <f t="shared" si="7"/>
        <v>300765</v>
      </c>
    </row>
    <row r="155" spans="1:19" x14ac:dyDescent="0.35">
      <c r="A155" s="55" t="s">
        <v>33</v>
      </c>
      <c r="B155" s="55" t="str">
        <f>+VLOOKUP($D155,[1]STS!$A$9:$E$1405,3,0)</f>
        <v>05</v>
      </c>
      <c r="C155" s="86">
        <f>+VLOOKUP($D155,[1]STS!$A$9:$E$1405,4,0)</f>
        <v>17</v>
      </c>
      <c r="D155" s="71" t="s">
        <v>206</v>
      </c>
      <c r="E155" s="97">
        <f>+IF(ISERROR(VLOOKUP($D155,[1]STS!$E$9:$G$1503,3,0)=0),0,VLOOKUP($D155,[1]STS!$E$9:$G$1503,3,0))</f>
        <v>7.67</v>
      </c>
      <c r="F155" s="98">
        <v>1.494</v>
      </c>
      <c r="G155" s="99">
        <f>+IF(ISERROR(VLOOKUP(D155,[1]STS!$E$9:$AO$1503,37,0)=0),0,VLOOKUP(D155,[1]STS!$E$9:$AO$1503,37,0))</f>
        <v>3.2118517746913615</v>
      </c>
      <c r="H155" s="77" t="str">
        <f>+IF(ISERROR(VLOOKUP(D155,[1]STS!$E$9:$I$1503,5,0)=0),0,VLOOKUP(D155,[1]STS!$E$9:$I$1503,5,0))</f>
        <v>FC</v>
      </c>
      <c r="I155" s="56"/>
      <c r="J155" s="66" t="str">
        <f>VLOOKUP(D155,[1]STS!$E$9:$BC$1359,51,0)</f>
        <v>F18CK</v>
      </c>
      <c r="K155" s="57"/>
      <c r="L155" s="78" t="str">
        <f>+VLOOKUP(N155,'[1]MSTR AKT'!$C$4:$E$460,3,0)</f>
        <v>Etri 1</v>
      </c>
      <c r="M155" s="79">
        <f>+IF(ISERROR(VLOOKUP($N155,'[1]MSTR AKT'!$C$4:$D$460,2,0)=0),0,VLOOKUP($N155,'[1]MSTR AKT'!$C$4:$D$460,2,0))</f>
        <v>1113211115</v>
      </c>
      <c r="N155" s="70" t="s">
        <v>45</v>
      </c>
      <c r="O155" s="58"/>
      <c r="P155" s="59">
        <v>45999</v>
      </c>
      <c r="Q155" s="100">
        <v>2.4899999999999998</v>
      </c>
      <c r="R155" s="101">
        <v>3</v>
      </c>
      <c r="S155" s="102">
        <f t="shared" si="7"/>
        <v>300765</v>
      </c>
    </row>
    <row r="156" spans="1:19" x14ac:dyDescent="0.35">
      <c r="A156" s="55" t="s">
        <v>33</v>
      </c>
      <c r="B156" s="55" t="str">
        <f>+VLOOKUP($D156,[1]STS!$A$9:$E$1405,3,0)</f>
        <v>05</v>
      </c>
      <c r="C156" s="86">
        <f>+VLOOKUP($D156,[1]STS!$A$9:$E$1405,4,0)</f>
        <v>17</v>
      </c>
      <c r="D156" s="71" t="s">
        <v>207</v>
      </c>
      <c r="E156" s="97">
        <f>+IF(ISERROR(VLOOKUP($D156,[1]STS!$E$9:$G$1503,3,0)=0),0,VLOOKUP($D156,[1]STS!$E$9:$G$1503,3,0))</f>
        <v>8.74</v>
      </c>
      <c r="F156" s="98">
        <v>1.752</v>
      </c>
      <c r="G156" s="99">
        <f>+IF(ISERROR(VLOOKUP(D156,[1]STS!$E$9:$AO$1503,37,0)=0),0,VLOOKUP(D156,[1]STS!$E$9:$AO$1503,37,0))</f>
        <v>3.2118517746913615</v>
      </c>
      <c r="H156" s="77" t="str">
        <f>+IF(ISERROR(VLOOKUP(D156,[1]STS!$E$9:$I$1503,5,0)=0),0,VLOOKUP(D156,[1]STS!$E$9:$I$1503,5,0))</f>
        <v>FC</v>
      </c>
      <c r="I156" s="56"/>
      <c r="J156" s="66" t="str">
        <f>VLOOKUP(D156,[1]STS!$E$9:$BC$1359,51,0)</f>
        <v>F18CK</v>
      </c>
      <c r="K156" s="57"/>
      <c r="L156" s="78" t="str">
        <f>+VLOOKUP(N156,'[1]MSTR AKT'!$C$4:$E$460,3,0)</f>
        <v>Etri 1</v>
      </c>
      <c r="M156" s="79">
        <f>+IF(ISERROR(VLOOKUP($N156,'[1]MSTR AKT'!$C$4:$D$460,2,0)=0),0,VLOOKUP($N156,'[1]MSTR AKT'!$C$4:$D$460,2,0))</f>
        <v>1113211115</v>
      </c>
      <c r="N156" s="70" t="s">
        <v>45</v>
      </c>
      <c r="O156" s="58"/>
      <c r="P156" s="59">
        <v>46003</v>
      </c>
      <c r="Q156" s="100">
        <v>2.92</v>
      </c>
      <c r="R156" s="101">
        <v>3</v>
      </c>
      <c r="S156" s="102">
        <f t="shared" si="7"/>
        <v>300765</v>
      </c>
    </row>
    <row r="157" spans="1:19" x14ac:dyDescent="0.35">
      <c r="A157" s="55" t="s">
        <v>33</v>
      </c>
      <c r="B157" s="55" t="str">
        <f>+VLOOKUP($D157,[1]STS!$A$9:$E$1405,3,0)</f>
        <v>05</v>
      </c>
      <c r="C157" s="86">
        <f>+VLOOKUP($D157,[1]STS!$A$9:$E$1405,4,0)</f>
        <v>17</v>
      </c>
      <c r="D157" s="71" t="s">
        <v>72</v>
      </c>
      <c r="E157" s="97">
        <f>+IF(ISERROR(VLOOKUP($D157,[1]STS!$E$9:$G$1503,3,0)=0),0,VLOOKUP($D157,[1]STS!$E$9:$G$1503,3,0))</f>
        <v>6.86</v>
      </c>
      <c r="F157" s="98">
        <v>1.3720000000000001</v>
      </c>
      <c r="G157" s="99">
        <f>+IF(ISERROR(VLOOKUP(D157,[1]STS!$E$9:$AO$1503,37,0)=0),0,VLOOKUP(D157,[1]STS!$E$9:$AO$1503,37,0))</f>
        <v>16.611851774691363</v>
      </c>
      <c r="H157" s="77" t="str">
        <f>+IF(ISERROR(VLOOKUP(D157,[1]STS!$E$9:$I$1503,5,0)=0),0,VLOOKUP(D157,[1]STS!$E$9:$I$1503,5,0))</f>
        <v>FC</v>
      </c>
      <c r="I157" s="56"/>
      <c r="J157" s="66" t="str">
        <f>VLOOKUP(D157,[1]STS!$E$9:$BC$1359,51,0)</f>
        <v>F18CK</v>
      </c>
      <c r="K157" s="57"/>
      <c r="L157" s="78">
        <f>+VLOOKUP(N157,'[1]MSTR AKT'!$C$4:$E$460,3,0)</f>
        <v>0</v>
      </c>
      <c r="M157" s="79">
        <f>+IF(ISERROR(VLOOKUP($N157,'[1]MSTR AKT'!$C$4:$D$460,2,0)=0),0,VLOOKUP($N157,'[1]MSTR AKT'!$C$4:$D$460,2,0))</f>
        <v>1319111110</v>
      </c>
      <c r="N157" s="70" t="s">
        <v>361</v>
      </c>
      <c r="O157" s="58"/>
      <c r="P157" s="59">
        <v>45998</v>
      </c>
      <c r="Q157" s="100">
        <v>2.2866666666666666</v>
      </c>
      <c r="R157" s="101">
        <v>3</v>
      </c>
      <c r="S157" s="102">
        <f t="shared" si="7"/>
        <v>300765</v>
      </c>
    </row>
    <row r="158" spans="1:19" x14ac:dyDescent="0.35">
      <c r="A158" s="55" t="s">
        <v>33</v>
      </c>
      <c r="B158" s="55" t="str">
        <f>+VLOOKUP($D158,[1]STS!$A$9:$E$1405,3,0)</f>
        <v>05</v>
      </c>
      <c r="C158" s="86">
        <f>+VLOOKUP($D158,[1]STS!$A$9:$E$1405,4,0)</f>
        <v>18</v>
      </c>
      <c r="D158" s="62" t="s">
        <v>210</v>
      </c>
      <c r="E158" s="97">
        <f>+IF(ISERROR(VLOOKUP($D158,[1]STS!$E$9:$G$1503,3,0)=0),0,VLOOKUP($D158,[1]STS!$E$9:$G$1503,3,0))</f>
        <v>12.38</v>
      </c>
      <c r="F158" s="103">
        <v>5000</v>
      </c>
      <c r="G158" s="99">
        <f>+IF(ISERROR(VLOOKUP(D158,[1]STS!$E$9:$AO$1503,37,0)=0),0,VLOOKUP(D158,[1]STS!$E$9:$AO$1503,37,0))</f>
        <v>3.2785184413580284</v>
      </c>
      <c r="H158" s="80" t="str">
        <f>+IF(ISERROR(VLOOKUP(D158,[1]STS!$E$9:$I$1603,5,0)=0),0,VLOOKUP(D158,[1]STS!$E$9:$I$1603,5,0))</f>
        <v>FC</v>
      </c>
      <c r="I158" s="60"/>
      <c r="J158" s="66" t="str">
        <f>VLOOKUP(D158,[1]STS!$E$9:$BC$1359,51,0)</f>
        <v>GP3CK</v>
      </c>
      <c r="K158" s="61"/>
      <c r="L158" s="78" t="str">
        <f>+VLOOKUP(N158,'[1]MSTR AKT'!$C$4:$E$460,3,0)</f>
        <v>Widi</v>
      </c>
      <c r="M158" s="81">
        <f>+IF(ISERROR(VLOOKUP($N158,'[1]MSTR AKT'!$C$4:$D$460,2,0)=0),0,VLOOKUP($N158,'[1]MSTR AKT'!$C$4:$D$460,2,0))</f>
        <v>1317111113</v>
      </c>
      <c r="N158" s="63" t="s">
        <v>34</v>
      </c>
      <c r="O158" s="58"/>
      <c r="P158" s="59">
        <v>45998</v>
      </c>
      <c r="Q158" s="100">
        <v>200</v>
      </c>
      <c r="R158" s="101">
        <v>25</v>
      </c>
      <c r="S158" s="102">
        <f t="shared" si="7"/>
        <v>2506375</v>
      </c>
    </row>
    <row r="159" spans="1:19" x14ac:dyDescent="0.35">
      <c r="A159" s="55" t="s">
        <v>33</v>
      </c>
      <c r="B159" s="55" t="str">
        <f>+VLOOKUP($D159,[1]STS!$A$9:$E$1405,3,0)</f>
        <v>05</v>
      </c>
      <c r="C159" s="86">
        <f>+VLOOKUP($D159,[1]STS!$A$9:$E$1405,4,0)</f>
        <v>18</v>
      </c>
      <c r="D159" s="62" t="s">
        <v>67</v>
      </c>
      <c r="E159" s="97">
        <f>+IF(ISERROR(VLOOKUP($D159,[1]STS!$E$9:$G$1503,3,0)=0),0,VLOOKUP($D159,[1]STS!$E$9:$G$1503,3,0))</f>
        <v>13.07</v>
      </c>
      <c r="F159" s="103">
        <v>5000</v>
      </c>
      <c r="G159" s="99">
        <f>+IF(ISERROR(VLOOKUP(D159,[1]STS!$E$9:$AO$1503,37,0)=0),0,VLOOKUP(D159,[1]STS!$E$9:$AO$1503,37,0))</f>
        <v>1.5785184413580282</v>
      </c>
      <c r="H159" s="80" t="str">
        <f>+IF(ISERROR(VLOOKUP(D159,[1]STS!$E$9:$I$1603,5,0)=0),0,VLOOKUP(D159,[1]STS!$E$9:$I$1603,5,0))</f>
        <v>FC</v>
      </c>
      <c r="I159" s="60"/>
      <c r="J159" s="66" t="str">
        <f>VLOOKUP(D159,[1]STS!$E$9:$BC$1359,51,0)</f>
        <v>GP3CK</v>
      </c>
      <c r="K159" s="61"/>
      <c r="L159" s="78" t="str">
        <f>+VLOOKUP(N159,'[1]MSTR AKT'!$C$4:$E$460,3,0)</f>
        <v>Widi</v>
      </c>
      <c r="M159" s="81">
        <f>+IF(ISERROR(VLOOKUP($N159,'[1]MSTR AKT'!$C$4:$D$460,2,0)=0),0,VLOOKUP($N159,'[1]MSTR AKT'!$C$4:$D$460,2,0))</f>
        <v>1317111113</v>
      </c>
      <c r="N159" s="63" t="s">
        <v>34</v>
      </c>
      <c r="O159" s="58"/>
      <c r="P159" s="59">
        <v>45998</v>
      </c>
      <c r="Q159" s="100">
        <v>200</v>
      </c>
      <c r="R159" s="101">
        <v>25</v>
      </c>
      <c r="S159" s="102">
        <f t="shared" ref="S159:S211" si="8">+R159*100255</f>
        <v>2506375</v>
      </c>
    </row>
    <row r="160" spans="1:19" x14ac:dyDescent="0.35">
      <c r="A160" s="55" t="s">
        <v>33</v>
      </c>
      <c r="B160" s="55" t="str">
        <f>+VLOOKUP($D160,[1]STS!$A$9:$E$1405,3,0)</f>
        <v>05</v>
      </c>
      <c r="C160" s="86">
        <f>+VLOOKUP($D160,[1]STS!$A$9:$E$1405,4,0)</f>
        <v>18</v>
      </c>
      <c r="D160" s="62" t="s">
        <v>121</v>
      </c>
      <c r="E160" s="97">
        <f>+IF(ISERROR(VLOOKUP($D160,[1]STS!$E$9:$G$1503,3,0)=0),0,VLOOKUP($D160,[1]STS!$E$9:$G$1503,3,0))</f>
        <v>7.68</v>
      </c>
      <c r="F160" s="103">
        <v>5000</v>
      </c>
      <c r="G160" s="99">
        <f>+IF(ISERROR(VLOOKUP(D160,[1]STS!$E$9:$AO$1503,37,0)=0),0,VLOOKUP(D160,[1]STS!$E$9:$AO$1503,37,0))</f>
        <v>0.11185177469136155</v>
      </c>
      <c r="H160" s="80" t="str">
        <f>+IF(ISERROR(VLOOKUP(D160,[1]STS!$E$9:$I$1603,5,0)=0),0,VLOOKUP(D160,[1]STS!$E$9:$I$1603,5,0))</f>
        <v>FC</v>
      </c>
      <c r="I160" s="60"/>
      <c r="J160" s="66" t="str">
        <f>VLOOKUP(D160,[1]STS!$E$9:$BC$1359,51,0)</f>
        <v>F18CK</v>
      </c>
      <c r="K160" s="61"/>
      <c r="L160" s="78" t="str">
        <f>+VLOOKUP(N160,'[1]MSTR AKT'!$C$4:$E$460,3,0)</f>
        <v>Widi</v>
      </c>
      <c r="M160" s="81">
        <f>+IF(ISERROR(VLOOKUP($N160,'[1]MSTR AKT'!$C$4:$D$460,2,0)=0),0,VLOOKUP($N160,'[1]MSTR AKT'!$C$4:$D$460,2,0))</f>
        <v>1317111113</v>
      </c>
      <c r="N160" s="63" t="s">
        <v>34</v>
      </c>
      <c r="O160" s="58"/>
      <c r="P160" s="59">
        <v>45999</v>
      </c>
      <c r="Q160" s="100">
        <v>200</v>
      </c>
      <c r="R160" s="101">
        <v>25</v>
      </c>
      <c r="S160" s="102">
        <f t="shared" si="8"/>
        <v>2506375</v>
      </c>
    </row>
    <row r="161" spans="1:19" x14ac:dyDescent="0.35">
      <c r="A161" s="55" t="s">
        <v>33</v>
      </c>
      <c r="B161" s="55" t="str">
        <f>+VLOOKUP($D161,[1]STS!$A$9:$E$1405,3,0)</f>
        <v>05</v>
      </c>
      <c r="C161" s="86">
        <f>+VLOOKUP($D161,[1]STS!$A$9:$E$1405,4,0)</f>
        <v>18</v>
      </c>
      <c r="D161" s="62" t="s">
        <v>115</v>
      </c>
      <c r="E161" s="97">
        <f>+IF(ISERROR(VLOOKUP($D161,[1]STS!$E$9:$G$1503,3,0)=0),0,VLOOKUP($D161,[1]STS!$E$9:$G$1503,3,0))</f>
        <v>9.61</v>
      </c>
      <c r="F161" s="103">
        <v>5000</v>
      </c>
      <c r="G161" s="99">
        <f>+IF(ISERROR(VLOOKUP(D161,[1]STS!$E$9:$AO$1503,37,0)=0),0,VLOOKUP(D161,[1]STS!$E$9:$AO$1503,37,0))</f>
        <v>1.6118517746913616</v>
      </c>
      <c r="H161" s="80" t="str">
        <f>+IF(ISERROR(VLOOKUP(D161,[1]STS!$E$9:$I$1603,5,0)=0),0,VLOOKUP(D161,[1]STS!$E$9:$I$1603,5,0))</f>
        <v>ST</v>
      </c>
      <c r="I161" s="60"/>
      <c r="J161" s="66" t="str">
        <f>VLOOKUP(D161,[1]STS!$E$9:$BC$1359,51,0)</f>
        <v>F18</v>
      </c>
      <c r="K161" s="61"/>
      <c r="L161" s="78" t="str">
        <f>+VLOOKUP(N161,'[1]MSTR AKT'!$C$4:$E$460,3,0)</f>
        <v>Widi</v>
      </c>
      <c r="M161" s="81">
        <f>+IF(ISERROR(VLOOKUP($N161,'[1]MSTR AKT'!$C$4:$D$460,2,0)=0),0,VLOOKUP($N161,'[1]MSTR AKT'!$C$4:$D$460,2,0))</f>
        <v>1317111113</v>
      </c>
      <c r="N161" s="63" t="s">
        <v>34</v>
      </c>
      <c r="O161" s="58"/>
      <c r="P161" s="59">
        <v>46000</v>
      </c>
      <c r="Q161" s="100">
        <v>200</v>
      </c>
      <c r="R161" s="101">
        <v>25</v>
      </c>
      <c r="S161" s="102">
        <f t="shared" si="8"/>
        <v>2506375</v>
      </c>
    </row>
    <row r="162" spans="1:19" x14ac:dyDescent="0.35">
      <c r="A162" s="55" t="s">
        <v>33</v>
      </c>
      <c r="B162" s="55" t="str">
        <f>+VLOOKUP($D162,[1]STS!$A$9:$E$1405,3,0)</f>
        <v>05</v>
      </c>
      <c r="C162" s="86">
        <f>+VLOOKUP($D162,[1]STS!$A$9:$E$1405,4,0)</f>
        <v>18</v>
      </c>
      <c r="D162" s="62" t="s">
        <v>265</v>
      </c>
      <c r="E162" s="97">
        <f>+IF(ISERROR(VLOOKUP($D162,[1]STS!$E$9:$G$1503,3,0)=0),0,VLOOKUP($D162,[1]STS!$E$9:$G$1503,3,0))</f>
        <v>6.21</v>
      </c>
      <c r="F162" s="103">
        <v>5000</v>
      </c>
      <c r="G162" s="99">
        <f>+IF(ISERROR(VLOOKUP(D162,[1]STS!$E$9:$AO$1503,37,0)=0),0,VLOOKUP(D162,[1]STS!$E$9:$AO$1503,37,0))</f>
        <v>1.8118517746913616</v>
      </c>
      <c r="H162" s="80" t="str">
        <f>+IF(ISERROR(VLOOKUP(D162,[1]STS!$E$9:$I$1603,5,0)=0),0,VLOOKUP(D162,[1]STS!$E$9:$I$1603,5,0))</f>
        <v>FC</v>
      </c>
      <c r="I162" s="60"/>
      <c r="J162" s="66" t="str">
        <f>VLOOKUP(D162,[1]STS!$E$9:$BC$1359,51,0)</f>
        <v>F18SS</v>
      </c>
      <c r="K162" s="61"/>
      <c r="L162" s="78" t="str">
        <f>+VLOOKUP(N162,'[1]MSTR AKT'!$C$4:$E$460,3,0)</f>
        <v>Widi</v>
      </c>
      <c r="M162" s="81">
        <f>+IF(ISERROR(VLOOKUP($N162,'[1]MSTR AKT'!$C$4:$D$460,2,0)=0),0,VLOOKUP($N162,'[1]MSTR AKT'!$C$4:$D$460,2,0))</f>
        <v>1317111113</v>
      </c>
      <c r="N162" s="63" t="s">
        <v>34</v>
      </c>
      <c r="O162" s="58"/>
      <c r="P162" s="59">
        <v>46001</v>
      </c>
      <c r="Q162" s="100">
        <v>200</v>
      </c>
      <c r="R162" s="101">
        <v>25</v>
      </c>
      <c r="S162" s="102">
        <f t="shared" si="8"/>
        <v>2506375</v>
      </c>
    </row>
    <row r="163" spans="1:19" x14ac:dyDescent="0.35">
      <c r="A163" s="55" t="s">
        <v>33</v>
      </c>
      <c r="B163" s="55" t="str">
        <f>+VLOOKUP($D163,[1]STS!$A$9:$E$1405,3,0)</f>
        <v>05</v>
      </c>
      <c r="C163" s="86">
        <f>+VLOOKUP($D163,[1]STS!$A$9:$E$1405,4,0)</f>
        <v>18</v>
      </c>
      <c r="D163" s="62" t="s">
        <v>212</v>
      </c>
      <c r="E163" s="97">
        <f>+IF(ISERROR(VLOOKUP($D163,[1]STS!$E$9:$G$1503,3,0)=0),0,VLOOKUP($D163,[1]STS!$E$9:$G$1503,3,0))</f>
        <v>10.68</v>
      </c>
      <c r="F163" s="103">
        <v>5000</v>
      </c>
      <c r="G163" s="99">
        <f>+IF(ISERROR(VLOOKUP(D163,[1]STS!$E$9:$AO$1503,37,0)=0),0,VLOOKUP(D163,[1]STS!$E$9:$AO$1503,37,0))</f>
        <v>3.378518441358028</v>
      </c>
      <c r="H163" s="80" t="str">
        <f>+IF(ISERROR(VLOOKUP(D163,[1]STS!$E$9:$I$1603,5,0)=0),0,VLOOKUP(D163,[1]STS!$E$9:$I$1603,5,0))</f>
        <v>FC</v>
      </c>
      <c r="I163" s="60"/>
      <c r="J163" s="66" t="str">
        <f>VLOOKUP(D163,[1]STS!$E$9:$BC$1359,51,0)</f>
        <v>GP3SS</v>
      </c>
      <c r="K163" s="61"/>
      <c r="L163" s="78" t="str">
        <f>+VLOOKUP(N163,'[1]MSTR AKT'!$C$4:$E$460,3,0)</f>
        <v>Widi</v>
      </c>
      <c r="M163" s="81">
        <f>+IF(ISERROR(VLOOKUP($N163,'[1]MSTR AKT'!$C$4:$D$460,2,0)=0),0,VLOOKUP($N163,'[1]MSTR AKT'!$C$4:$D$460,2,0))</f>
        <v>1317111113</v>
      </c>
      <c r="N163" s="63" t="s">
        <v>34</v>
      </c>
      <c r="O163" s="58"/>
      <c r="P163" s="59">
        <v>46002</v>
      </c>
      <c r="Q163" s="100">
        <v>200</v>
      </c>
      <c r="R163" s="101">
        <v>25</v>
      </c>
      <c r="S163" s="102">
        <f t="shared" si="8"/>
        <v>2506375</v>
      </c>
    </row>
    <row r="164" spans="1:19" x14ac:dyDescent="0.35">
      <c r="A164" s="55" t="s">
        <v>33</v>
      </c>
      <c r="B164" s="55" t="str">
        <f>+VLOOKUP($D164,[1]STS!$A$9:$E$1405,3,0)</f>
        <v>05</v>
      </c>
      <c r="C164" s="86">
        <f>+VLOOKUP($D164,[1]STS!$A$9:$E$1405,4,0)</f>
        <v>18</v>
      </c>
      <c r="D164" s="62" t="s">
        <v>211</v>
      </c>
      <c r="E164" s="97">
        <f>+IF(ISERROR(VLOOKUP($D164,[1]STS!$E$9:$G$1503,3,0)=0),0,VLOOKUP($D164,[1]STS!$E$9:$G$1503,3,0))</f>
        <v>8.7899999999999991</v>
      </c>
      <c r="F164" s="103">
        <v>5000</v>
      </c>
      <c r="G164" s="99">
        <f>+IF(ISERROR(VLOOKUP(D164,[1]STS!$E$9:$AO$1503,37,0)=0),0,VLOOKUP(D164,[1]STS!$E$9:$AO$1503,37,0))</f>
        <v>3.4785184413580281</v>
      </c>
      <c r="H164" s="80" t="str">
        <f>+IF(ISERROR(VLOOKUP(D164,[1]STS!$E$9:$I$1603,5,0)=0),0,VLOOKUP(D164,[1]STS!$E$9:$I$1603,5,0))</f>
        <v>FC</v>
      </c>
      <c r="I164" s="60"/>
      <c r="J164" s="66" t="str">
        <f>VLOOKUP(D164,[1]STS!$E$9:$BC$1359,51,0)</f>
        <v>F18CK</v>
      </c>
      <c r="K164" s="61"/>
      <c r="L164" s="78" t="str">
        <f>+VLOOKUP(N164,'[1]MSTR AKT'!$C$4:$E$460,3,0)</f>
        <v>Widi</v>
      </c>
      <c r="M164" s="81">
        <f>+IF(ISERROR(VLOOKUP($N164,'[1]MSTR AKT'!$C$4:$D$460,2,0)=0),0,VLOOKUP($N164,'[1]MSTR AKT'!$C$4:$D$460,2,0))</f>
        <v>1317111113</v>
      </c>
      <c r="N164" s="63" t="s">
        <v>34</v>
      </c>
      <c r="O164" s="58"/>
      <c r="P164" s="59">
        <v>46003</v>
      </c>
      <c r="Q164" s="100">
        <v>200</v>
      </c>
      <c r="R164" s="101">
        <v>25</v>
      </c>
      <c r="S164" s="102">
        <f t="shared" si="8"/>
        <v>2506375</v>
      </c>
    </row>
    <row r="165" spans="1:19" x14ac:dyDescent="0.35">
      <c r="A165" s="55" t="s">
        <v>33</v>
      </c>
      <c r="B165" s="55" t="str">
        <f>+VLOOKUP($D165,[1]STS!$A$9:$E$1405,3,0)</f>
        <v>05</v>
      </c>
      <c r="C165" s="86">
        <f>+VLOOKUP($D165,[1]STS!$A$9:$E$1405,4,0)</f>
        <v>18</v>
      </c>
      <c r="D165" s="62" t="s">
        <v>98</v>
      </c>
      <c r="E165" s="97">
        <f>+IF(ISERROR(VLOOKUP($D165,[1]STS!$E$9:$G$1503,3,0)=0),0,VLOOKUP($D165,[1]STS!$E$9:$G$1503,3,0))</f>
        <v>10.210000000000001</v>
      </c>
      <c r="F165" s="98">
        <v>5000</v>
      </c>
      <c r="G165" s="99">
        <f>+IF(ISERROR(VLOOKUP(D165,[1]STS!$E$9:$AO$1503,37,0)=0),0,VLOOKUP(D165,[1]STS!$E$9:$AO$1503,37,0))</f>
        <v>6.1451851080246946</v>
      </c>
      <c r="H165" s="80" t="str">
        <f>+IF(ISERROR(VLOOKUP(D165,[1]STS!$E$9:$I$1603,5,0)=0),0,VLOOKUP(D165,[1]STS!$E$9:$I$1603,5,0))</f>
        <v>FC</v>
      </c>
      <c r="I165" s="60"/>
      <c r="J165" s="66" t="str">
        <f>VLOOKUP(D165,[1]STS!$E$9:$BC$1359,51,0)</f>
        <v>F18CK</v>
      </c>
      <c r="K165" s="61"/>
      <c r="L165" s="78" t="str">
        <f>+VLOOKUP(N165,'[1]MSTR AKT'!$C$4:$E$460,3,0)</f>
        <v>Widi</v>
      </c>
      <c r="M165" s="81">
        <f>+IF(ISERROR(VLOOKUP($N165,'[1]MSTR AKT'!$C$4:$D$460,2,0)=0),0,VLOOKUP($N165,'[1]MSTR AKT'!$C$4:$D$460,2,0))</f>
        <v>1317111113</v>
      </c>
      <c r="N165" s="63" t="s">
        <v>34</v>
      </c>
      <c r="O165" s="58"/>
      <c r="P165" s="59">
        <v>45998</v>
      </c>
      <c r="Q165" s="100">
        <v>200</v>
      </c>
      <c r="R165" s="101">
        <v>25</v>
      </c>
      <c r="S165" s="102">
        <f t="shared" si="8"/>
        <v>2506375</v>
      </c>
    </row>
    <row r="166" spans="1:19" x14ac:dyDescent="0.35">
      <c r="A166" s="55" t="s">
        <v>33</v>
      </c>
      <c r="B166" s="55" t="str">
        <f>+VLOOKUP($D166,[1]STS!$A$9:$E$1405,3,0)</f>
        <v>05</v>
      </c>
      <c r="C166" s="86">
        <f>+VLOOKUP($D166,[1]STS!$A$9:$E$1405,4,0)</f>
        <v>18</v>
      </c>
      <c r="D166" s="62" t="s">
        <v>97</v>
      </c>
      <c r="E166" s="97">
        <f>+IF(ISERROR(VLOOKUP($D166,[1]STS!$E$9:$G$1503,3,0)=0),0,VLOOKUP($D166,[1]STS!$E$9:$G$1503,3,0))</f>
        <v>12.92</v>
      </c>
      <c r="F166" s="103">
        <v>5000</v>
      </c>
      <c r="G166" s="99">
        <f>+IF(ISERROR(VLOOKUP(D166,[1]STS!$E$9:$AO$1503,37,0)=0),0,VLOOKUP(D166,[1]STS!$E$9:$AO$1503,37,0))</f>
        <v>6.0785184413580282</v>
      </c>
      <c r="H166" s="80" t="str">
        <f>+IF(ISERROR(VLOOKUP(D166,[1]STS!$E$9:$I$1603,5,0)=0),0,VLOOKUP(D166,[1]STS!$E$9:$I$1603,5,0))</f>
        <v>FC</v>
      </c>
      <c r="I166" s="60"/>
      <c r="J166" s="66" t="str">
        <f>VLOOKUP(D166,[1]STS!$E$9:$BC$1359,51,0)</f>
        <v>F18CK</v>
      </c>
      <c r="K166" s="61"/>
      <c r="L166" s="78" t="str">
        <f>+VLOOKUP(N166,'[1]MSTR AKT'!$C$4:$E$460,3,0)</f>
        <v>Widi</v>
      </c>
      <c r="M166" s="81">
        <f>+IF(ISERROR(VLOOKUP($N166,'[1]MSTR AKT'!$C$4:$D$460,2,0)=0),0,VLOOKUP($N166,'[1]MSTR AKT'!$C$4:$D$460,2,0))</f>
        <v>1317111113</v>
      </c>
      <c r="N166" s="63" t="s">
        <v>34</v>
      </c>
      <c r="O166" s="58"/>
      <c r="P166" s="59">
        <v>46002</v>
      </c>
      <c r="Q166" s="100">
        <v>200</v>
      </c>
      <c r="R166" s="101">
        <v>25</v>
      </c>
      <c r="S166" s="102">
        <f t="shared" si="8"/>
        <v>2506375</v>
      </c>
    </row>
    <row r="167" spans="1:19" x14ac:dyDescent="0.35">
      <c r="A167" s="55" t="s">
        <v>33</v>
      </c>
      <c r="B167" s="55" t="str">
        <f>+VLOOKUP($D167,[1]STS!$A$9:$E$1405,3,0)</f>
        <v>05</v>
      </c>
      <c r="C167" s="86">
        <f>+VLOOKUP($D167,[1]STS!$A$9:$E$1405,4,0)</f>
        <v>18</v>
      </c>
      <c r="D167" s="62" t="s">
        <v>185</v>
      </c>
      <c r="E167" s="97">
        <f>+IF(ISERROR(VLOOKUP($D167,[1]STS!$E$9:$G$1503,3,0)=0),0,VLOOKUP($D167,[1]STS!$E$9:$G$1503,3,0))</f>
        <v>9.94</v>
      </c>
      <c r="F167" s="103">
        <v>5000</v>
      </c>
      <c r="G167" s="99">
        <f>+IF(ISERROR(VLOOKUP(D167,[1]STS!$E$9:$AO$1503,37,0)=0),0,VLOOKUP(D167,[1]STS!$E$9:$AO$1503,37,0))</f>
        <v>5.045185108024695</v>
      </c>
      <c r="H167" s="80" t="str">
        <f>+IF(ISERROR(VLOOKUP(D167,[1]STS!$E$9:$I$1603,5,0)=0),0,VLOOKUP(D167,[1]STS!$E$9:$I$1603,5,0))</f>
        <v>FC</v>
      </c>
      <c r="I167" s="60"/>
      <c r="J167" s="66" t="str">
        <f>VLOOKUP(D167,[1]STS!$E$9:$BC$1359,51,0)</f>
        <v>GP3CK</v>
      </c>
      <c r="K167" s="61"/>
      <c r="L167" s="78" t="str">
        <f>+VLOOKUP(N167,'[1]MSTR AKT'!$C$4:$E$460,3,0)</f>
        <v>Widi</v>
      </c>
      <c r="M167" s="81">
        <f>+IF(ISERROR(VLOOKUP($N167,'[1]MSTR AKT'!$C$4:$D$460,2,0)=0),0,VLOOKUP($N167,'[1]MSTR AKT'!$C$4:$D$460,2,0))</f>
        <v>1317111113</v>
      </c>
      <c r="N167" s="63" t="s">
        <v>34</v>
      </c>
      <c r="O167" s="58"/>
      <c r="P167" s="59">
        <v>46003</v>
      </c>
      <c r="Q167" s="100">
        <v>200</v>
      </c>
      <c r="R167" s="101">
        <v>25</v>
      </c>
      <c r="S167" s="102">
        <f t="shared" si="8"/>
        <v>2506375</v>
      </c>
    </row>
    <row r="168" spans="1:19" x14ac:dyDescent="0.35">
      <c r="A168" s="55" t="s">
        <v>33</v>
      </c>
      <c r="B168" s="55" t="str">
        <f>+VLOOKUP($D168,[1]STS!$A$9:$E$1405,3,0)</f>
        <v>05</v>
      </c>
      <c r="C168" s="86">
        <f>+VLOOKUP($D168,[1]STS!$A$9:$E$1405,4,0)</f>
        <v>18</v>
      </c>
      <c r="D168" s="62" t="s">
        <v>94</v>
      </c>
      <c r="E168" s="97">
        <f>+IF(ISERROR(VLOOKUP($D168,[1]STS!$E$9:$G$1503,3,0)=0),0,VLOOKUP($D168,[1]STS!$E$9:$G$1503,3,0))</f>
        <v>12.79</v>
      </c>
      <c r="F168" s="98">
        <v>5000</v>
      </c>
      <c r="G168" s="99">
        <f>+IF(ISERROR(VLOOKUP(D168,[1]STS!$E$9:$AO$1503,37,0)=0),0,VLOOKUP(D168,[1]STS!$E$9:$AO$1503,37,0))</f>
        <v>7.1118517746913614</v>
      </c>
      <c r="H168" s="80" t="str">
        <f>+IF(ISERROR(VLOOKUP(D168,[1]STS!$E$9:$I$1603,5,0)=0),0,VLOOKUP(D168,[1]STS!$E$9:$I$1603,5,0))</f>
        <v>FC</v>
      </c>
      <c r="I168" s="60"/>
      <c r="J168" s="66" t="str">
        <f>VLOOKUP(D168,[1]STS!$E$9:$BC$1359,51,0)</f>
        <v>GP3CK</v>
      </c>
      <c r="K168" s="61"/>
      <c r="L168" s="78" t="str">
        <f>+VLOOKUP(N168,'[1]MSTR AKT'!$C$4:$E$460,3,0)</f>
        <v>Widi</v>
      </c>
      <c r="M168" s="81">
        <f>+IF(ISERROR(VLOOKUP($N168,'[1]MSTR AKT'!$C$4:$D$460,2,0)=0),0,VLOOKUP($N168,'[1]MSTR AKT'!$C$4:$D$460,2,0))</f>
        <v>1317111113</v>
      </c>
      <c r="N168" s="63" t="s">
        <v>34</v>
      </c>
      <c r="O168" s="58"/>
      <c r="P168" s="59">
        <v>45998</v>
      </c>
      <c r="Q168" s="100">
        <v>200</v>
      </c>
      <c r="R168" s="101">
        <v>25</v>
      </c>
      <c r="S168" s="102">
        <f t="shared" si="8"/>
        <v>2506375</v>
      </c>
    </row>
    <row r="169" spans="1:19" x14ac:dyDescent="0.35">
      <c r="A169" s="55" t="s">
        <v>33</v>
      </c>
      <c r="B169" s="55" t="str">
        <f>+VLOOKUP($D169,[1]STS!$A$9:$E$1405,3,0)</f>
        <v>05</v>
      </c>
      <c r="C169" s="86">
        <f>+VLOOKUP($D169,[1]STS!$A$9:$E$1405,4,0)</f>
        <v>18</v>
      </c>
      <c r="D169" s="62" t="s">
        <v>96</v>
      </c>
      <c r="E169" s="97">
        <f>+IF(ISERROR(VLOOKUP($D169,[1]STS!$E$9:$G$1503,3,0)=0),0,VLOOKUP($D169,[1]STS!$E$9:$G$1503,3,0))</f>
        <v>10.029999999999999</v>
      </c>
      <c r="F169" s="103">
        <v>5000</v>
      </c>
      <c r="G169" s="99">
        <f>+IF(ISERROR(VLOOKUP(D169,[1]STS!$E$9:$AO$1503,37,0)=0),0,VLOOKUP(D169,[1]STS!$E$9:$AO$1503,37,0))</f>
        <v>6.6118517746913614</v>
      </c>
      <c r="H169" s="80" t="str">
        <f>+IF(ISERROR(VLOOKUP(D169,[1]STS!$E$9:$I$1603,5,0)=0),0,VLOOKUP(D169,[1]STS!$E$9:$I$1603,5,0))</f>
        <v>FC</v>
      </c>
      <c r="I169" s="60"/>
      <c r="J169" s="66" t="str">
        <f>VLOOKUP(D169,[1]STS!$E$9:$BC$1359,51,0)</f>
        <v>GP3CK</v>
      </c>
      <c r="K169" s="61"/>
      <c r="L169" s="78" t="str">
        <f>+VLOOKUP(N169,'[1]MSTR AKT'!$C$4:$E$460,3,0)</f>
        <v>Widi</v>
      </c>
      <c r="M169" s="81">
        <f>+IF(ISERROR(VLOOKUP($N169,'[1]MSTR AKT'!$C$4:$D$460,2,0)=0),0,VLOOKUP($N169,'[1]MSTR AKT'!$C$4:$D$460,2,0))</f>
        <v>1317111113</v>
      </c>
      <c r="N169" s="63" t="s">
        <v>34</v>
      </c>
      <c r="O169" s="58"/>
      <c r="P169" s="59">
        <v>46002</v>
      </c>
      <c r="Q169" s="100">
        <v>200</v>
      </c>
      <c r="R169" s="101">
        <v>25</v>
      </c>
      <c r="S169" s="102">
        <f t="shared" si="8"/>
        <v>2506375</v>
      </c>
    </row>
    <row r="170" spans="1:19" x14ac:dyDescent="0.35">
      <c r="A170" s="55" t="s">
        <v>33</v>
      </c>
      <c r="B170" s="55" t="str">
        <f>+VLOOKUP($D170,[1]STS!$A$9:$E$1405,3,0)</f>
        <v>05</v>
      </c>
      <c r="C170" s="86">
        <f>+VLOOKUP($D170,[1]STS!$A$9:$E$1405,4,0)</f>
        <v>18</v>
      </c>
      <c r="D170" s="62" t="s">
        <v>253</v>
      </c>
      <c r="E170" s="97">
        <f>+IF(ISERROR(VLOOKUP($D170,[1]STS!$E$9:$G$1503,3,0)=0),0,VLOOKUP($D170,[1]STS!$E$9:$G$1503,3,0))</f>
        <v>6.55</v>
      </c>
      <c r="F170" s="103">
        <v>5000</v>
      </c>
      <c r="G170" s="99">
        <f>+IF(ISERROR(VLOOKUP(D170,[1]STS!$E$9:$AO$1503,37,0)=0),0,VLOOKUP(D170,[1]STS!$E$9:$AO$1503,37,0))</f>
        <v>1.0785184413580282</v>
      </c>
      <c r="H170" s="80" t="str">
        <f>+IF(ISERROR(VLOOKUP(D170,[1]STS!$E$9:$I$1603,5,0)=0),0,VLOOKUP(D170,[1]STS!$E$9:$I$1603,5,0))</f>
        <v>FC</v>
      </c>
      <c r="I170" s="60"/>
      <c r="J170" s="66" t="str">
        <f>VLOOKUP(D170,[1]STS!$E$9:$BC$1359,51,0)</f>
        <v>GP3CK</v>
      </c>
      <c r="K170" s="61"/>
      <c r="L170" s="78" t="str">
        <f>+VLOOKUP(N170,'[1]MSTR AKT'!$C$4:$E$460,3,0)</f>
        <v>Widi</v>
      </c>
      <c r="M170" s="81">
        <f>+IF(ISERROR(VLOOKUP($N170,'[1]MSTR AKT'!$C$4:$D$460,2,0)=0),0,VLOOKUP($N170,'[1]MSTR AKT'!$C$4:$D$460,2,0))</f>
        <v>1317111113</v>
      </c>
      <c r="N170" s="63" t="s">
        <v>34</v>
      </c>
      <c r="O170" s="58"/>
      <c r="P170" s="59">
        <v>46002</v>
      </c>
      <c r="Q170" s="100">
        <v>200</v>
      </c>
      <c r="R170" s="101">
        <v>25</v>
      </c>
      <c r="S170" s="102">
        <f t="shared" si="8"/>
        <v>2506375</v>
      </c>
    </row>
    <row r="171" spans="1:19" x14ac:dyDescent="0.35">
      <c r="A171" s="55" t="s">
        <v>33</v>
      </c>
      <c r="B171" s="55" t="str">
        <f>+VLOOKUP($D171,[1]STS!$A$9:$E$1405,3,0)</f>
        <v>05</v>
      </c>
      <c r="C171" s="86">
        <f>+VLOOKUP($D171,[1]STS!$A$9:$E$1405,4,0)</f>
        <v>18</v>
      </c>
      <c r="D171" s="62" t="s">
        <v>254</v>
      </c>
      <c r="E171" s="97">
        <f>+IF(ISERROR(VLOOKUP($D171,[1]STS!$E$9:$G$1503,3,0)=0),0,VLOOKUP($D171,[1]STS!$E$9:$G$1503,3,0))</f>
        <v>7.7</v>
      </c>
      <c r="F171" s="103">
        <v>5000</v>
      </c>
      <c r="G171" s="99">
        <f>+IF(ISERROR(VLOOKUP(D171,[1]STS!$E$9:$AO$1503,37,0)=0),0,VLOOKUP(D171,[1]STS!$E$9:$AO$1503,37,0))</f>
        <v>1.0785184413580282</v>
      </c>
      <c r="H171" s="80" t="str">
        <f>+IF(ISERROR(VLOOKUP(D171,[1]STS!$E$9:$I$1603,5,0)=0),0,VLOOKUP(D171,[1]STS!$E$9:$I$1603,5,0))</f>
        <v>FC</v>
      </c>
      <c r="I171" s="60"/>
      <c r="J171" s="66" t="str">
        <f>VLOOKUP(D171,[1]STS!$E$9:$BC$1359,51,0)</f>
        <v>GP3CK</v>
      </c>
      <c r="K171" s="61"/>
      <c r="L171" s="78" t="str">
        <f>+VLOOKUP(N171,'[1]MSTR AKT'!$C$4:$E$460,3,0)</f>
        <v>Widi</v>
      </c>
      <c r="M171" s="81">
        <f>+IF(ISERROR(VLOOKUP($N171,'[1]MSTR AKT'!$C$4:$D$460,2,0)=0),0,VLOOKUP($N171,'[1]MSTR AKT'!$C$4:$D$460,2,0))</f>
        <v>1317111113</v>
      </c>
      <c r="N171" s="63" t="s">
        <v>34</v>
      </c>
      <c r="O171" s="58"/>
      <c r="P171" s="59">
        <v>46003</v>
      </c>
      <c r="Q171" s="100">
        <v>200</v>
      </c>
      <c r="R171" s="101">
        <v>25</v>
      </c>
      <c r="S171" s="102">
        <f t="shared" si="8"/>
        <v>2506375</v>
      </c>
    </row>
    <row r="172" spans="1:19" x14ac:dyDescent="0.35">
      <c r="A172" s="55" t="s">
        <v>33</v>
      </c>
      <c r="B172" s="55" t="str">
        <f>+VLOOKUP($D172,[1]STS!$A$9:$E$1405,3,0)</f>
        <v>05</v>
      </c>
      <c r="C172" s="86">
        <f>+VLOOKUP($D172,[1]STS!$A$9:$E$1405,4,0)</f>
        <v>18</v>
      </c>
      <c r="D172" s="62" t="s">
        <v>255</v>
      </c>
      <c r="E172" s="97">
        <f>+IF(ISERROR(VLOOKUP($D172,[1]STS!$E$9:$G$1503,3,0)=0),0,VLOOKUP($D172,[1]STS!$E$9:$G$1503,3,0))</f>
        <v>3.82</v>
      </c>
      <c r="F172" s="98">
        <v>5000</v>
      </c>
      <c r="G172" s="99">
        <f>+IF(ISERROR(VLOOKUP(D172,[1]STS!$E$9:$AO$1503,37,0)=0),0,VLOOKUP(D172,[1]STS!$E$9:$AO$1503,37,0))</f>
        <v>1.0785184413580282</v>
      </c>
      <c r="H172" s="80" t="str">
        <f>+IF(ISERROR(VLOOKUP(D172,[1]STS!$E$9:$I$1603,5,0)=0),0,VLOOKUP(D172,[1]STS!$E$9:$I$1603,5,0))</f>
        <v>FC</v>
      </c>
      <c r="I172" s="60"/>
      <c r="J172" s="66" t="str">
        <f>VLOOKUP(D172,[1]STS!$E$9:$BC$1359,51,0)</f>
        <v>GP3CK</v>
      </c>
      <c r="K172" s="61"/>
      <c r="L172" s="78" t="str">
        <f>+VLOOKUP(N172,'[1]MSTR AKT'!$C$4:$E$460,3,0)</f>
        <v>Widi</v>
      </c>
      <c r="M172" s="81">
        <f>+IF(ISERROR(VLOOKUP($N172,'[1]MSTR AKT'!$C$4:$D$460,2,0)=0),0,VLOOKUP($N172,'[1]MSTR AKT'!$C$4:$D$460,2,0))</f>
        <v>1317111113</v>
      </c>
      <c r="N172" s="63" t="s">
        <v>34</v>
      </c>
      <c r="O172" s="58"/>
      <c r="P172" s="59">
        <v>45998</v>
      </c>
      <c r="Q172" s="100">
        <v>200</v>
      </c>
      <c r="R172" s="101">
        <v>25</v>
      </c>
      <c r="S172" s="102">
        <f t="shared" si="8"/>
        <v>2506375</v>
      </c>
    </row>
    <row r="173" spans="1:19" x14ac:dyDescent="0.35">
      <c r="A173" s="55" t="s">
        <v>33</v>
      </c>
      <c r="B173" s="55" t="str">
        <f>+VLOOKUP($D173,[1]STS!$A$9:$E$1405,3,0)</f>
        <v>05</v>
      </c>
      <c r="C173" s="86">
        <f>+VLOOKUP($D173,[1]STS!$A$9:$E$1405,4,0)</f>
        <v>18</v>
      </c>
      <c r="D173" s="62" t="s">
        <v>259</v>
      </c>
      <c r="E173" s="97">
        <f>+IF(ISERROR(VLOOKUP($D173,[1]STS!$E$9:$G$1503,3,0)=0),0,VLOOKUP($D173,[1]STS!$E$9:$G$1503,3,0))</f>
        <v>11.49</v>
      </c>
      <c r="F173" s="103">
        <v>5000</v>
      </c>
      <c r="G173" s="99">
        <f>+IF(ISERROR(VLOOKUP(D173,[1]STS!$E$9:$AO$1503,37,0)=0),0,VLOOKUP(D173,[1]STS!$E$9:$AO$1503,37,0))</f>
        <v>2.045185108024695</v>
      </c>
      <c r="H173" s="80" t="str">
        <f>+IF(ISERROR(VLOOKUP(D173,[1]STS!$E$9:$I$1603,5,0)=0),0,VLOOKUP(D173,[1]STS!$E$9:$I$1603,5,0))</f>
        <v>FC</v>
      </c>
      <c r="I173" s="60"/>
      <c r="J173" s="66" t="str">
        <f>VLOOKUP(D173,[1]STS!$E$9:$BC$1359,51,0)</f>
        <v>GP3CK</v>
      </c>
      <c r="K173" s="61"/>
      <c r="L173" s="78" t="str">
        <f>+VLOOKUP(N173,'[1]MSTR AKT'!$C$4:$E$460,3,0)</f>
        <v>Widi</v>
      </c>
      <c r="M173" s="81">
        <f>+IF(ISERROR(VLOOKUP($N173,'[1]MSTR AKT'!$C$4:$D$460,2,0)=0),0,VLOOKUP($N173,'[1]MSTR AKT'!$C$4:$D$460,2,0))</f>
        <v>1317111113</v>
      </c>
      <c r="N173" s="63" t="s">
        <v>34</v>
      </c>
      <c r="O173" s="58"/>
      <c r="P173" s="59">
        <v>46002</v>
      </c>
      <c r="Q173" s="100">
        <v>200</v>
      </c>
      <c r="R173" s="101">
        <v>25</v>
      </c>
      <c r="S173" s="102">
        <f t="shared" si="8"/>
        <v>2506375</v>
      </c>
    </row>
    <row r="174" spans="1:19" x14ac:dyDescent="0.35">
      <c r="A174" s="55" t="s">
        <v>33</v>
      </c>
      <c r="B174" s="55" t="str">
        <f>+VLOOKUP($D174,[1]STS!$A$9:$E$1405,3,0)</f>
        <v>05</v>
      </c>
      <c r="C174" s="86">
        <f>+VLOOKUP($D174,[1]STS!$A$9:$E$1405,4,0)</f>
        <v>18</v>
      </c>
      <c r="D174" s="62" t="s">
        <v>260</v>
      </c>
      <c r="E174" s="97">
        <f>+IF(ISERROR(VLOOKUP($D174,[1]STS!$E$9:$G$1503,3,0)=0),0,VLOOKUP($D174,[1]STS!$E$9:$G$1503,3,0))</f>
        <v>8.11</v>
      </c>
      <c r="F174" s="103">
        <v>5000</v>
      </c>
      <c r="G174" s="99">
        <f>+IF(ISERROR(VLOOKUP(D174,[1]STS!$E$9:$AO$1503,37,0)=0),0,VLOOKUP(D174,[1]STS!$E$9:$AO$1503,37,0))</f>
        <v>1.245185108024695</v>
      </c>
      <c r="H174" s="80" t="str">
        <f>+IF(ISERROR(VLOOKUP(D174,[1]STS!$E$9:$I$1603,5,0)=0),0,VLOOKUP(D174,[1]STS!$E$9:$I$1603,5,0))</f>
        <v>FC</v>
      </c>
      <c r="I174" s="60"/>
      <c r="J174" s="66" t="str">
        <f>VLOOKUP(D174,[1]STS!$E$9:$BC$1359,51,0)</f>
        <v>GP3CK</v>
      </c>
      <c r="K174" s="61"/>
      <c r="L174" s="78" t="str">
        <f>+VLOOKUP(N174,'[1]MSTR AKT'!$C$4:$E$460,3,0)</f>
        <v>Widi</v>
      </c>
      <c r="M174" s="81">
        <f>+IF(ISERROR(VLOOKUP($N174,'[1]MSTR AKT'!$C$4:$D$460,2,0)=0),0,VLOOKUP($N174,'[1]MSTR AKT'!$C$4:$D$460,2,0))</f>
        <v>1317111113</v>
      </c>
      <c r="N174" s="63" t="s">
        <v>34</v>
      </c>
      <c r="O174" s="58"/>
      <c r="P174" s="59">
        <v>46003</v>
      </c>
      <c r="Q174" s="100">
        <v>200</v>
      </c>
      <c r="R174" s="101">
        <v>25</v>
      </c>
      <c r="S174" s="102">
        <f t="shared" si="8"/>
        <v>2506375</v>
      </c>
    </row>
    <row r="175" spans="1:19" x14ac:dyDescent="0.35">
      <c r="A175" s="55" t="s">
        <v>33</v>
      </c>
      <c r="B175" s="55" t="str">
        <f>+VLOOKUP($D175,[1]STS!$A$9:$E$1405,3,0)</f>
        <v>05</v>
      </c>
      <c r="C175" s="86">
        <f>+VLOOKUP($D175,[1]STS!$A$9:$E$1405,4,0)</f>
        <v>18</v>
      </c>
      <c r="D175" s="62" t="s">
        <v>208</v>
      </c>
      <c r="E175" s="97">
        <f>+IF(ISERROR(VLOOKUP($D175,[1]STS!$E$9:$G$1503,3,0)=0),0,VLOOKUP($D175,[1]STS!$E$9:$G$1503,3,0))</f>
        <v>9.93</v>
      </c>
      <c r="F175" s="98">
        <v>5000</v>
      </c>
      <c r="G175" s="99">
        <f>+IF(ISERROR(VLOOKUP(D175,[1]STS!$E$9:$AO$1503,37,0)=0),0,VLOOKUP(D175,[1]STS!$E$9:$AO$1503,37,0))</f>
        <v>2.878518441358028</v>
      </c>
      <c r="H175" s="80" t="str">
        <f>+IF(ISERROR(VLOOKUP(D175,[1]STS!$E$9:$I$1603,5,0)=0),0,VLOOKUP(D175,[1]STS!$E$9:$I$1603,5,0))</f>
        <v>FC</v>
      </c>
      <c r="I175" s="60"/>
      <c r="J175" s="66" t="str">
        <f>VLOOKUP(D175,[1]STS!$E$9:$BC$1359,51,0)</f>
        <v>GP3SS</v>
      </c>
      <c r="K175" s="61"/>
      <c r="L175" s="78" t="str">
        <f>+VLOOKUP(N175,'[1]MSTR AKT'!$C$4:$E$460,3,0)</f>
        <v>Widi</v>
      </c>
      <c r="M175" s="81">
        <f>+IF(ISERROR(VLOOKUP($N175,'[1]MSTR AKT'!$C$4:$D$460,2,0)=0),0,VLOOKUP($N175,'[1]MSTR AKT'!$C$4:$D$460,2,0))</f>
        <v>1317111113</v>
      </c>
      <c r="N175" s="63" t="s">
        <v>34</v>
      </c>
      <c r="O175" s="58"/>
      <c r="P175" s="59">
        <v>45998</v>
      </c>
      <c r="Q175" s="100">
        <v>200</v>
      </c>
      <c r="R175" s="101">
        <v>25</v>
      </c>
      <c r="S175" s="102">
        <f t="shared" si="8"/>
        <v>2506375</v>
      </c>
    </row>
    <row r="176" spans="1:19" x14ac:dyDescent="0.35">
      <c r="A176" s="55" t="s">
        <v>33</v>
      </c>
      <c r="B176" s="55" t="str">
        <f>+VLOOKUP($D176,[1]STS!$A$9:$E$1405,3,0)</f>
        <v>05</v>
      </c>
      <c r="C176" s="86">
        <f>+VLOOKUP($D176,[1]STS!$A$9:$E$1405,4,0)</f>
        <v>18</v>
      </c>
      <c r="D176" s="62" t="s">
        <v>208</v>
      </c>
      <c r="E176" s="97">
        <f>+IF(ISERROR(VLOOKUP($D176,[1]STS!$E$9:$G$1503,3,0)=0),0,VLOOKUP($D176,[1]STS!$E$9:$G$1503,3,0))</f>
        <v>9.93</v>
      </c>
      <c r="F176" s="103">
        <v>1000</v>
      </c>
      <c r="G176" s="99">
        <f>+IF(ISERROR(VLOOKUP(D176,[1]STS!$E$9:$AO$1503,37,0)=0),0,VLOOKUP(D176,[1]STS!$E$9:$AO$1503,37,0))</f>
        <v>2.878518441358028</v>
      </c>
      <c r="H176" s="80" t="str">
        <f>+IF(ISERROR(VLOOKUP(D176,[1]STS!$E$9:$I$1603,5,0)=0),0,VLOOKUP(D176,[1]STS!$E$9:$I$1603,5,0))</f>
        <v>FC</v>
      </c>
      <c r="I176" s="60"/>
      <c r="J176" s="66" t="str">
        <f>VLOOKUP(D176,[1]STS!$E$9:$BC$1359,51,0)</f>
        <v>GP3SS</v>
      </c>
      <c r="K176" s="61"/>
      <c r="L176" s="78" t="str">
        <f>+VLOOKUP(N176,'[1]MSTR AKT'!$C$4:$E$460,3,0)</f>
        <v>Widi</v>
      </c>
      <c r="M176" s="81">
        <f>+IF(ISERROR(VLOOKUP($N176,'[1]MSTR AKT'!$C$4:$D$460,2,0)=0),0,VLOOKUP($N176,'[1]MSTR AKT'!$C$4:$D$460,2,0))</f>
        <v>1117131111</v>
      </c>
      <c r="N176" s="63" t="s">
        <v>60</v>
      </c>
      <c r="O176" s="58"/>
      <c r="P176" s="59">
        <v>46003</v>
      </c>
      <c r="Q176" s="100">
        <v>50</v>
      </c>
      <c r="R176" s="101">
        <v>20</v>
      </c>
      <c r="S176" s="102">
        <f t="shared" si="8"/>
        <v>2005100</v>
      </c>
    </row>
    <row r="177" spans="1:19" x14ac:dyDescent="0.35">
      <c r="A177" s="55" t="s">
        <v>33</v>
      </c>
      <c r="B177" s="55" t="str">
        <f>+VLOOKUP($D177,[1]STS!$A$9:$E$1405,3,0)</f>
        <v>05</v>
      </c>
      <c r="C177" s="86">
        <f>+VLOOKUP($D177,[1]STS!$A$9:$E$1405,4,0)</f>
        <v>18</v>
      </c>
      <c r="D177" s="62" t="s">
        <v>209</v>
      </c>
      <c r="E177" s="97">
        <f>+IF(ISERROR(VLOOKUP($D177,[1]STS!$E$9:$G$1503,3,0)=0),0,VLOOKUP($D177,[1]STS!$E$9:$G$1503,3,0))</f>
        <v>5.22</v>
      </c>
      <c r="F177" s="98">
        <v>1000</v>
      </c>
      <c r="G177" s="99">
        <f>+IF(ISERROR(VLOOKUP(D177,[1]STS!$E$9:$AO$1503,37,0)=0),0,VLOOKUP(D177,[1]STS!$E$9:$AO$1503,37,0))</f>
        <v>3.0118517746913613</v>
      </c>
      <c r="H177" s="80" t="str">
        <f>+IF(ISERROR(VLOOKUP(D177,[1]STS!$E$9:$I$1603,5,0)=0),0,VLOOKUP(D177,[1]STS!$E$9:$I$1603,5,0))</f>
        <v>FC</v>
      </c>
      <c r="I177" s="60"/>
      <c r="J177" s="66" t="str">
        <f>VLOOKUP(D177,[1]STS!$E$9:$BC$1359,51,0)</f>
        <v>GP3SB</v>
      </c>
      <c r="K177" s="61"/>
      <c r="L177" s="78" t="str">
        <f>+VLOOKUP(N177,'[1]MSTR AKT'!$C$4:$E$460,3,0)</f>
        <v>Widi</v>
      </c>
      <c r="M177" s="81">
        <f>+IF(ISERROR(VLOOKUP($N177,'[1]MSTR AKT'!$C$4:$D$460,2,0)=0),0,VLOOKUP($N177,'[1]MSTR AKT'!$C$4:$D$460,2,0))</f>
        <v>1117131111</v>
      </c>
      <c r="N177" s="63" t="s">
        <v>60</v>
      </c>
      <c r="O177" s="58"/>
      <c r="P177" s="59">
        <v>45998</v>
      </c>
      <c r="Q177" s="100">
        <v>50</v>
      </c>
      <c r="R177" s="101">
        <v>20</v>
      </c>
      <c r="S177" s="102">
        <f t="shared" si="8"/>
        <v>2005100</v>
      </c>
    </row>
    <row r="178" spans="1:19" x14ac:dyDescent="0.35">
      <c r="A178" s="55" t="s">
        <v>33</v>
      </c>
      <c r="B178" s="55" t="str">
        <f>+VLOOKUP($D178,[1]STS!$A$9:$E$1405,3,0)</f>
        <v>05</v>
      </c>
      <c r="C178" s="86">
        <f>+VLOOKUP($D178,[1]STS!$A$9:$E$1405,4,0)</f>
        <v>18</v>
      </c>
      <c r="D178" s="62" t="s">
        <v>256</v>
      </c>
      <c r="E178" s="97">
        <f>+IF(ISERROR(VLOOKUP($D178,[1]STS!$E$9:$G$1503,3,0)=0),0,VLOOKUP($D178,[1]STS!$E$9:$G$1503,3,0))</f>
        <v>6.69</v>
      </c>
      <c r="F178" s="103">
        <v>1000</v>
      </c>
      <c r="G178" s="99">
        <f>+IF(ISERROR(VLOOKUP(D178,[1]STS!$E$9:$AO$1503,37,0)=0),0,VLOOKUP(D178,[1]STS!$E$9:$AO$1503,37,0))</f>
        <v>1.2118517746913615</v>
      </c>
      <c r="H178" s="80" t="str">
        <f>+IF(ISERROR(VLOOKUP(D178,[1]STS!$E$9:$I$1603,5,0)=0),0,VLOOKUP(D178,[1]STS!$E$9:$I$1603,5,0))</f>
        <v>FC</v>
      </c>
      <c r="I178" s="60"/>
      <c r="J178" s="66" t="str">
        <f>VLOOKUP(D178,[1]STS!$E$9:$BC$1359,51,0)</f>
        <v>GP3CK</v>
      </c>
      <c r="K178" s="61"/>
      <c r="L178" s="78" t="str">
        <f>+VLOOKUP(N178,'[1]MSTR AKT'!$C$4:$E$460,3,0)</f>
        <v>Widi</v>
      </c>
      <c r="M178" s="81">
        <f>+IF(ISERROR(VLOOKUP($N178,'[1]MSTR AKT'!$C$4:$D$460,2,0)=0),0,VLOOKUP($N178,'[1]MSTR AKT'!$C$4:$D$460,2,0))</f>
        <v>1117131111</v>
      </c>
      <c r="N178" s="63" t="s">
        <v>60</v>
      </c>
      <c r="O178" s="58"/>
      <c r="P178" s="59">
        <v>46002</v>
      </c>
      <c r="Q178" s="100">
        <v>50</v>
      </c>
      <c r="R178" s="101">
        <v>20</v>
      </c>
      <c r="S178" s="102">
        <f t="shared" si="8"/>
        <v>2005100</v>
      </c>
    </row>
    <row r="179" spans="1:19" x14ac:dyDescent="0.35">
      <c r="A179" s="55" t="s">
        <v>33</v>
      </c>
      <c r="B179" s="55" t="str">
        <f>+VLOOKUP($D179,[1]STS!$A$9:$E$1405,3,0)</f>
        <v>05</v>
      </c>
      <c r="C179" s="86">
        <f>+VLOOKUP($D179,[1]STS!$A$9:$E$1405,4,0)</f>
        <v>18</v>
      </c>
      <c r="D179" s="62" t="s">
        <v>257</v>
      </c>
      <c r="E179" s="97">
        <f>+IF(ISERROR(VLOOKUP($D179,[1]STS!$E$9:$G$1503,3,0)=0),0,VLOOKUP($D179,[1]STS!$E$9:$G$1503,3,0))</f>
        <v>6.58</v>
      </c>
      <c r="F179" s="103">
        <v>1000</v>
      </c>
      <c r="G179" s="99">
        <f>+IF(ISERROR(VLOOKUP(D179,[1]STS!$E$9:$AO$1503,37,0)=0),0,VLOOKUP(D179,[1]STS!$E$9:$AO$1503,37,0))</f>
        <v>1.2118517746913615</v>
      </c>
      <c r="H179" s="80" t="str">
        <f>+IF(ISERROR(VLOOKUP(D179,[1]STS!$E$9:$I$1603,5,0)=0),0,VLOOKUP(D179,[1]STS!$E$9:$I$1603,5,0))</f>
        <v>FC</v>
      </c>
      <c r="I179" s="60"/>
      <c r="J179" s="66" t="str">
        <f>VLOOKUP(D179,[1]STS!$E$9:$BC$1359,51,0)</f>
        <v>GP3CK</v>
      </c>
      <c r="K179" s="61"/>
      <c r="L179" s="78" t="str">
        <f>+VLOOKUP(N179,'[1]MSTR AKT'!$C$4:$E$460,3,0)</f>
        <v>Widi</v>
      </c>
      <c r="M179" s="81">
        <f>+IF(ISERROR(VLOOKUP($N179,'[1]MSTR AKT'!$C$4:$D$460,2,0)=0),0,VLOOKUP($N179,'[1]MSTR AKT'!$C$4:$D$460,2,0))</f>
        <v>1117131111</v>
      </c>
      <c r="N179" s="63" t="s">
        <v>60</v>
      </c>
      <c r="O179" s="58"/>
      <c r="P179" s="59">
        <v>46003</v>
      </c>
      <c r="Q179" s="100">
        <v>50</v>
      </c>
      <c r="R179" s="101">
        <v>20</v>
      </c>
      <c r="S179" s="102">
        <f t="shared" si="8"/>
        <v>2005100</v>
      </c>
    </row>
    <row r="180" spans="1:19" x14ac:dyDescent="0.35">
      <c r="A180" s="55" t="s">
        <v>33</v>
      </c>
      <c r="B180" s="55" t="str">
        <f>+VLOOKUP($D180,[1]STS!$A$9:$E$1405,3,0)</f>
        <v>05</v>
      </c>
      <c r="C180" s="86">
        <f>+VLOOKUP($D180,[1]STS!$A$9:$E$1405,4,0)</f>
        <v>18</v>
      </c>
      <c r="D180" s="62" t="s">
        <v>251</v>
      </c>
      <c r="E180" s="97">
        <f>+IF(ISERROR(VLOOKUP($D180,[1]STS!$E$9:$G$1503,3,0)=0),0,VLOOKUP($D180,[1]STS!$E$9:$G$1503,3,0))</f>
        <v>11.32</v>
      </c>
      <c r="F180" s="98">
        <v>500</v>
      </c>
      <c r="G180" s="99">
        <f>+IF(ISERROR(VLOOKUP(D180,[1]STS!$E$9:$AO$1503,37,0)=0),0,VLOOKUP(D180,[1]STS!$E$9:$AO$1503,37,0))</f>
        <v>9.7451851080246943</v>
      </c>
      <c r="H180" s="80" t="str">
        <f>+IF(ISERROR(VLOOKUP(D180,[1]STS!$E$9:$I$1603,5,0)=0),0,VLOOKUP(D180,[1]STS!$E$9:$I$1603,5,0))</f>
        <v>SC</v>
      </c>
      <c r="I180" s="60"/>
      <c r="J180" s="66" t="str">
        <f>VLOOKUP(D180,[1]STS!$E$9:$BC$1359,51,0)</f>
        <v>F18</v>
      </c>
      <c r="K180" s="61"/>
      <c r="L180" s="78" t="str">
        <f>+VLOOKUP(N180,'[1]MSTR AKT'!$C$4:$E$460,3,0)</f>
        <v>Widi</v>
      </c>
      <c r="M180" s="81">
        <f>+IF(ISERROR(VLOOKUP($N180,'[1]MSTR AKT'!$C$4:$D$460,2,0)=0),0,VLOOKUP($N180,'[1]MSTR AKT'!$C$4:$D$460,2,0))</f>
        <v>1117131111</v>
      </c>
      <c r="N180" s="63" t="s">
        <v>60</v>
      </c>
      <c r="O180" s="58"/>
      <c r="P180" s="59">
        <v>45998</v>
      </c>
      <c r="Q180" s="100">
        <v>50</v>
      </c>
      <c r="R180" s="101">
        <v>10</v>
      </c>
      <c r="S180" s="102">
        <f t="shared" si="8"/>
        <v>1002550</v>
      </c>
    </row>
    <row r="181" spans="1:19" x14ac:dyDescent="0.35">
      <c r="A181" s="55" t="s">
        <v>33</v>
      </c>
      <c r="B181" s="55" t="str">
        <f>+VLOOKUP($D181,[1]STS!$A$9:$E$1405,3,0)</f>
        <v>05</v>
      </c>
      <c r="C181" s="86">
        <f>+VLOOKUP($D181,[1]STS!$A$9:$E$1405,4,0)</f>
        <v>18</v>
      </c>
      <c r="D181" s="62" t="s">
        <v>270</v>
      </c>
      <c r="E181" s="97">
        <f>+IF(ISERROR(VLOOKUP($D181,[1]STS!$E$9:$G$1503,3,0)=0),0,VLOOKUP($D181,[1]STS!$E$9:$G$1503,3,0))</f>
        <v>9.15</v>
      </c>
      <c r="F181" s="103">
        <v>12000</v>
      </c>
      <c r="G181" s="99">
        <f>+IF(ISERROR(VLOOKUP(D181,[1]STS!$E$9:$AO$1503,37,0)=0),0,VLOOKUP(D181,[1]STS!$E$9:$AO$1503,37,0))</f>
        <v>2.1451851080246951</v>
      </c>
      <c r="H181" s="80" t="str">
        <f>+IF(ISERROR(VLOOKUP(D181,[1]STS!$E$9:$I$1603,5,0)=0),0,VLOOKUP(D181,[1]STS!$E$9:$I$1603,5,0))</f>
        <v>FC</v>
      </c>
      <c r="I181" s="60"/>
      <c r="J181" s="66" t="str">
        <f>VLOOKUP(D181,[1]STS!$E$9:$BC$1359,51,0)</f>
        <v>GP3CK</v>
      </c>
      <c r="K181" s="61"/>
      <c r="L181" s="78" t="str">
        <f>+VLOOKUP(N181,'[1]MSTR AKT'!$C$4:$E$460,3,0)</f>
        <v>Nugroho</v>
      </c>
      <c r="M181" s="81">
        <f>+IF(ISERROR(VLOOKUP($N181,'[1]MSTR AKT'!$C$4:$D$460,2,0)=0),0,VLOOKUP($N181,'[1]MSTR AKT'!$C$4:$D$460,2,0))</f>
        <v>1313131111</v>
      </c>
      <c r="N181" s="63" t="s">
        <v>35</v>
      </c>
      <c r="O181" s="58"/>
      <c r="P181" s="59">
        <v>46002</v>
      </c>
      <c r="Q181" s="100">
        <v>350</v>
      </c>
      <c r="R181" s="101">
        <v>34.285714285714285</v>
      </c>
      <c r="S181" s="102">
        <f t="shared" si="8"/>
        <v>3437314.2857142854</v>
      </c>
    </row>
    <row r="182" spans="1:19" x14ac:dyDescent="0.35">
      <c r="A182" s="55" t="s">
        <v>33</v>
      </c>
      <c r="B182" s="55" t="str">
        <f>+VLOOKUP($D182,[1]STS!$A$9:$E$1405,3,0)</f>
        <v>05</v>
      </c>
      <c r="C182" s="86">
        <f>+VLOOKUP($D182,[1]STS!$A$9:$E$1405,4,0)</f>
        <v>18</v>
      </c>
      <c r="D182" s="62" t="s">
        <v>208</v>
      </c>
      <c r="E182" s="97">
        <f>+IF(ISERROR(VLOOKUP($D182,[1]STS!$E$9:$G$1503,3,0)=0),0,VLOOKUP($D182,[1]STS!$E$9:$G$1503,3,0))</f>
        <v>9.93</v>
      </c>
      <c r="F182" s="103">
        <v>12000</v>
      </c>
      <c r="G182" s="99">
        <f>+IF(ISERROR(VLOOKUP(D182,[1]STS!$E$9:$AO$1503,37,0)=0),0,VLOOKUP(D182,[1]STS!$E$9:$AO$1503,37,0))</f>
        <v>2.878518441358028</v>
      </c>
      <c r="H182" s="80" t="str">
        <f>+IF(ISERROR(VLOOKUP(D182,[1]STS!$E$9:$I$1603,5,0)=0),0,VLOOKUP(D182,[1]STS!$E$9:$I$1603,5,0))</f>
        <v>FC</v>
      </c>
      <c r="I182" s="60"/>
      <c r="J182" s="66" t="str">
        <f>VLOOKUP(D182,[1]STS!$E$9:$BC$1359,51,0)</f>
        <v>GP3SS</v>
      </c>
      <c r="K182" s="61"/>
      <c r="L182" s="78" t="str">
        <f>+VLOOKUP(N182,'[1]MSTR AKT'!$C$4:$E$460,3,0)</f>
        <v>Nugroho</v>
      </c>
      <c r="M182" s="81">
        <f>+IF(ISERROR(VLOOKUP($N182,'[1]MSTR AKT'!$C$4:$D$460,2,0)=0),0,VLOOKUP($N182,'[1]MSTR AKT'!$C$4:$D$460,2,0))</f>
        <v>1313131111</v>
      </c>
      <c r="N182" s="63" t="s">
        <v>35</v>
      </c>
      <c r="O182" s="58"/>
      <c r="P182" s="59">
        <v>46002</v>
      </c>
      <c r="Q182" s="100">
        <v>350</v>
      </c>
      <c r="R182" s="101">
        <v>34.285714285714285</v>
      </c>
      <c r="S182" s="102">
        <f t="shared" si="8"/>
        <v>3437314.2857142854</v>
      </c>
    </row>
    <row r="183" spans="1:19" x14ac:dyDescent="0.35">
      <c r="A183" s="55" t="s">
        <v>33</v>
      </c>
      <c r="B183" s="55" t="str">
        <f>+VLOOKUP($D183,[1]STS!$A$9:$E$1405,3,0)</f>
        <v>05</v>
      </c>
      <c r="C183" s="86">
        <f>+VLOOKUP($D183,[1]STS!$A$9:$E$1405,4,0)</f>
        <v>18</v>
      </c>
      <c r="D183" s="62" t="s">
        <v>209</v>
      </c>
      <c r="E183" s="97">
        <f>+IF(ISERROR(VLOOKUP($D183,[1]STS!$E$9:$G$1503,3,0)=0),0,VLOOKUP($D183,[1]STS!$E$9:$G$1503,3,0))</f>
        <v>5.22</v>
      </c>
      <c r="F183" s="103">
        <v>7000</v>
      </c>
      <c r="G183" s="99">
        <f>+IF(ISERROR(VLOOKUP(D183,[1]STS!$E$9:$AO$1503,37,0)=0),0,VLOOKUP(D183,[1]STS!$E$9:$AO$1503,37,0))</f>
        <v>3.0118517746913613</v>
      </c>
      <c r="H183" s="80" t="str">
        <f>+IF(ISERROR(VLOOKUP(D183,[1]STS!$E$9:$I$1603,5,0)=0),0,VLOOKUP(D183,[1]STS!$E$9:$I$1603,5,0))</f>
        <v>FC</v>
      </c>
      <c r="I183" s="60"/>
      <c r="J183" s="66" t="str">
        <f>VLOOKUP(D183,[1]STS!$E$9:$BC$1359,51,0)</f>
        <v>GP3SB</v>
      </c>
      <c r="K183" s="61"/>
      <c r="L183" s="78" t="str">
        <f>+VLOOKUP(N183,'[1]MSTR AKT'!$C$4:$E$460,3,0)</f>
        <v>Nugroho</v>
      </c>
      <c r="M183" s="81">
        <f>+IF(ISERROR(VLOOKUP($N183,'[1]MSTR AKT'!$C$4:$D$460,2,0)=0),0,VLOOKUP($N183,'[1]MSTR AKT'!$C$4:$D$460,2,0))</f>
        <v>1313131111</v>
      </c>
      <c r="N183" s="63" t="s">
        <v>35</v>
      </c>
      <c r="O183" s="58"/>
      <c r="P183" s="59">
        <v>46003</v>
      </c>
      <c r="Q183" s="100">
        <v>350</v>
      </c>
      <c r="R183" s="101">
        <v>20</v>
      </c>
      <c r="S183" s="102">
        <f t="shared" si="8"/>
        <v>2005100</v>
      </c>
    </row>
    <row r="184" spans="1:19" x14ac:dyDescent="0.35">
      <c r="A184" s="55" t="s">
        <v>33</v>
      </c>
      <c r="B184" s="55" t="str">
        <f>+VLOOKUP($D184,[1]STS!$A$9:$E$1405,3,0)</f>
        <v>05</v>
      </c>
      <c r="C184" s="86">
        <f>+VLOOKUP($D184,[1]STS!$A$9:$E$1405,4,0)</f>
        <v>18</v>
      </c>
      <c r="D184" s="62" t="s">
        <v>270</v>
      </c>
      <c r="E184" s="97">
        <f>+IF(ISERROR(VLOOKUP($D184,[1]STS!$E$9:$G$1503,3,0)=0),0,VLOOKUP($D184,[1]STS!$E$9:$G$1503,3,0))</f>
        <v>9.15</v>
      </c>
      <c r="F184" s="98">
        <v>9.15</v>
      </c>
      <c r="G184" s="99">
        <f>+IF(ISERROR(VLOOKUP(D184,[1]STS!$E$9:$AO$1503,37,0)=0),0,VLOOKUP(D184,[1]STS!$E$9:$AO$1503,37,0))</f>
        <v>2.1451851080246951</v>
      </c>
      <c r="H184" s="80" t="str">
        <f>+IF(ISERROR(VLOOKUP(D184,[1]STS!$E$9:$I$1603,5,0)=0),0,VLOOKUP(D184,[1]STS!$E$9:$I$1603,5,0))</f>
        <v>FC</v>
      </c>
      <c r="I184" s="60"/>
      <c r="J184" s="66" t="str">
        <f>VLOOKUP(D184,[1]STS!$E$9:$BC$1359,51,0)</f>
        <v>GP3CK</v>
      </c>
      <c r="K184" s="61"/>
      <c r="L184" s="78" t="str">
        <f>+VLOOKUP(N184,'[1]MSTR AKT'!$C$4:$E$460,3,0)</f>
        <v>Nugroho</v>
      </c>
      <c r="M184" s="81">
        <f>+IF(ISERROR(VLOOKUP($N184,'[1]MSTR AKT'!$C$4:$D$460,2,0)=0),0,VLOOKUP($N184,'[1]MSTR AKT'!$C$4:$D$460,2,0))</f>
        <v>1311131113</v>
      </c>
      <c r="N184" s="63" t="s">
        <v>49</v>
      </c>
      <c r="O184" s="58"/>
      <c r="P184" s="59">
        <v>45998</v>
      </c>
      <c r="Q184" s="100">
        <v>3.5</v>
      </c>
      <c r="R184" s="101">
        <v>32.024999999999999</v>
      </c>
      <c r="S184" s="102">
        <f t="shared" si="8"/>
        <v>3210666.375</v>
      </c>
    </row>
    <row r="185" spans="1:19" x14ac:dyDescent="0.35">
      <c r="A185" s="55" t="s">
        <v>33</v>
      </c>
      <c r="B185" s="55" t="str">
        <f>+VLOOKUP($D185,[1]STS!$A$9:$E$1405,3,0)</f>
        <v>05</v>
      </c>
      <c r="C185" s="86">
        <f>+VLOOKUP($D185,[1]STS!$A$9:$E$1405,4,0)</f>
        <v>18</v>
      </c>
      <c r="D185" s="62" t="s">
        <v>260</v>
      </c>
      <c r="E185" s="97">
        <f>+IF(ISERROR(VLOOKUP($D185,[1]STS!$E$9:$G$1503,3,0)=0),0,VLOOKUP($D185,[1]STS!$E$9:$G$1503,3,0))</f>
        <v>8.11</v>
      </c>
      <c r="F185" s="103">
        <v>7.81</v>
      </c>
      <c r="G185" s="99">
        <f>+IF(ISERROR(VLOOKUP(D185,[1]STS!$E$9:$AO$1503,37,0)=0),0,VLOOKUP(D185,[1]STS!$E$9:$AO$1503,37,0))</f>
        <v>1.245185108024695</v>
      </c>
      <c r="H185" s="80" t="str">
        <f>+IF(ISERROR(VLOOKUP(D185,[1]STS!$E$9:$I$1603,5,0)=0),0,VLOOKUP(D185,[1]STS!$E$9:$I$1603,5,0))</f>
        <v>FC</v>
      </c>
      <c r="I185" s="60"/>
      <c r="J185" s="66" t="str">
        <f>VLOOKUP(D185,[1]STS!$E$9:$BC$1359,51,0)</f>
        <v>GP3CK</v>
      </c>
      <c r="K185" s="61"/>
      <c r="L185" s="78" t="str">
        <f>+VLOOKUP(N185,'[1]MSTR AKT'!$C$4:$E$460,3,0)</f>
        <v>Nugroho</v>
      </c>
      <c r="M185" s="81">
        <f>+IF(ISERROR(VLOOKUP($N185,'[1]MSTR AKT'!$C$4:$D$460,2,0)=0),0,VLOOKUP($N185,'[1]MSTR AKT'!$C$4:$D$460,2,0))</f>
        <v>1311131113</v>
      </c>
      <c r="N185" s="63" t="s">
        <v>49</v>
      </c>
      <c r="O185" s="58"/>
      <c r="P185" s="59">
        <v>46002</v>
      </c>
      <c r="Q185" s="100">
        <v>3.5</v>
      </c>
      <c r="R185" s="101">
        <v>27.334999999999997</v>
      </c>
      <c r="S185" s="102">
        <f t="shared" si="8"/>
        <v>2740470.4249999998</v>
      </c>
    </row>
    <row r="186" spans="1:19" x14ac:dyDescent="0.35">
      <c r="A186" s="55" t="s">
        <v>33</v>
      </c>
      <c r="B186" s="55" t="str">
        <f>+VLOOKUP($D186,[1]STS!$A$9:$E$1405,3,0)</f>
        <v>05</v>
      </c>
      <c r="C186" s="86">
        <f>+VLOOKUP($D186,[1]STS!$A$9:$E$1405,4,0)</f>
        <v>18</v>
      </c>
      <c r="D186" s="62" t="s">
        <v>256</v>
      </c>
      <c r="E186" s="97">
        <f>+IF(ISERROR(VLOOKUP($D186,[1]STS!$E$9:$G$1503,3,0)=0),0,VLOOKUP($D186,[1]STS!$E$9:$G$1503,3,0))</f>
        <v>6.69</v>
      </c>
      <c r="F186" s="103">
        <v>6.48</v>
      </c>
      <c r="G186" s="99">
        <f>+IF(ISERROR(VLOOKUP(D186,[1]STS!$E$9:$AO$1503,37,0)=0),0,VLOOKUP(D186,[1]STS!$E$9:$AO$1503,37,0))</f>
        <v>1.2118517746913615</v>
      </c>
      <c r="H186" s="80" t="str">
        <f>+IF(ISERROR(VLOOKUP(D186,[1]STS!$E$9:$I$1603,5,0)=0),0,VLOOKUP(D186,[1]STS!$E$9:$I$1603,5,0))</f>
        <v>FC</v>
      </c>
      <c r="I186" s="60"/>
      <c r="J186" s="66" t="str">
        <f>VLOOKUP(D186,[1]STS!$E$9:$BC$1359,51,0)</f>
        <v>GP3CK</v>
      </c>
      <c r="K186" s="61"/>
      <c r="L186" s="78" t="str">
        <f>+VLOOKUP(N186,'[1]MSTR AKT'!$C$4:$E$460,3,0)</f>
        <v>Nugroho</v>
      </c>
      <c r="M186" s="81">
        <f>+IF(ISERROR(VLOOKUP($N186,'[1]MSTR AKT'!$C$4:$D$460,2,0)=0),0,VLOOKUP($N186,'[1]MSTR AKT'!$C$4:$D$460,2,0))</f>
        <v>1311131113</v>
      </c>
      <c r="N186" s="63" t="s">
        <v>49</v>
      </c>
      <c r="O186" s="58"/>
      <c r="P186" s="59">
        <v>46003</v>
      </c>
      <c r="Q186" s="100">
        <v>3.5</v>
      </c>
      <c r="R186" s="101">
        <v>22.68</v>
      </c>
      <c r="S186" s="102">
        <f t="shared" si="8"/>
        <v>2273783.4</v>
      </c>
    </row>
    <row r="187" spans="1:19" x14ac:dyDescent="0.35">
      <c r="A187" s="55" t="s">
        <v>33</v>
      </c>
      <c r="B187" s="55" t="str">
        <f>+VLOOKUP($D187,[1]STS!$A$9:$E$1405,3,0)</f>
        <v>05</v>
      </c>
      <c r="C187" s="86">
        <f>+VLOOKUP($D187,[1]STS!$A$9:$E$1405,4,0)</f>
        <v>18</v>
      </c>
      <c r="D187" s="62" t="s">
        <v>257</v>
      </c>
      <c r="E187" s="97">
        <f>+IF(ISERROR(VLOOKUP($D187,[1]STS!$E$9:$G$1503,3,0)=0),0,VLOOKUP($D187,[1]STS!$E$9:$G$1503,3,0))</f>
        <v>6.58</v>
      </c>
      <c r="F187" s="98">
        <v>6.35</v>
      </c>
      <c r="G187" s="99">
        <f>+IF(ISERROR(VLOOKUP(D187,[1]STS!$E$9:$AO$1503,37,0)=0),0,VLOOKUP(D187,[1]STS!$E$9:$AO$1503,37,0))</f>
        <v>1.2118517746913615</v>
      </c>
      <c r="H187" s="80" t="str">
        <f>+IF(ISERROR(VLOOKUP(D187,[1]STS!$E$9:$I$1603,5,0)=0),0,VLOOKUP(D187,[1]STS!$E$9:$I$1603,5,0))</f>
        <v>FC</v>
      </c>
      <c r="I187" s="60"/>
      <c r="J187" s="66" t="str">
        <f>VLOOKUP(D187,[1]STS!$E$9:$BC$1359,51,0)</f>
        <v>GP3CK</v>
      </c>
      <c r="K187" s="61"/>
      <c r="L187" s="78" t="str">
        <f>+VLOOKUP(N187,'[1]MSTR AKT'!$C$4:$E$460,3,0)</f>
        <v>Nugroho</v>
      </c>
      <c r="M187" s="81">
        <f>+IF(ISERROR(VLOOKUP($N187,'[1]MSTR AKT'!$C$4:$D$460,2,0)=0),0,VLOOKUP($N187,'[1]MSTR AKT'!$C$4:$D$460,2,0))</f>
        <v>1311131113</v>
      </c>
      <c r="N187" s="63" t="s">
        <v>49</v>
      </c>
      <c r="O187" s="58"/>
      <c r="P187" s="59">
        <v>45998</v>
      </c>
      <c r="Q187" s="100">
        <v>3.5</v>
      </c>
      <c r="R187" s="101">
        <v>22.224999999999998</v>
      </c>
      <c r="S187" s="102">
        <f t="shared" si="8"/>
        <v>2228167.375</v>
      </c>
    </row>
    <row r="188" spans="1:19" x14ac:dyDescent="0.35">
      <c r="A188" s="55" t="s">
        <v>33</v>
      </c>
      <c r="B188" s="55" t="str">
        <f>+VLOOKUP($D188,[1]STS!$A$9:$E$1405,3,0)</f>
        <v>05</v>
      </c>
      <c r="C188" s="86">
        <f>+VLOOKUP($D188,[1]STS!$A$9:$E$1405,4,0)</f>
        <v>18</v>
      </c>
      <c r="D188" s="62" t="s">
        <v>253</v>
      </c>
      <c r="E188" s="97">
        <f>+IF(ISERROR(VLOOKUP($D188,[1]STS!$E$9:$G$1503,3,0)=0),0,VLOOKUP($D188,[1]STS!$E$9:$G$1503,3,0))</f>
        <v>6.55</v>
      </c>
      <c r="F188" s="103">
        <v>5.77</v>
      </c>
      <c r="G188" s="99">
        <f>+IF(ISERROR(VLOOKUP(D188,[1]STS!$E$9:$AO$1503,37,0)=0),0,VLOOKUP(D188,[1]STS!$E$9:$AO$1503,37,0))</f>
        <v>1.0785184413580282</v>
      </c>
      <c r="H188" s="80" t="str">
        <f>+IF(ISERROR(VLOOKUP(D188,[1]STS!$E$9:$I$1603,5,0)=0),0,VLOOKUP(D188,[1]STS!$E$9:$I$1603,5,0))</f>
        <v>FC</v>
      </c>
      <c r="I188" s="60"/>
      <c r="J188" s="66" t="str">
        <f>VLOOKUP(D188,[1]STS!$E$9:$BC$1359,51,0)</f>
        <v>GP3CK</v>
      </c>
      <c r="K188" s="61"/>
      <c r="L188" s="78" t="str">
        <f>+VLOOKUP(N188,'[1]MSTR AKT'!$C$4:$E$460,3,0)</f>
        <v>Nugroho</v>
      </c>
      <c r="M188" s="81">
        <f>+IF(ISERROR(VLOOKUP($N188,'[1]MSTR AKT'!$C$4:$D$460,2,0)=0),0,VLOOKUP($N188,'[1]MSTR AKT'!$C$4:$D$460,2,0))</f>
        <v>1311131113</v>
      </c>
      <c r="N188" s="63" t="s">
        <v>49</v>
      </c>
      <c r="O188" s="58"/>
      <c r="P188" s="59">
        <v>46002</v>
      </c>
      <c r="Q188" s="100">
        <v>3.5</v>
      </c>
      <c r="R188" s="101">
        <v>20.195</v>
      </c>
      <c r="S188" s="102">
        <f>+R188*100255</f>
        <v>2024649.7250000001</v>
      </c>
    </row>
    <row r="189" spans="1:19" x14ac:dyDescent="0.35">
      <c r="A189" s="55" t="s">
        <v>33</v>
      </c>
      <c r="B189" s="55" t="str">
        <f>+VLOOKUP($D189,[1]STS!$A$9:$E$1405,3,0)</f>
        <v>05</v>
      </c>
      <c r="C189" s="86">
        <f>+VLOOKUP($D189,[1]STS!$A$9:$E$1405,4,0)</f>
        <v>18</v>
      </c>
      <c r="D189" s="62" t="s">
        <v>254</v>
      </c>
      <c r="E189" s="97">
        <f>+IF(ISERROR(VLOOKUP($D189,[1]STS!$E$9:$G$1503,3,0)=0),0,VLOOKUP($D189,[1]STS!$E$9:$G$1503,3,0))</f>
        <v>7.7</v>
      </c>
      <c r="F189" s="103">
        <v>6.9</v>
      </c>
      <c r="G189" s="99">
        <f>+IF(ISERROR(VLOOKUP(D189,[1]STS!$E$9:$AO$1503,37,0)=0),0,VLOOKUP(D189,[1]STS!$E$9:$AO$1503,37,0))</f>
        <v>1.0785184413580282</v>
      </c>
      <c r="H189" s="80" t="str">
        <f>+IF(ISERROR(VLOOKUP(D189,[1]STS!$E$9:$I$1603,5,0)=0),0,VLOOKUP(D189,[1]STS!$E$9:$I$1603,5,0))</f>
        <v>FC</v>
      </c>
      <c r="I189" s="60"/>
      <c r="J189" s="66" t="str">
        <f>VLOOKUP(D189,[1]STS!$E$9:$BC$1359,51,0)</f>
        <v>GP3CK</v>
      </c>
      <c r="K189" s="61"/>
      <c r="L189" s="78" t="str">
        <f>+VLOOKUP(N189,'[1]MSTR AKT'!$C$4:$E$460,3,0)</f>
        <v>Nugroho</v>
      </c>
      <c r="M189" s="81">
        <f>+IF(ISERROR(VLOOKUP($N189,'[1]MSTR AKT'!$C$4:$D$460,2,0)=0),0,VLOOKUP($N189,'[1]MSTR AKT'!$C$4:$D$460,2,0))</f>
        <v>1311131113</v>
      </c>
      <c r="N189" s="63" t="s">
        <v>49</v>
      </c>
      <c r="O189" s="58"/>
      <c r="P189" s="59">
        <v>46000</v>
      </c>
      <c r="Q189" s="100">
        <v>3.5</v>
      </c>
      <c r="R189" s="101">
        <v>24.150000000000002</v>
      </c>
      <c r="S189" s="102">
        <f>+R189*100255</f>
        <v>2421158.25</v>
      </c>
    </row>
    <row r="190" spans="1:19" x14ac:dyDescent="0.35">
      <c r="A190" s="55" t="s">
        <v>33</v>
      </c>
      <c r="B190" s="55" t="str">
        <f>+VLOOKUP($D190,[1]STS!$A$9:$E$1405,3,0)</f>
        <v>05</v>
      </c>
      <c r="C190" s="86">
        <f>+VLOOKUP($D190,[1]STS!$A$9:$E$1405,4,0)</f>
        <v>18</v>
      </c>
      <c r="D190" s="62" t="s">
        <v>255</v>
      </c>
      <c r="E190" s="97">
        <f>+IF(ISERROR(VLOOKUP($D190,[1]STS!$E$9:$G$1503,3,0)=0),0,VLOOKUP($D190,[1]STS!$E$9:$G$1503,3,0))</f>
        <v>3.82</v>
      </c>
      <c r="F190" s="103">
        <v>3.62</v>
      </c>
      <c r="G190" s="99">
        <f>+IF(ISERROR(VLOOKUP(D190,[1]STS!$E$9:$AO$1503,37,0)=0),0,VLOOKUP(D190,[1]STS!$E$9:$AO$1503,37,0))</f>
        <v>1.0785184413580282</v>
      </c>
      <c r="H190" s="80" t="str">
        <f>+IF(ISERROR(VLOOKUP(D190,[1]STS!$E$9:$I$1603,5,0)=0),0,VLOOKUP(D190,[1]STS!$E$9:$I$1603,5,0))</f>
        <v>FC</v>
      </c>
      <c r="I190" s="60"/>
      <c r="J190" s="66" t="str">
        <f>VLOOKUP(D190,[1]STS!$E$9:$BC$1359,51,0)</f>
        <v>GP3CK</v>
      </c>
      <c r="K190" s="61"/>
      <c r="L190" s="78" t="str">
        <f>+VLOOKUP(N190,'[1]MSTR AKT'!$C$4:$E$460,3,0)</f>
        <v>Nugroho</v>
      </c>
      <c r="M190" s="81">
        <f>+IF(ISERROR(VLOOKUP($N190,'[1]MSTR AKT'!$C$4:$D$460,2,0)=0),0,VLOOKUP($N190,'[1]MSTR AKT'!$C$4:$D$460,2,0))</f>
        <v>1311131113</v>
      </c>
      <c r="N190" s="63" t="s">
        <v>49</v>
      </c>
      <c r="O190" s="58"/>
      <c r="P190" s="59">
        <v>46001</v>
      </c>
      <c r="Q190" s="100">
        <v>3.5</v>
      </c>
      <c r="R190" s="101">
        <v>12.67</v>
      </c>
      <c r="S190" s="102">
        <f>+R190*100255</f>
        <v>1270230.8500000001</v>
      </c>
    </row>
    <row r="191" spans="1:19" x14ac:dyDescent="0.35">
      <c r="A191" s="55" t="s">
        <v>33</v>
      </c>
      <c r="B191" s="55" t="str">
        <f>+VLOOKUP($D191,[1]STS!$A$9:$E$1405,3,0)</f>
        <v>05</v>
      </c>
      <c r="C191" s="86">
        <f>+VLOOKUP($D191,[1]STS!$A$9:$E$1405,4,0)</f>
        <v>18</v>
      </c>
      <c r="D191" s="62" t="s">
        <v>373</v>
      </c>
      <c r="E191" s="97">
        <f>+IF(ISERROR(VLOOKUP($D191,[1]STS!$E$9:$G$1503,3,0)=0),0,VLOOKUP($D191,[1]STS!$E$9:$G$1503,3,0))</f>
        <v>4.46</v>
      </c>
      <c r="F191" s="103">
        <v>2.5</v>
      </c>
      <c r="G191" s="99">
        <f>+IF(ISERROR(VLOOKUP(D191,[1]STS!$E$9:$AO$1503,37,0)=0),0,VLOOKUP(D191,[1]STS!$E$9:$AO$1503,37,0))</f>
        <v>11.611851774691361</v>
      </c>
      <c r="H191" s="80" t="str">
        <f>+IF(ISERROR(VLOOKUP(D191,[1]STS!$E$9:$I$1603,5,0)=0),0,VLOOKUP(D191,[1]STS!$E$9:$I$1603,5,0))</f>
        <v>FC</v>
      </c>
      <c r="I191" s="60"/>
      <c r="J191" s="66" t="str">
        <f>VLOOKUP(D191,[1]STS!$E$9:$BC$1359,51,0)</f>
        <v>F18SS</v>
      </c>
      <c r="K191" s="61"/>
      <c r="L191" s="78" t="str">
        <f>+VLOOKUP(N191,'[1]MSTR AKT'!$C$4:$E$460,3,0)</f>
        <v>Etri 2</v>
      </c>
      <c r="M191" s="81">
        <f>+IF(ISERROR(VLOOKUP($N191,'[1]MSTR AKT'!$C$4:$D$460,2,0)=0),0,VLOOKUP($N191,'[1]MSTR AKT'!$C$4:$D$460,2,0))</f>
        <v>1315131315</v>
      </c>
      <c r="N191" s="63" t="s">
        <v>7</v>
      </c>
      <c r="O191" s="58"/>
      <c r="P191" s="59">
        <v>46002</v>
      </c>
      <c r="Q191" s="100">
        <v>0.75</v>
      </c>
      <c r="R191" s="101">
        <v>1.875</v>
      </c>
      <c r="S191" s="102">
        <f t="shared" si="8"/>
        <v>187978.125</v>
      </c>
    </row>
    <row r="192" spans="1:19" x14ac:dyDescent="0.35">
      <c r="A192" s="55" t="s">
        <v>33</v>
      </c>
      <c r="B192" s="55" t="str">
        <f>+VLOOKUP($D192,[1]STS!$A$9:$E$1405,3,0)</f>
        <v>05</v>
      </c>
      <c r="C192" s="86">
        <f>+VLOOKUP($D192,[1]STS!$A$9:$E$1405,4,0)</f>
        <v>18</v>
      </c>
      <c r="D192" s="62" t="s">
        <v>374</v>
      </c>
      <c r="E192" s="97">
        <f>+IF(ISERROR(VLOOKUP($D192,[1]STS!$E$9:$G$1503,3,0)=0),0,VLOOKUP($D192,[1]STS!$E$9:$G$1503,3,0))</f>
        <v>4.18</v>
      </c>
      <c r="F192" s="103">
        <v>2.5</v>
      </c>
      <c r="G192" s="99">
        <f>+IF(ISERROR(VLOOKUP(D192,[1]STS!$E$9:$AO$1503,37,0)=0),0,VLOOKUP(D192,[1]STS!$E$9:$AO$1503,37,0))</f>
        <v>11.345185108024696</v>
      </c>
      <c r="H192" s="80" t="str">
        <f>+IF(ISERROR(VLOOKUP(D192,[1]STS!$E$9:$I$1603,5,0)=0),0,VLOOKUP(D192,[1]STS!$E$9:$I$1603,5,0))</f>
        <v>FC</v>
      </c>
      <c r="I192" s="60"/>
      <c r="J192" s="66" t="str">
        <f>VLOOKUP(D192,[1]STS!$E$9:$BC$1359,51,0)</f>
        <v>F18SB</v>
      </c>
      <c r="K192" s="61"/>
      <c r="L192" s="78" t="str">
        <f>+VLOOKUP(N192,'[1]MSTR AKT'!$C$4:$E$460,3,0)</f>
        <v>Etri 2</v>
      </c>
      <c r="M192" s="81">
        <f>+IF(ISERROR(VLOOKUP($N192,'[1]MSTR AKT'!$C$4:$D$460,2,0)=0),0,VLOOKUP($N192,'[1]MSTR AKT'!$C$4:$D$460,2,0))</f>
        <v>1315131315</v>
      </c>
      <c r="N192" s="63" t="s">
        <v>7</v>
      </c>
      <c r="O192" s="58"/>
      <c r="P192" s="59">
        <v>46000</v>
      </c>
      <c r="Q192" s="100">
        <v>0.75</v>
      </c>
      <c r="R192" s="101">
        <v>1.875</v>
      </c>
      <c r="S192" s="102">
        <f t="shared" si="8"/>
        <v>187978.125</v>
      </c>
    </row>
    <row r="193" spans="1:19" x14ac:dyDescent="0.35">
      <c r="A193" s="55" t="s">
        <v>33</v>
      </c>
      <c r="B193" s="55" t="str">
        <f>+VLOOKUP($D193,[1]STS!$A$9:$E$1405,3,0)</f>
        <v>05</v>
      </c>
      <c r="C193" s="86">
        <f>+VLOOKUP($D193,[1]STS!$A$9:$E$1405,4,0)</f>
        <v>18</v>
      </c>
      <c r="D193" s="62" t="s">
        <v>375</v>
      </c>
      <c r="E193" s="97">
        <f>+IF(ISERROR(VLOOKUP($D193,[1]STS!$E$9:$G$1503,3,0)=0),0,VLOOKUP($D193,[1]STS!$E$9:$G$1503,3,0))</f>
        <v>3.59</v>
      </c>
      <c r="F193" s="103">
        <v>3.5</v>
      </c>
      <c r="G193" s="99">
        <f>+IF(ISERROR(VLOOKUP(D193,[1]STS!$E$9:$AO$1503,37,0)=0),0,VLOOKUP(D193,[1]STS!$E$9:$AO$1503,37,0))</f>
        <v>11.345185108024696</v>
      </c>
      <c r="H193" s="80" t="str">
        <f>+IF(ISERROR(VLOOKUP(D193,[1]STS!$E$9:$I$1603,5,0)=0),0,VLOOKUP(D193,[1]STS!$E$9:$I$1603,5,0))</f>
        <v>FC</v>
      </c>
      <c r="I193" s="60"/>
      <c r="J193" s="66" t="str">
        <f>VLOOKUP(D193,[1]STS!$E$9:$BC$1359,51,0)</f>
        <v>F18SB</v>
      </c>
      <c r="K193" s="61"/>
      <c r="L193" s="78" t="str">
        <f>+VLOOKUP(N193,'[1]MSTR AKT'!$C$4:$E$460,3,0)</f>
        <v>Etri 2</v>
      </c>
      <c r="M193" s="81">
        <f>+IF(ISERROR(VLOOKUP($N193,'[1]MSTR AKT'!$C$4:$D$460,2,0)=0),0,VLOOKUP($N193,'[1]MSTR AKT'!$C$4:$D$460,2,0))</f>
        <v>1315131315</v>
      </c>
      <c r="N193" s="63" t="s">
        <v>7</v>
      </c>
      <c r="O193" s="58"/>
      <c r="P193" s="59">
        <v>46001</v>
      </c>
      <c r="Q193" s="100">
        <v>0.75</v>
      </c>
      <c r="R193" s="101">
        <v>2.625</v>
      </c>
      <c r="S193" s="102">
        <f t="shared" si="8"/>
        <v>263169.375</v>
      </c>
    </row>
    <row r="194" spans="1:19" x14ac:dyDescent="0.35">
      <c r="A194" s="55" t="s">
        <v>33</v>
      </c>
      <c r="B194" s="55" t="str">
        <f>+VLOOKUP($D194,[1]STS!$A$9:$E$1405,3,0)</f>
        <v>05</v>
      </c>
      <c r="C194" s="86">
        <f>+VLOOKUP($D194,[1]STS!$A$9:$E$1405,4,0)</f>
        <v>18</v>
      </c>
      <c r="D194" s="62" t="s">
        <v>252</v>
      </c>
      <c r="E194" s="97">
        <f>+IF(ISERROR(VLOOKUP($D194,[1]STS!$E$9:$G$1503,3,0)=0),0,VLOOKUP($D194,[1]STS!$E$9:$G$1503,3,0))</f>
        <v>11.27</v>
      </c>
      <c r="F194" s="103">
        <v>3.5</v>
      </c>
      <c r="G194" s="99">
        <f>+IF(ISERROR(VLOOKUP(D194,[1]STS!$E$9:$AO$1503,37,0)=0),0,VLOOKUP(D194,[1]STS!$E$9:$AO$1503,37,0))</f>
        <v>0.31185177469136155</v>
      </c>
      <c r="H194" s="80" t="str">
        <f>+IF(ISERROR(VLOOKUP(D194,[1]STS!$E$9:$I$1603,5,0)=0),0,VLOOKUP(D194,[1]STS!$E$9:$I$1603,5,0))</f>
        <v>SC</v>
      </c>
      <c r="I194" s="60"/>
      <c r="J194" s="66" t="str">
        <f>VLOOKUP(D194,[1]STS!$E$9:$BC$1359,51,0)</f>
        <v>F18</v>
      </c>
      <c r="K194" s="61"/>
      <c r="L194" s="78" t="str">
        <f>+VLOOKUP(N194,'[1]MSTR AKT'!$C$4:$E$460,3,0)</f>
        <v>Etri 2</v>
      </c>
      <c r="M194" s="81">
        <f>+IF(ISERROR(VLOOKUP($N194,'[1]MSTR AKT'!$C$4:$D$460,2,0)=0),0,VLOOKUP($N194,'[1]MSTR AKT'!$C$4:$D$460,2,0))</f>
        <v>1315131315</v>
      </c>
      <c r="N194" s="63" t="s">
        <v>7</v>
      </c>
      <c r="O194" s="58"/>
      <c r="P194" s="59">
        <v>46002</v>
      </c>
      <c r="Q194" s="100">
        <v>0.75</v>
      </c>
      <c r="R194" s="101">
        <v>2.625</v>
      </c>
      <c r="S194" s="102">
        <f t="shared" si="8"/>
        <v>263169.375</v>
      </c>
    </row>
    <row r="195" spans="1:19" x14ac:dyDescent="0.35">
      <c r="A195" s="55" t="s">
        <v>33</v>
      </c>
      <c r="B195" s="55" t="str">
        <f>+VLOOKUP($D195,[1]STS!$A$9:$E$1405,3,0)</f>
        <v>05</v>
      </c>
      <c r="C195" s="86">
        <f>+VLOOKUP($D195,[1]STS!$A$9:$E$1405,4,0)</f>
        <v>18</v>
      </c>
      <c r="D195" s="62" t="s">
        <v>61</v>
      </c>
      <c r="E195" s="97">
        <f>+IF(ISERROR(VLOOKUP($D195,[1]STS!$E$9:$G$1503,3,0)=0),0,VLOOKUP($D195,[1]STS!$E$9:$G$1503,3,0))</f>
        <v>9.1999999999999993</v>
      </c>
      <c r="F195" s="103">
        <v>3.5</v>
      </c>
      <c r="G195" s="99">
        <f>+IF(ISERROR(VLOOKUP(D195,[1]STS!$E$9:$AO$1503,37,0)=0),0,VLOOKUP(D195,[1]STS!$E$9:$AO$1503,37,0))</f>
        <v>1.245185108024695</v>
      </c>
      <c r="H195" s="80" t="str">
        <f>+IF(ISERROR(VLOOKUP(D195,[1]STS!$E$9:$I$1603,5,0)=0),0,VLOOKUP(D195,[1]STS!$E$9:$I$1603,5,0))</f>
        <v>SC</v>
      </c>
      <c r="I195" s="60"/>
      <c r="J195" s="66" t="str">
        <f>VLOOKUP(D195,[1]STS!$E$9:$BC$1359,51,0)</f>
        <v>F18</v>
      </c>
      <c r="K195" s="61"/>
      <c r="L195" s="78" t="str">
        <f>+VLOOKUP(N195,'[1]MSTR AKT'!$C$4:$E$460,3,0)</f>
        <v>Etri 2</v>
      </c>
      <c r="M195" s="81">
        <f>+IF(ISERROR(VLOOKUP($N195,'[1]MSTR AKT'!$C$4:$D$460,2,0)=0),0,VLOOKUP($N195,'[1]MSTR AKT'!$C$4:$D$460,2,0))</f>
        <v>1315131315</v>
      </c>
      <c r="N195" s="63" t="s">
        <v>7</v>
      </c>
      <c r="O195" s="58"/>
      <c r="P195" s="59">
        <v>46003</v>
      </c>
      <c r="Q195" s="100">
        <v>0.75</v>
      </c>
      <c r="R195" s="101">
        <v>2.625</v>
      </c>
      <c r="S195" s="102">
        <f t="shared" si="8"/>
        <v>263169.375</v>
      </c>
    </row>
    <row r="196" spans="1:19" x14ac:dyDescent="0.35">
      <c r="A196" s="55" t="s">
        <v>33</v>
      </c>
      <c r="B196" s="55" t="str">
        <f>+VLOOKUP($D196,[1]STS!$A$9:$E$1405,3,0)</f>
        <v>05</v>
      </c>
      <c r="C196" s="86">
        <f>+VLOOKUP($D196,[1]STS!$A$9:$E$1405,4,0)</f>
        <v>18</v>
      </c>
      <c r="D196" s="62" t="s">
        <v>122</v>
      </c>
      <c r="E196" s="97">
        <f>+IF(ISERROR(VLOOKUP($D196,[1]STS!$E$9:$G$1503,3,0)=0),0,VLOOKUP($D196,[1]STS!$E$9:$G$1503,3,0))</f>
        <v>3.8</v>
      </c>
      <c r="F196" s="98">
        <v>1.5</v>
      </c>
      <c r="G196" s="99">
        <f>+IF(ISERROR(VLOOKUP(D196,[1]STS!$E$9:$AO$1503,37,0)=0),0,VLOOKUP(D196,[1]STS!$E$9:$AO$1503,37,0))</f>
        <v>1.6451851080246949</v>
      </c>
      <c r="H196" s="80" t="str">
        <f>+IF(ISERROR(VLOOKUP(D196,[1]STS!$E$9:$I$1603,5,0)=0),0,VLOOKUP(D196,[1]STS!$E$9:$I$1603,5,0))</f>
        <v>SC</v>
      </c>
      <c r="I196" s="60"/>
      <c r="J196" s="66" t="str">
        <f>VLOOKUP(D196,[1]STS!$E$9:$BC$1359,51,0)</f>
        <v>F18</v>
      </c>
      <c r="K196" s="61"/>
      <c r="L196" s="78" t="str">
        <f>+VLOOKUP(N196,'[1]MSTR AKT'!$C$4:$E$460,3,0)</f>
        <v>Etri 2</v>
      </c>
      <c r="M196" s="81">
        <f>+IF(ISERROR(VLOOKUP($N196,'[1]MSTR AKT'!$C$4:$D$460,2,0)=0),0,VLOOKUP($N196,'[1]MSTR AKT'!$C$4:$D$460,2,0))</f>
        <v>1315131315</v>
      </c>
      <c r="N196" s="63" t="s">
        <v>7</v>
      </c>
      <c r="O196" s="58"/>
      <c r="P196" s="59">
        <v>45998</v>
      </c>
      <c r="Q196" s="100">
        <v>0.75</v>
      </c>
      <c r="R196" s="101">
        <v>1.125</v>
      </c>
      <c r="S196" s="102">
        <f t="shared" si="8"/>
        <v>112786.875</v>
      </c>
    </row>
    <row r="197" spans="1:19" x14ac:dyDescent="0.35">
      <c r="A197" s="55" t="s">
        <v>33</v>
      </c>
      <c r="B197" s="55" t="str">
        <f>+VLOOKUP($D197,[1]STS!$A$9:$E$1405,3,0)</f>
        <v>05</v>
      </c>
      <c r="C197" s="86">
        <f>+VLOOKUP($D197,[1]STS!$A$9:$E$1405,4,0)</f>
        <v>18</v>
      </c>
      <c r="D197" s="62" t="s">
        <v>79</v>
      </c>
      <c r="E197" s="97">
        <f>+IF(ISERROR(VLOOKUP($D197,[1]STS!$E$9:$G$1503,3,0)=0),0,VLOOKUP($D197,[1]STS!$E$9:$G$1503,3,0))</f>
        <v>8.68</v>
      </c>
      <c r="F197" s="103">
        <v>3.5</v>
      </c>
      <c r="G197" s="99">
        <f>+IF(ISERROR(VLOOKUP(D197,[1]STS!$E$9:$AO$1503,37,0)=0),0,VLOOKUP(D197,[1]STS!$E$9:$AO$1503,37,0))</f>
        <v>1.6451851080246949</v>
      </c>
      <c r="H197" s="80" t="str">
        <f>+IF(ISERROR(VLOOKUP(D197,[1]STS!$E$9:$I$1603,5,0)=0),0,VLOOKUP(D197,[1]STS!$E$9:$I$1603,5,0))</f>
        <v>SC</v>
      </c>
      <c r="I197" s="60"/>
      <c r="J197" s="66" t="str">
        <f>VLOOKUP(D197,[1]STS!$E$9:$BC$1359,51,0)</f>
        <v>F18</v>
      </c>
      <c r="K197" s="61"/>
      <c r="L197" s="78" t="str">
        <f>+VLOOKUP(N197,'[1]MSTR AKT'!$C$4:$E$460,3,0)</f>
        <v>Etri 2</v>
      </c>
      <c r="M197" s="81">
        <f>+IF(ISERROR(VLOOKUP($N197,'[1]MSTR AKT'!$C$4:$D$460,2,0)=0),0,VLOOKUP($N197,'[1]MSTR AKT'!$C$4:$D$460,2,0))</f>
        <v>1315131315</v>
      </c>
      <c r="N197" s="63" t="s">
        <v>7</v>
      </c>
      <c r="O197" s="58"/>
      <c r="P197" s="59">
        <v>46002</v>
      </c>
      <c r="Q197" s="100">
        <v>0.75</v>
      </c>
      <c r="R197" s="101">
        <v>2.625</v>
      </c>
      <c r="S197" s="102">
        <f t="shared" si="8"/>
        <v>263169.375</v>
      </c>
    </row>
    <row r="198" spans="1:19" x14ac:dyDescent="0.35">
      <c r="A198" s="55" t="s">
        <v>33</v>
      </c>
      <c r="B198" s="55" t="str">
        <f>+VLOOKUP($D198,[1]STS!$A$9:$E$1405,3,0)</f>
        <v>05</v>
      </c>
      <c r="C198" s="86">
        <f>+VLOOKUP($D198,[1]STS!$A$9:$E$1405,4,0)</f>
        <v>18</v>
      </c>
      <c r="D198" s="62" t="s">
        <v>376</v>
      </c>
      <c r="E198" s="97">
        <f>+IF(ISERROR(VLOOKUP($D198,[1]STS!$E$9:$G$1503,3,0)=0),0,VLOOKUP($D198,[1]STS!$E$9:$G$1503,3,0))</f>
        <v>4.93</v>
      </c>
      <c r="F198" s="103">
        <v>4</v>
      </c>
      <c r="G198" s="99">
        <f>+IF(ISERROR(VLOOKUP(D198,[1]STS!$E$9:$AO$1503,37,0)=0),0,VLOOKUP(D198,[1]STS!$E$9:$AO$1503,37,0))</f>
        <v>9.7118517746913611</v>
      </c>
      <c r="H198" s="80" t="str">
        <f>+IF(ISERROR(VLOOKUP(D198,[1]STS!$E$9:$I$1603,5,0)=0),0,VLOOKUP(D198,[1]STS!$E$9:$I$1603,5,0))</f>
        <v>FC</v>
      </c>
      <c r="I198" s="60"/>
      <c r="J198" s="66" t="str">
        <f>VLOOKUP(D198,[1]STS!$E$9:$BC$1359,51,0)</f>
        <v>GP3SS</v>
      </c>
      <c r="K198" s="61"/>
      <c r="L198" s="78" t="str">
        <f>+VLOOKUP(N198,'[1]MSTR AKT'!$C$4:$E$460,3,0)</f>
        <v>Etri 2</v>
      </c>
      <c r="M198" s="81">
        <f>+IF(ISERROR(VLOOKUP($N198,'[1]MSTR AKT'!$C$4:$D$460,2,0)=0),0,VLOOKUP($N198,'[1]MSTR AKT'!$C$4:$D$460,2,0))</f>
        <v>1315131513</v>
      </c>
      <c r="N198" s="63" t="s">
        <v>8</v>
      </c>
      <c r="O198" s="58"/>
      <c r="P198" s="59">
        <v>46003</v>
      </c>
      <c r="Q198" s="100">
        <v>2</v>
      </c>
      <c r="R198" s="101">
        <v>8</v>
      </c>
      <c r="S198" s="102">
        <f t="shared" si="8"/>
        <v>802040</v>
      </c>
    </row>
    <row r="199" spans="1:19" x14ac:dyDescent="0.35">
      <c r="A199" s="55" t="s">
        <v>33</v>
      </c>
      <c r="B199" s="55" t="str">
        <f>+VLOOKUP($D199,[1]STS!$A$9:$E$1405,3,0)</f>
        <v>05</v>
      </c>
      <c r="C199" s="86">
        <f>+VLOOKUP($D199,[1]STS!$A$9:$E$1405,4,0)</f>
        <v>18</v>
      </c>
      <c r="D199" s="62" t="s">
        <v>184</v>
      </c>
      <c r="E199" s="97">
        <f>+IF(ISERROR(VLOOKUP($D199,[1]STS!$E$9:$G$1503,3,0)=0),0,VLOOKUP($D199,[1]STS!$E$9:$G$1503,3,0))</f>
        <v>10.51</v>
      </c>
      <c r="F199" s="98">
        <v>3</v>
      </c>
      <c r="G199" s="99">
        <f>+IF(ISERROR(VLOOKUP(D199,[1]STS!$E$9:$AO$1503,37,0)=0),0,VLOOKUP(D199,[1]STS!$E$9:$AO$1503,37,0))</f>
        <v>9.8118517746913607</v>
      </c>
      <c r="H199" s="80" t="str">
        <f>+IF(ISERROR(VLOOKUP(D199,[1]STS!$E$9:$I$1603,5,0)=0),0,VLOOKUP(D199,[1]STS!$E$9:$I$1603,5,0))</f>
        <v>FC</v>
      </c>
      <c r="I199" s="60"/>
      <c r="J199" s="66" t="str">
        <f>VLOOKUP(D199,[1]STS!$E$9:$BC$1359,51,0)</f>
        <v>GP3SS</v>
      </c>
      <c r="K199" s="61"/>
      <c r="L199" s="78" t="str">
        <f>+VLOOKUP(N199,'[1]MSTR AKT'!$C$4:$E$460,3,0)</f>
        <v>Etri 2</v>
      </c>
      <c r="M199" s="81">
        <f>+IF(ISERROR(VLOOKUP($N199,'[1]MSTR AKT'!$C$4:$D$460,2,0)=0),0,VLOOKUP($N199,'[1]MSTR AKT'!$C$4:$D$460,2,0))</f>
        <v>1315131513</v>
      </c>
      <c r="N199" s="63" t="s">
        <v>8</v>
      </c>
      <c r="O199" s="58"/>
      <c r="P199" s="59">
        <v>45998</v>
      </c>
      <c r="Q199" s="100">
        <v>2</v>
      </c>
      <c r="R199" s="101">
        <v>6</v>
      </c>
      <c r="S199" s="102">
        <f t="shared" si="8"/>
        <v>601530</v>
      </c>
    </row>
    <row r="200" spans="1:19" x14ac:dyDescent="0.35">
      <c r="A200" s="55" t="s">
        <v>33</v>
      </c>
      <c r="B200" s="55" t="str">
        <f>+VLOOKUP($D200,[1]STS!$A$9:$E$1405,3,0)</f>
        <v>05</v>
      </c>
      <c r="C200" s="86">
        <f>+VLOOKUP($D200,[1]STS!$A$9:$E$1405,4,0)</f>
        <v>18</v>
      </c>
      <c r="D200" s="62" t="s">
        <v>262</v>
      </c>
      <c r="E200" s="97">
        <f>+IF(ISERROR(VLOOKUP($D200,[1]STS!$E$9:$G$1503,3,0)=0),0,VLOOKUP($D200,[1]STS!$E$9:$G$1503,3,0))</f>
        <v>8.98</v>
      </c>
      <c r="F200" s="103">
        <v>6</v>
      </c>
      <c r="G200" s="99">
        <f>+IF(ISERROR(VLOOKUP(D200,[1]STS!$E$9:$AO$1503,37,0)=0),0,VLOOKUP(D200,[1]STS!$E$9:$AO$1503,37,0))</f>
        <v>2.9451851080246949</v>
      </c>
      <c r="H200" s="80" t="str">
        <f>+IF(ISERROR(VLOOKUP(D200,[1]STS!$E$9:$I$1603,5,0)=0),0,VLOOKUP(D200,[1]STS!$E$9:$I$1603,5,0))</f>
        <v>FC</v>
      </c>
      <c r="I200" s="60"/>
      <c r="J200" s="66" t="str">
        <f>VLOOKUP(D200,[1]STS!$E$9:$BC$1359,51,0)</f>
        <v>F18CK</v>
      </c>
      <c r="K200" s="61"/>
      <c r="L200" s="78" t="str">
        <f>+VLOOKUP(N200,'[1]MSTR AKT'!$C$4:$E$460,3,0)</f>
        <v>Etri 2</v>
      </c>
      <c r="M200" s="81">
        <f>+IF(ISERROR(VLOOKUP($N200,'[1]MSTR AKT'!$C$4:$D$460,2,0)=0),0,VLOOKUP($N200,'[1]MSTR AKT'!$C$4:$D$460,2,0))</f>
        <v>1315131513</v>
      </c>
      <c r="N200" s="63" t="s">
        <v>8</v>
      </c>
      <c r="O200" s="58"/>
      <c r="P200" s="59">
        <v>46002</v>
      </c>
      <c r="Q200" s="100">
        <v>2</v>
      </c>
      <c r="R200" s="101">
        <v>12</v>
      </c>
      <c r="S200" s="102">
        <f t="shared" si="8"/>
        <v>1203060</v>
      </c>
    </row>
    <row r="201" spans="1:19" x14ac:dyDescent="0.35">
      <c r="A201" s="55" t="s">
        <v>33</v>
      </c>
      <c r="B201" s="55" t="str">
        <f>+VLOOKUP($D201,[1]STS!$A$9:$E$1405,3,0)</f>
        <v>05</v>
      </c>
      <c r="C201" s="86">
        <f>+VLOOKUP($D201,[1]STS!$A$9:$E$1405,4,0)</f>
        <v>18</v>
      </c>
      <c r="D201" s="62" t="s">
        <v>263</v>
      </c>
      <c r="E201" s="97">
        <f>+IF(ISERROR(VLOOKUP($D201,[1]STS!$E$9:$G$1503,3,0)=0),0,VLOOKUP($D201,[1]STS!$E$9:$G$1503,3,0))</f>
        <v>9.77</v>
      </c>
      <c r="F201" s="103">
        <v>3</v>
      </c>
      <c r="G201" s="99">
        <f>+IF(ISERROR(VLOOKUP(D201,[1]STS!$E$9:$AO$1503,37,0)=0),0,VLOOKUP(D201,[1]STS!$E$9:$AO$1503,37,0))</f>
        <v>3.1785184413580283</v>
      </c>
      <c r="H201" s="80" t="str">
        <f>+IF(ISERROR(VLOOKUP(D201,[1]STS!$E$9:$I$1603,5,0)=0),0,VLOOKUP(D201,[1]STS!$E$9:$I$1603,5,0))</f>
        <v>FC</v>
      </c>
      <c r="I201" s="60"/>
      <c r="J201" s="66" t="str">
        <f>VLOOKUP(D201,[1]STS!$E$9:$BC$1359,51,0)</f>
        <v>F18CK</v>
      </c>
      <c r="K201" s="61"/>
      <c r="L201" s="78" t="str">
        <f>+VLOOKUP(N201,'[1]MSTR AKT'!$C$4:$E$460,3,0)</f>
        <v>Etri 2</v>
      </c>
      <c r="M201" s="81">
        <f>+IF(ISERROR(VLOOKUP($N201,'[1]MSTR AKT'!$C$4:$D$460,2,0)=0),0,VLOOKUP($N201,'[1]MSTR AKT'!$C$4:$D$460,2,0))</f>
        <v>1315131513</v>
      </c>
      <c r="N201" s="63" t="s">
        <v>8</v>
      </c>
      <c r="O201" s="58"/>
      <c r="P201" s="59">
        <v>46003</v>
      </c>
      <c r="Q201" s="100">
        <v>2</v>
      </c>
      <c r="R201" s="101">
        <v>6</v>
      </c>
      <c r="S201" s="102">
        <f t="shared" si="8"/>
        <v>601530</v>
      </c>
    </row>
    <row r="202" spans="1:19" x14ac:dyDescent="0.35">
      <c r="A202" s="55" t="s">
        <v>33</v>
      </c>
      <c r="B202" s="55" t="str">
        <f>+VLOOKUP($D202,[1]STS!$A$9:$E$1405,3,0)</f>
        <v>05</v>
      </c>
      <c r="C202" s="86">
        <f>+VLOOKUP($D202,[1]STS!$A$9:$E$1405,4,0)</f>
        <v>18</v>
      </c>
      <c r="D202" s="62" t="s">
        <v>259</v>
      </c>
      <c r="E202" s="97">
        <f>+IF(ISERROR(VLOOKUP($D202,[1]STS!$E$9:$G$1503,3,0)=0),0,VLOOKUP($D202,[1]STS!$E$9:$G$1503,3,0))</f>
        <v>11.49</v>
      </c>
      <c r="F202" s="103">
        <v>5</v>
      </c>
      <c r="G202" s="99">
        <f>+IF(ISERROR(VLOOKUP(D202,[1]STS!$E$9:$AO$1503,37,0)=0),0,VLOOKUP(D202,[1]STS!$E$9:$AO$1503,37,0))</f>
        <v>2.045185108024695</v>
      </c>
      <c r="H202" s="80" t="str">
        <f>+IF(ISERROR(VLOOKUP(D202,[1]STS!$E$9:$I$1603,5,0)=0),0,VLOOKUP(D202,[1]STS!$E$9:$I$1603,5,0))</f>
        <v>FC</v>
      </c>
      <c r="I202" s="60"/>
      <c r="J202" s="66" t="str">
        <f>VLOOKUP(D202,[1]STS!$E$9:$BC$1359,51,0)</f>
        <v>GP3CK</v>
      </c>
      <c r="K202" s="61"/>
      <c r="L202" s="78" t="str">
        <f>+VLOOKUP(N202,'[1]MSTR AKT'!$C$4:$E$460,3,0)</f>
        <v>Etri 2</v>
      </c>
      <c r="M202" s="81">
        <f>+IF(ISERROR(VLOOKUP($N202,'[1]MSTR AKT'!$C$4:$D$460,2,0)=0),0,VLOOKUP($N202,'[1]MSTR AKT'!$C$4:$D$460,2,0))</f>
        <v>1315131513</v>
      </c>
      <c r="N202" s="63" t="s">
        <v>8</v>
      </c>
      <c r="O202" s="58"/>
      <c r="P202" s="59">
        <v>46002</v>
      </c>
      <c r="Q202" s="100">
        <v>2</v>
      </c>
      <c r="R202" s="101">
        <v>10</v>
      </c>
      <c r="S202" s="102">
        <f t="shared" si="8"/>
        <v>1002550</v>
      </c>
    </row>
    <row r="203" spans="1:19" x14ac:dyDescent="0.35">
      <c r="A203" s="55" t="s">
        <v>33</v>
      </c>
      <c r="B203" s="55" t="str">
        <f>+VLOOKUP($D203,[1]STS!$A$9:$E$1405,3,0)</f>
        <v>05</v>
      </c>
      <c r="C203" s="86">
        <f>+VLOOKUP($D203,[1]STS!$A$9:$E$1405,4,0)</f>
        <v>18</v>
      </c>
      <c r="D203" s="62" t="s">
        <v>254</v>
      </c>
      <c r="E203" s="97">
        <f>+IF(ISERROR(VLOOKUP($D203,[1]STS!$E$9:$G$1503,3,0)=0),0,VLOOKUP($D203,[1]STS!$E$9:$G$1503,3,0))</f>
        <v>7.7</v>
      </c>
      <c r="F203" s="103">
        <v>3</v>
      </c>
      <c r="G203" s="99">
        <f>+IF(ISERROR(VLOOKUP(D203,[1]STS!$E$9:$AO$1503,37,0)=0),0,VLOOKUP(D203,[1]STS!$E$9:$AO$1503,37,0))</f>
        <v>1.0785184413580282</v>
      </c>
      <c r="H203" s="80" t="str">
        <f>+IF(ISERROR(VLOOKUP(D203,[1]STS!$E$9:$I$1603,5,0)=0),0,VLOOKUP(D203,[1]STS!$E$9:$I$1603,5,0))</f>
        <v>FC</v>
      </c>
      <c r="I203" s="60"/>
      <c r="J203" s="66" t="str">
        <f>VLOOKUP(D203,[1]STS!$E$9:$BC$1359,51,0)</f>
        <v>GP3CK</v>
      </c>
      <c r="K203" s="61"/>
      <c r="L203" s="78" t="str">
        <f>+VLOOKUP(N203,'[1]MSTR AKT'!$C$4:$E$460,3,0)</f>
        <v>Etri 2</v>
      </c>
      <c r="M203" s="81">
        <f>+IF(ISERROR(VLOOKUP($N203,'[1]MSTR AKT'!$C$4:$D$460,2,0)=0),0,VLOOKUP($N203,'[1]MSTR AKT'!$C$4:$D$460,2,0))</f>
        <v>1315131513</v>
      </c>
      <c r="N203" s="63" t="s">
        <v>8</v>
      </c>
      <c r="O203" s="58"/>
      <c r="P203" s="59">
        <v>46003</v>
      </c>
      <c r="Q203" s="100">
        <v>2</v>
      </c>
      <c r="R203" s="101">
        <v>6</v>
      </c>
      <c r="S203" s="102">
        <f t="shared" si="8"/>
        <v>601530</v>
      </c>
    </row>
    <row r="204" spans="1:19" x14ac:dyDescent="0.35">
      <c r="A204" s="55" t="s">
        <v>33</v>
      </c>
      <c r="B204" s="55" t="str">
        <f>+VLOOKUP($D204,[1]STS!$A$9:$E$1405,3,0)</f>
        <v>05</v>
      </c>
      <c r="C204" s="86">
        <f>+VLOOKUP($D204,[1]STS!$A$9:$E$1405,4,0)</f>
        <v>18</v>
      </c>
      <c r="D204" s="62" t="s">
        <v>253</v>
      </c>
      <c r="E204" s="97">
        <f>+IF(ISERROR(VLOOKUP($D204,[1]STS!$E$9:$G$1503,3,0)=0),0,VLOOKUP($D204,[1]STS!$E$9:$G$1503,3,0))</f>
        <v>6.55</v>
      </c>
      <c r="F204" s="103">
        <v>4</v>
      </c>
      <c r="G204" s="99">
        <f>+IF(ISERROR(VLOOKUP(D204,[1]STS!$E$9:$AO$1503,37,0)=0),0,VLOOKUP(D204,[1]STS!$E$9:$AO$1503,37,0))</f>
        <v>1.0785184413580282</v>
      </c>
      <c r="H204" s="80" t="str">
        <f>+IF(ISERROR(VLOOKUP(D204,[1]STS!$E$9:$I$1603,5,0)=0),0,VLOOKUP(D204,[1]STS!$E$9:$I$1603,5,0))</f>
        <v>FC</v>
      </c>
      <c r="I204" s="60"/>
      <c r="J204" s="66" t="str">
        <f>VLOOKUP(D204,[1]STS!$E$9:$BC$1359,51,0)</f>
        <v>GP3CK</v>
      </c>
      <c r="K204" s="61"/>
      <c r="L204" s="78" t="str">
        <f>+VLOOKUP(N204,'[1]MSTR AKT'!$C$4:$E$460,3,0)</f>
        <v>Etri 2</v>
      </c>
      <c r="M204" s="81">
        <f>+IF(ISERROR(VLOOKUP($N204,'[1]MSTR AKT'!$C$4:$D$460,2,0)=0),0,VLOOKUP($N204,'[1]MSTR AKT'!$C$4:$D$460,2,0))</f>
        <v>1315131513</v>
      </c>
      <c r="N204" s="63" t="s">
        <v>8</v>
      </c>
      <c r="O204" s="58"/>
      <c r="P204" s="59">
        <v>46003</v>
      </c>
      <c r="Q204" s="100">
        <v>2</v>
      </c>
      <c r="R204" s="101">
        <v>8</v>
      </c>
      <c r="S204" s="102">
        <f t="shared" si="8"/>
        <v>802040</v>
      </c>
    </row>
    <row r="205" spans="1:19" x14ac:dyDescent="0.35">
      <c r="A205" s="55" t="s">
        <v>33</v>
      </c>
      <c r="B205" s="55" t="str">
        <f>+VLOOKUP($D205,[1]STS!$A$9:$E$1405,3,0)</f>
        <v>05</v>
      </c>
      <c r="C205" s="86">
        <f>+VLOOKUP($D205,[1]STS!$A$9:$E$1405,4,0)</f>
        <v>18</v>
      </c>
      <c r="D205" s="62" t="s">
        <v>94</v>
      </c>
      <c r="E205" s="97">
        <f>+IF(ISERROR(VLOOKUP($D205,[1]STS!$E$9:$G$1503,3,0)=0),0,VLOOKUP($D205,[1]STS!$E$9:$G$1503,3,0))</f>
        <v>12.79</v>
      </c>
      <c r="F205" s="98">
        <v>5</v>
      </c>
      <c r="G205" s="99">
        <f>+IF(ISERROR(VLOOKUP(D205,[1]STS!$E$9:$AO$1503,37,0)=0),0,VLOOKUP(D205,[1]STS!$E$9:$AO$1503,37,0))</f>
        <v>7.1118517746913614</v>
      </c>
      <c r="H205" s="80" t="str">
        <f>+IF(ISERROR(VLOOKUP(D205,[1]STS!$E$9:$I$1603,5,0)=0),0,VLOOKUP(D205,[1]STS!$E$9:$I$1603,5,0))</f>
        <v>FC</v>
      </c>
      <c r="I205" s="60"/>
      <c r="J205" s="66" t="str">
        <f>VLOOKUP(D205,[1]STS!$E$9:$BC$1359,51,0)</f>
        <v>GP3CK</v>
      </c>
      <c r="K205" s="61"/>
      <c r="L205" s="78" t="str">
        <f>+VLOOKUP(N205,'[1]MSTR AKT'!$C$4:$E$460,3,0)</f>
        <v>Etri 2</v>
      </c>
      <c r="M205" s="81">
        <f>+IF(ISERROR(VLOOKUP($N205,'[1]MSTR AKT'!$C$4:$D$460,2,0)=0),0,VLOOKUP($N205,'[1]MSTR AKT'!$C$4:$D$460,2,0))</f>
        <v>1315131513</v>
      </c>
      <c r="N205" s="63" t="s">
        <v>8</v>
      </c>
      <c r="O205" s="58"/>
      <c r="P205" s="59">
        <v>45998</v>
      </c>
      <c r="Q205" s="100">
        <v>2</v>
      </c>
      <c r="R205" s="101">
        <v>10</v>
      </c>
      <c r="S205" s="102">
        <f t="shared" si="8"/>
        <v>1002550</v>
      </c>
    </row>
    <row r="206" spans="1:19" x14ac:dyDescent="0.35">
      <c r="A206" s="55" t="s">
        <v>33</v>
      </c>
      <c r="B206" s="55" t="str">
        <f>+VLOOKUP($D206,[1]STS!$A$9:$E$1405,3,0)</f>
        <v>05</v>
      </c>
      <c r="C206" s="86">
        <f>+VLOOKUP($D206,[1]STS!$A$9:$E$1405,4,0)</f>
        <v>18</v>
      </c>
      <c r="D206" s="62" t="s">
        <v>185</v>
      </c>
      <c r="E206" s="97">
        <f>+IF(ISERROR(VLOOKUP($D206,[1]STS!$E$9:$G$1503,3,0)=0),0,VLOOKUP($D206,[1]STS!$E$9:$G$1503,3,0))</f>
        <v>9.94</v>
      </c>
      <c r="F206" s="103">
        <v>5</v>
      </c>
      <c r="G206" s="99">
        <f>+IF(ISERROR(VLOOKUP(D206,[1]STS!$E$9:$AO$1503,37,0)=0),0,VLOOKUP(D206,[1]STS!$E$9:$AO$1503,37,0))</f>
        <v>5.045185108024695</v>
      </c>
      <c r="H206" s="80" t="str">
        <f>+IF(ISERROR(VLOOKUP(D206,[1]STS!$E$9:$I$1603,5,0)=0),0,VLOOKUP(D206,[1]STS!$E$9:$I$1603,5,0))</f>
        <v>FC</v>
      </c>
      <c r="I206" s="60"/>
      <c r="J206" s="66" t="str">
        <f>VLOOKUP(D206,[1]STS!$E$9:$BC$1359,51,0)</f>
        <v>GP3CK</v>
      </c>
      <c r="K206" s="61"/>
      <c r="L206" s="78" t="str">
        <f>+VLOOKUP(N206,'[1]MSTR AKT'!$C$4:$E$460,3,0)</f>
        <v>Etri 2</v>
      </c>
      <c r="M206" s="81">
        <f>+IF(ISERROR(VLOOKUP($N206,'[1]MSTR AKT'!$C$4:$D$460,2,0)=0),0,VLOOKUP($N206,'[1]MSTR AKT'!$C$4:$D$460,2,0))</f>
        <v>1315131513</v>
      </c>
      <c r="N206" s="63" t="s">
        <v>8</v>
      </c>
      <c r="O206" s="58"/>
      <c r="P206" s="59">
        <v>46002</v>
      </c>
      <c r="Q206" s="100">
        <v>2</v>
      </c>
      <c r="R206" s="101">
        <v>10</v>
      </c>
      <c r="S206" s="102">
        <f t="shared" si="8"/>
        <v>1002550</v>
      </c>
    </row>
    <row r="207" spans="1:19" x14ac:dyDescent="0.35">
      <c r="A207" s="55" t="s">
        <v>33</v>
      </c>
      <c r="B207" s="55" t="str">
        <f>+VLOOKUP($D207,[1]STS!$A$9:$E$1405,3,0)</f>
        <v>05</v>
      </c>
      <c r="C207" s="86">
        <f>+VLOOKUP($D207,[1]STS!$A$9:$E$1405,4,0)</f>
        <v>18</v>
      </c>
      <c r="D207" s="62" t="s">
        <v>95</v>
      </c>
      <c r="E207" s="97">
        <f>+IF(ISERROR(VLOOKUP($D207,[1]STS!$E$9:$G$1503,3,0)=0),0,VLOOKUP($D207,[1]STS!$E$9:$G$1503,3,0))</f>
        <v>14.88</v>
      </c>
      <c r="F207" s="103">
        <v>5</v>
      </c>
      <c r="G207" s="99">
        <f>+IF(ISERROR(VLOOKUP(D207,[1]STS!$E$9:$AO$1503,37,0)=0),0,VLOOKUP(D207,[1]STS!$E$9:$AO$1503,37,0))</f>
        <v>6.6118517746913614</v>
      </c>
      <c r="H207" s="80" t="str">
        <f>+IF(ISERROR(VLOOKUP(D207,[1]STS!$E$9:$I$1603,5,0)=0),0,VLOOKUP(D207,[1]STS!$E$9:$I$1603,5,0))</f>
        <v>FC</v>
      </c>
      <c r="I207" s="60"/>
      <c r="J207" s="66" t="str">
        <f>VLOOKUP(D207,[1]STS!$E$9:$BC$1359,51,0)</f>
        <v>F18CK</v>
      </c>
      <c r="K207" s="61"/>
      <c r="L207" s="78" t="str">
        <f>+VLOOKUP(N207,'[1]MSTR AKT'!$C$4:$E$460,3,0)</f>
        <v>Etri 2</v>
      </c>
      <c r="M207" s="81">
        <f>+IF(ISERROR(VLOOKUP($N207,'[1]MSTR AKT'!$C$4:$D$460,2,0)=0),0,VLOOKUP($N207,'[1]MSTR AKT'!$C$4:$D$460,2,0))</f>
        <v>1315131517</v>
      </c>
      <c r="N207" s="63" t="s">
        <v>4</v>
      </c>
      <c r="O207" s="58"/>
      <c r="P207" s="59">
        <v>46003</v>
      </c>
      <c r="Q207" s="100">
        <v>2</v>
      </c>
      <c r="R207" s="101">
        <v>10</v>
      </c>
      <c r="S207" s="102">
        <f t="shared" si="8"/>
        <v>1002550</v>
      </c>
    </row>
    <row r="208" spans="1:19" x14ac:dyDescent="0.35">
      <c r="A208" s="55" t="s">
        <v>33</v>
      </c>
      <c r="B208" s="55" t="str">
        <f>+VLOOKUP($D208,[1]STS!$A$9:$E$1405,3,0)</f>
        <v>05</v>
      </c>
      <c r="C208" s="86">
        <f>+VLOOKUP($D208,[1]STS!$A$9:$E$1405,4,0)</f>
        <v>18</v>
      </c>
      <c r="D208" s="62" t="s">
        <v>43</v>
      </c>
      <c r="E208" s="97">
        <f>+IF(ISERROR(VLOOKUP($D208,[1]STS!$E$9:$G$1503,3,0)=0),0,VLOOKUP($D208,[1]STS!$E$9:$G$1503,3,0))</f>
        <v>9.1</v>
      </c>
      <c r="F208" s="98">
        <v>3</v>
      </c>
      <c r="G208" s="99">
        <f>+IF(ISERROR(VLOOKUP(D208,[1]STS!$E$9:$AO$1503,37,0)=0),0,VLOOKUP(D208,[1]STS!$E$9:$AO$1503,37,0))</f>
        <v>12.811851774691361</v>
      </c>
      <c r="H208" s="80" t="str">
        <f>+IF(ISERROR(VLOOKUP(D208,[1]STS!$E$9:$I$1603,5,0)=0),0,VLOOKUP(D208,[1]STS!$E$9:$I$1603,5,0))</f>
        <v>FC</v>
      </c>
      <c r="I208" s="60"/>
      <c r="J208" s="66" t="str">
        <f>VLOOKUP(D208,[1]STS!$E$9:$BC$1359,51,0)</f>
        <v>F18CK</v>
      </c>
      <c r="K208" s="61"/>
      <c r="L208" s="78" t="str">
        <f>+VLOOKUP(N208,'[1]MSTR AKT'!$C$4:$E$460,3,0)</f>
        <v>Etri 2</v>
      </c>
      <c r="M208" s="81">
        <f>+IF(ISERROR(VLOOKUP($N208,'[1]MSTR AKT'!$C$4:$D$460,2,0)=0),0,VLOOKUP($N208,'[1]MSTR AKT'!$C$4:$D$460,2,0))</f>
        <v>1315131517</v>
      </c>
      <c r="N208" s="63" t="s">
        <v>4</v>
      </c>
      <c r="O208" s="58"/>
      <c r="P208" s="59">
        <v>45998</v>
      </c>
      <c r="Q208" s="100">
        <v>2</v>
      </c>
      <c r="R208" s="101">
        <v>6</v>
      </c>
      <c r="S208" s="102">
        <f t="shared" si="8"/>
        <v>601530</v>
      </c>
    </row>
    <row r="209" spans="1:19" x14ac:dyDescent="0.35">
      <c r="A209" s="55" t="s">
        <v>33</v>
      </c>
      <c r="B209" s="55" t="str">
        <f>+VLOOKUP($D209,[1]STS!$A$9:$E$1405,3,0)</f>
        <v>05</v>
      </c>
      <c r="C209" s="86">
        <f>+VLOOKUP($D209,[1]STS!$A$9:$E$1405,4,0)</f>
        <v>18</v>
      </c>
      <c r="D209" s="62" t="s">
        <v>377</v>
      </c>
      <c r="E209" s="97">
        <f>+IF(ISERROR(VLOOKUP($D209,[1]STS!$E$9:$G$1503,3,0)=0),0,VLOOKUP($D209,[1]STS!$E$9:$G$1503,3,0))</f>
        <v>5.65</v>
      </c>
      <c r="F209" s="103">
        <v>2</v>
      </c>
      <c r="G209" s="99">
        <f>+IF(ISERROR(VLOOKUP(D209,[1]STS!$E$9:$AO$1503,37,0)=0),0,VLOOKUP(D209,[1]STS!$E$9:$AO$1503,37,0))</f>
        <v>0.24518510802469487</v>
      </c>
      <c r="H209" s="80" t="str">
        <f>+IF(ISERROR(VLOOKUP(D209,[1]STS!$E$9:$I$1603,5,0)=0),0,VLOOKUP(D209,[1]STS!$E$9:$I$1603,5,0))</f>
        <v>SC</v>
      </c>
      <c r="I209" s="60"/>
      <c r="J209" s="66" t="str">
        <f>VLOOKUP(D209,[1]STS!$E$9:$BC$1359,51,0)</f>
        <v>F18</v>
      </c>
      <c r="K209" s="61"/>
      <c r="L209" s="78" t="str">
        <f>+VLOOKUP(N209,'[1]MSTR AKT'!$C$4:$E$460,3,0)</f>
        <v>Etri 2</v>
      </c>
      <c r="M209" s="81">
        <f>+IF(ISERROR(VLOOKUP($N209,'[1]MSTR AKT'!$C$4:$D$460,2,0)=0),0,VLOOKUP($N209,'[1]MSTR AKT'!$C$4:$D$460,2,0))</f>
        <v>1315131517</v>
      </c>
      <c r="N209" s="63" t="s">
        <v>4</v>
      </c>
      <c r="O209" s="58"/>
      <c r="P209" s="59">
        <v>46002</v>
      </c>
      <c r="Q209" s="100">
        <v>2</v>
      </c>
      <c r="R209" s="101">
        <v>4</v>
      </c>
      <c r="S209" s="102">
        <f t="shared" si="8"/>
        <v>401020</v>
      </c>
    </row>
    <row r="210" spans="1:19" x14ac:dyDescent="0.35">
      <c r="A210" s="55" t="s">
        <v>33</v>
      </c>
      <c r="B210" s="55" t="str">
        <f>+VLOOKUP($D210,[1]STS!$A$9:$E$1405,3,0)</f>
        <v>05</v>
      </c>
      <c r="C210" s="86">
        <f>+VLOOKUP($D210,[1]STS!$A$9:$E$1405,4,0)</f>
        <v>18</v>
      </c>
      <c r="D210" s="62" t="s">
        <v>261</v>
      </c>
      <c r="E210" s="97">
        <f>+IF(ISERROR(VLOOKUP($D210,[1]STS!$E$9:$G$1503,3,0)=0),0,VLOOKUP($D210,[1]STS!$E$9:$G$1503,3,0))</f>
        <v>6.44</v>
      </c>
      <c r="F210" s="103">
        <v>3</v>
      </c>
      <c r="G210" s="99">
        <f>+IF(ISERROR(VLOOKUP(D210,[1]STS!$E$9:$AO$1503,37,0)=0),0,VLOOKUP(D210,[1]STS!$E$9:$AO$1503,37,0))</f>
        <v>9.8785184413580289</v>
      </c>
      <c r="H210" s="80" t="str">
        <f>+IF(ISERROR(VLOOKUP(D210,[1]STS!$E$9:$I$1603,5,0)=0),0,VLOOKUP(D210,[1]STS!$E$9:$I$1603,5,0))</f>
        <v>SC</v>
      </c>
      <c r="I210" s="60"/>
      <c r="J210" s="66" t="str">
        <f>VLOOKUP(D210,[1]STS!$E$9:$BC$1359,51,0)</f>
        <v>F18</v>
      </c>
      <c r="K210" s="61"/>
      <c r="L210" s="78" t="str">
        <f>+VLOOKUP(N210,'[1]MSTR AKT'!$C$4:$E$460,3,0)</f>
        <v>Etri 2</v>
      </c>
      <c r="M210" s="81">
        <f>+IF(ISERROR(VLOOKUP($N210,'[1]MSTR AKT'!$C$4:$D$460,2,0)=0),0,VLOOKUP($N210,'[1]MSTR AKT'!$C$4:$D$460,2,0))</f>
        <v>1315131517</v>
      </c>
      <c r="N210" s="63" t="s">
        <v>4</v>
      </c>
      <c r="O210" s="58"/>
      <c r="P210" s="59">
        <v>46001</v>
      </c>
      <c r="Q210" s="100">
        <v>2</v>
      </c>
      <c r="R210" s="101">
        <v>6</v>
      </c>
      <c r="S210" s="102">
        <f t="shared" si="8"/>
        <v>601530</v>
      </c>
    </row>
    <row r="211" spans="1:19" x14ac:dyDescent="0.35">
      <c r="A211" s="55" t="s">
        <v>33</v>
      </c>
      <c r="B211" s="55" t="str">
        <f>+VLOOKUP($D211,[1]STS!$A$9:$E$1405,3,0)</f>
        <v>05</v>
      </c>
      <c r="C211" s="86">
        <f>+VLOOKUP($D211,[1]STS!$A$9:$E$1405,4,0)</f>
        <v>18</v>
      </c>
      <c r="D211" s="62" t="s">
        <v>79</v>
      </c>
      <c r="E211" s="97">
        <f>+IF(ISERROR(VLOOKUP($D211,[1]STS!$E$9:$G$1503,3,0)=0),0,VLOOKUP($D211,[1]STS!$E$9:$G$1503,3,0))</f>
        <v>8.68</v>
      </c>
      <c r="F211" s="103">
        <v>2</v>
      </c>
      <c r="G211" s="99">
        <f>+IF(ISERROR(VLOOKUP(D211,[1]STS!$E$9:$AO$1503,37,0)=0),0,VLOOKUP(D211,[1]STS!$E$9:$AO$1503,37,0))</f>
        <v>1.6451851080246949</v>
      </c>
      <c r="H211" s="80" t="str">
        <f>+IF(ISERROR(VLOOKUP(D211,[1]STS!$E$9:$I$1603,5,0)=0),0,VLOOKUP(D211,[1]STS!$E$9:$I$1603,5,0))</f>
        <v>SC</v>
      </c>
      <c r="I211" s="60"/>
      <c r="J211" s="66" t="str">
        <f>VLOOKUP(D211,[1]STS!$E$9:$BC$1359,51,0)</f>
        <v>F18</v>
      </c>
      <c r="K211" s="61"/>
      <c r="L211" s="78" t="str">
        <f>+VLOOKUP(N211,'[1]MSTR AKT'!$C$4:$E$460,3,0)</f>
        <v>Etri 2</v>
      </c>
      <c r="M211" s="81">
        <f>+IF(ISERROR(VLOOKUP($N211,'[1]MSTR AKT'!$C$4:$D$460,2,0)=0),0,VLOOKUP($N211,'[1]MSTR AKT'!$C$4:$D$460,2,0))</f>
        <v>1315131517</v>
      </c>
      <c r="N211" s="63" t="s">
        <v>4</v>
      </c>
      <c r="O211" s="58"/>
      <c r="P211" s="59">
        <v>46002</v>
      </c>
      <c r="Q211" s="100">
        <v>2</v>
      </c>
      <c r="R211" s="101">
        <v>4</v>
      </c>
      <c r="S211" s="102">
        <f t="shared" si="8"/>
        <v>401020</v>
      </c>
    </row>
    <row r="212" spans="1:19" x14ac:dyDescent="0.35">
      <c r="A212" s="55" t="s">
        <v>33</v>
      </c>
      <c r="B212" s="55" t="str">
        <f>+VLOOKUP($D212,[1]STS!$A$9:$E$1405,3,0)</f>
        <v>05</v>
      </c>
      <c r="C212" s="86">
        <f>+VLOOKUP($D212,[1]STS!$A$9:$E$1405,4,0)</f>
        <v>18</v>
      </c>
      <c r="D212" s="62" t="s">
        <v>123</v>
      </c>
      <c r="E212" s="97">
        <f>+IF(ISERROR(VLOOKUP($D212,[1]STS!$E$9:$G$1503,3,0)=0),0,VLOOKUP($D212,[1]STS!$E$9:$G$1503,3,0))</f>
        <v>7.92</v>
      </c>
      <c r="F212" s="103">
        <v>2</v>
      </c>
      <c r="G212" s="99">
        <f>+IF(ISERROR(VLOOKUP(D212,[1]STS!$E$9:$AO$1503,37,0)=0),0,VLOOKUP(D212,[1]STS!$E$9:$AO$1503,37,0))</f>
        <v>2.8118517746913616</v>
      </c>
      <c r="H212" s="80" t="str">
        <f>+IF(ISERROR(VLOOKUP(D212,[1]STS!$E$9:$I$1603,5,0)=0),0,VLOOKUP(D212,[1]STS!$E$9:$I$1603,5,0))</f>
        <v>SC</v>
      </c>
      <c r="I212" s="60"/>
      <c r="J212" s="66" t="str">
        <f>VLOOKUP(D212,[1]STS!$E$9:$BC$1359,51,0)</f>
        <v>F18</v>
      </c>
      <c r="K212" s="61"/>
      <c r="L212" s="78" t="str">
        <f>+VLOOKUP(N212,'[1]MSTR AKT'!$C$4:$E$460,3,0)</f>
        <v>Etri 2</v>
      </c>
      <c r="M212" s="81">
        <f>+IF(ISERROR(VLOOKUP($N212,'[1]MSTR AKT'!$C$4:$D$460,2,0)=0),0,VLOOKUP($N212,'[1]MSTR AKT'!$C$4:$D$460,2,0))</f>
        <v>1315131517</v>
      </c>
      <c r="N212" s="63" t="s">
        <v>4</v>
      </c>
      <c r="O212" s="58"/>
      <c r="P212" s="59">
        <v>45998</v>
      </c>
      <c r="Q212" s="100">
        <v>2</v>
      </c>
      <c r="R212" s="101">
        <v>4</v>
      </c>
      <c r="S212" s="102">
        <f>+R212*100255</f>
        <v>401020</v>
      </c>
    </row>
    <row r="213" spans="1:19" x14ac:dyDescent="0.35">
      <c r="A213" s="55" t="s">
        <v>33</v>
      </c>
      <c r="B213" s="55" t="str">
        <f>+VLOOKUP($D213,[1]STS!$A$9:$E$1405,3,0)</f>
        <v>05</v>
      </c>
      <c r="C213" s="86">
        <f>+VLOOKUP($D213,[1]STS!$A$9:$E$1405,4,0)</f>
        <v>18</v>
      </c>
      <c r="D213" s="62" t="s">
        <v>66</v>
      </c>
      <c r="E213" s="97">
        <f>+IF(ISERROR(VLOOKUP($D213,[1]STS!$E$9:$G$1503,3,0)=0),0,VLOOKUP($D213,[1]STS!$E$9:$G$1503,3,0))</f>
        <v>10.039999999999999</v>
      </c>
      <c r="F213" s="103">
        <v>4</v>
      </c>
      <c r="G213" s="99">
        <f>+IF(ISERROR(VLOOKUP(D213,[1]STS!$E$9:$AO$1503,37,0)=0),0,VLOOKUP(D213,[1]STS!$E$9:$AO$1503,37,0))</f>
        <v>8.6118517746913614</v>
      </c>
      <c r="H213" s="80" t="str">
        <f>+IF(ISERROR(VLOOKUP(D213,[1]STS!$E$9:$I$1603,5,0)=0),0,VLOOKUP(D213,[1]STS!$E$9:$I$1603,5,0))</f>
        <v>FC</v>
      </c>
      <c r="I213" s="60"/>
      <c r="J213" s="66" t="str">
        <f>VLOOKUP(D213,[1]STS!$E$9:$BC$1359,51,0)</f>
        <v>F18SS</v>
      </c>
      <c r="K213" s="61"/>
      <c r="L213" s="78" t="str">
        <f>+VLOOKUP(N213,'[1]MSTR AKT'!$C$4:$E$460,3,0)</f>
        <v>Etri 2</v>
      </c>
      <c r="M213" s="81">
        <f>+IF(ISERROR(VLOOKUP($N213,'[1]MSTR AKT'!$C$4:$D$460,2,0)=0),0,VLOOKUP($N213,'[1]MSTR AKT'!$C$4:$D$460,2,0))</f>
        <v>1315131517</v>
      </c>
      <c r="N213" s="63" t="s">
        <v>4</v>
      </c>
      <c r="O213" s="58"/>
      <c r="P213" s="59">
        <v>45999</v>
      </c>
      <c r="Q213" s="100">
        <v>2</v>
      </c>
      <c r="R213" s="101">
        <v>8</v>
      </c>
      <c r="S213" s="102">
        <f>+R213*100255</f>
        <v>802040</v>
      </c>
    </row>
    <row r="214" spans="1:19" x14ac:dyDescent="0.35">
      <c r="A214" s="55" t="s">
        <v>33</v>
      </c>
      <c r="B214" s="55" t="str">
        <f>+VLOOKUP($D214,[1]STS!$A$9:$E$1405,3,0)</f>
        <v>05</v>
      </c>
      <c r="C214" s="86">
        <f>+VLOOKUP($D214,[1]STS!$A$9:$E$1405,4,0)</f>
        <v>18</v>
      </c>
      <c r="D214" s="62" t="s">
        <v>211</v>
      </c>
      <c r="E214" s="97">
        <f>+IF(ISERROR(VLOOKUP($D214,[1]STS!$E$9:$G$1503,3,0)=0),0,VLOOKUP($D214,[1]STS!$E$9:$G$1503,3,0))</f>
        <v>8.7899999999999991</v>
      </c>
      <c r="F214" s="103">
        <v>4</v>
      </c>
      <c r="G214" s="99">
        <f>+IF(ISERROR(VLOOKUP(D214,[1]STS!$E$9:$AO$1503,37,0)=0),0,VLOOKUP(D214,[1]STS!$E$9:$AO$1503,37,0))</f>
        <v>3.4785184413580281</v>
      </c>
      <c r="H214" s="80" t="str">
        <f>+IF(ISERROR(VLOOKUP(D214,[1]STS!$E$9:$I$1603,5,0)=0),0,VLOOKUP(D214,[1]STS!$E$9:$I$1603,5,0))</f>
        <v>FC</v>
      </c>
      <c r="I214" s="60"/>
      <c r="J214" s="66" t="str">
        <f>VLOOKUP(D214,[1]STS!$E$9:$BC$1359,51,0)</f>
        <v>F18CK</v>
      </c>
      <c r="K214" s="61"/>
      <c r="L214" s="78" t="str">
        <f>+VLOOKUP(N214,'[1]MSTR AKT'!$C$4:$E$460,3,0)</f>
        <v>Etri 2</v>
      </c>
      <c r="M214" s="81">
        <f>+IF(ISERROR(VLOOKUP($N214,'[1]MSTR AKT'!$C$4:$D$460,2,0)=0),0,VLOOKUP($N214,'[1]MSTR AKT'!$C$4:$D$460,2,0))</f>
        <v>1315131517</v>
      </c>
      <c r="N214" s="63" t="s">
        <v>4</v>
      </c>
      <c r="O214" s="58"/>
      <c r="P214" s="59">
        <v>46000</v>
      </c>
      <c r="Q214" s="100">
        <v>2</v>
      </c>
      <c r="R214" s="101">
        <v>8</v>
      </c>
      <c r="S214" s="102">
        <f t="shared" ref="S214:S233" si="9">+R214*100255</f>
        <v>802040</v>
      </c>
    </row>
    <row r="215" spans="1:19" x14ac:dyDescent="0.35">
      <c r="A215" s="55" t="s">
        <v>33</v>
      </c>
      <c r="B215" s="55" t="str">
        <f>+VLOOKUP($D215,[1]STS!$A$9:$E$1405,3,0)</f>
        <v>05</v>
      </c>
      <c r="C215" s="86">
        <f>+VLOOKUP($D215,[1]STS!$A$9:$E$1405,4,0)</f>
        <v>18</v>
      </c>
      <c r="D215" s="62" t="s">
        <v>264</v>
      </c>
      <c r="E215" s="97">
        <f>+IF(ISERROR(VLOOKUP($D215,[1]STS!$E$9:$G$1503,3,0)=0),0,VLOOKUP($D215,[1]STS!$E$9:$G$1503,3,0))</f>
        <v>11.34</v>
      </c>
      <c r="F215" s="103">
        <v>4</v>
      </c>
      <c r="G215" s="99">
        <f>+IF(ISERROR(VLOOKUP(D215,[1]STS!$E$9:$AO$1503,37,0)=0),0,VLOOKUP(D215,[1]STS!$E$9:$AO$1503,37,0))</f>
        <v>11.478518441358029</v>
      </c>
      <c r="H215" s="80" t="str">
        <f>+IF(ISERROR(VLOOKUP(D215,[1]STS!$E$9:$I$1603,5,0)=0),0,VLOOKUP(D215,[1]STS!$E$9:$I$1603,5,0))</f>
        <v>FC</v>
      </c>
      <c r="I215" s="60"/>
      <c r="J215" s="66" t="str">
        <f>VLOOKUP(D215,[1]STS!$E$9:$BC$1359,51,0)</f>
        <v>GP3CK</v>
      </c>
      <c r="K215" s="61"/>
      <c r="L215" s="78" t="str">
        <f>+VLOOKUP(N215,'[1]MSTR AKT'!$C$4:$E$460,3,0)</f>
        <v>Etri 2</v>
      </c>
      <c r="M215" s="81">
        <f>+IF(ISERROR(VLOOKUP($N215,'[1]MSTR AKT'!$C$4:$D$460,2,0)=0),0,VLOOKUP($N215,'[1]MSTR AKT'!$C$4:$D$460,2,0))</f>
        <v>1315131517</v>
      </c>
      <c r="N215" s="63" t="s">
        <v>4</v>
      </c>
      <c r="O215" s="58"/>
      <c r="P215" s="59">
        <v>46001</v>
      </c>
      <c r="Q215" s="100">
        <v>2</v>
      </c>
      <c r="R215" s="101">
        <v>8</v>
      </c>
      <c r="S215" s="102">
        <f t="shared" si="9"/>
        <v>802040</v>
      </c>
    </row>
    <row r="216" spans="1:19" x14ac:dyDescent="0.35">
      <c r="A216" s="55" t="s">
        <v>33</v>
      </c>
      <c r="B216" s="55" t="str">
        <f>+VLOOKUP($D216,[1]STS!$A$9:$E$1405,3,0)</f>
        <v>05</v>
      </c>
      <c r="C216" s="86">
        <f>+VLOOKUP($D216,[1]STS!$A$9:$E$1405,4,0)</f>
        <v>18</v>
      </c>
      <c r="D216" s="62" t="s">
        <v>259</v>
      </c>
      <c r="E216" s="97">
        <f>+IF(ISERROR(VLOOKUP($D216,[1]STS!$E$9:$G$1503,3,0)=0),0,VLOOKUP($D216,[1]STS!$E$9:$G$1503,3,0))</f>
        <v>11.49</v>
      </c>
      <c r="F216" s="103">
        <v>11.09</v>
      </c>
      <c r="G216" s="99">
        <f>+IF(ISERROR(VLOOKUP(D216,[1]STS!$E$9:$AO$1503,37,0)=0),0,VLOOKUP(D216,[1]STS!$E$9:$AO$1503,37,0))</f>
        <v>2.045185108024695</v>
      </c>
      <c r="H216" s="80" t="str">
        <f>+IF(ISERROR(VLOOKUP(D216,[1]STS!$E$9:$I$1603,5,0)=0),0,VLOOKUP(D216,[1]STS!$E$9:$I$1603,5,0))</f>
        <v>FC</v>
      </c>
      <c r="I216" s="60"/>
      <c r="J216" s="66" t="str">
        <f>VLOOKUP(D216,[1]STS!$E$9:$BC$1359,51,0)</f>
        <v>GP3CK</v>
      </c>
      <c r="K216" s="61"/>
      <c r="L216" s="78" t="str">
        <f>+VLOOKUP(N216,'[1]MSTR AKT'!$C$4:$E$460,3,0)</f>
        <v>Widi</v>
      </c>
      <c r="M216" s="81">
        <f>+IF(ISERROR(VLOOKUP($N216,'[1]MSTR AKT'!$C$4:$D$460,2,0)=0),0,VLOOKUP($N216,'[1]MSTR AKT'!$C$4:$D$460,2,0))</f>
        <v>1315111511</v>
      </c>
      <c r="N216" s="63" t="s">
        <v>0</v>
      </c>
      <c r="O216" s="58"/>
      <c r="P216" s="59">
        <v>46002</v>
      </c>
      <c r="Q216" s="100">
        <v>10</v>
      </c>
      <c r="R216" s="101">
        <v>110.9</v>
      </c>
      <c r="S216" s="102">
        <f t="shared" si="9"/>
        <v>11118279.5</v>
      </c>
    </row>
    <row r="217" spans="1:19" x14ac:dyDescent="0.35">
      <c r="A217" s="55" t="s">
        <v>33</v>
      </c>
      <c r="B217" s="55" t="str">
        <f>+VLOOKUP($D217,[1]STS!$A$9:$E$1405,3,0)</f>
        <v>05</v>
      </c>
      <c r="C217" s="86">
        <f>+VLOOKUP($D217,[1]STS!$A$9:$E$1405,4,0)</f>
        <v>18</v>
      </c>
      <c r="D217" s="62" t="s">
        <v>260</v>
      </c>
      <c r="E217" s="97">
        <f>+IF(ISERROR(VLOOKUP($D217,[1]STS!$E$9:$G$1503,3,0)=0),0,VLOOKUP($D217,[1]STS!$E$9:$G$1503,3,0))</f>
        <v>8.11</v>
      </c>
      <c r="F217" s="103">
        <v>7.81</v>
      </c>
      <c r="G217" s="99">
        <f>+IF(ISERROR(VLOOKUP(D217,[1]STS!$E$9:$AO$1503,37,0)=0),0,VLOOKUP(D217,[1]STS!$E$9:$AO$1503,37,0))</f>
        <v>1.245185108024695</v>
      </c>
      <c r="H217" s="80" t="str">
        <f>+IF(ISERROR(VLOOKUP(D217,[1]STS!$E$9:$I$1603,5,0)=0),0,VLOOKUP(D217,[1]STS!$E$9:$I$1603,5,0))</f>
        <v>FC</v>
      </c>
      <c r="I217" s="60"/>
      <c r="J217" s="66" t="str">
        <f>VLOOKUP(D217,[1]STS!$E$9:$BC$1359,51,0)</f>
        <v>GP3CK</v>
      </c>
      <c r="K217" s="61"/>
      <c r="L217" s="78" t="str">
        <f>+VLOOKUP(N217,'[1]MSTR AKT'!$C$4:$E$460,3,0)</f>
        <v>Widi</v>
      </c>
      <c r="M217" s="81">
        <f>+IF(ISERROR(VLOOKUP($N217,'[1]MSTR AKT'!$C$4:$D$460,2,0)=0),0,VLOOKUP($N217,'[1]MSTR AKT'!$C$4:$D$460,2,0))</f>
        <v>1315111511</v>
      </c>
      <c r="N217" s="63" t="s">
        <v>0</v>
      </c>
      <c r="O217" s="58"/>
      <c r="P217" s="59">
        <v>46003</v>
      </c>
      <c r="Q217" s="100">
        <v>10</v>
      </c>
      <c r="R217" s="101">
        <v>78.099999999999994</v>
      </c>
      <c r="S217" s="102">
        <f t="shared" si="9"/>
        <v>7829915.4999999991</v>
      </c>
    </row>
    <row r="218" spans="1:19" x14ac:dyDescent="0.35">
      <c r="A218" s="55" t="s">
        <v>33</v>
      </c>
      <c r="B218" s="55" t="str">
        <f>+VLOOKUP($D218,[1]STS!$A$9:$E$1405,3,0)</f>
        <v>05</v>
      </c>
      <c r="C218" s="86">
        <f>+VLOOKUP($D218,[1]STS!$A$9:$E$1405,4,0)</f>
        <v>18</v>
      </c>
      <c r="D218" s="62" t="s">
        <v>67</v>
      </c>
      <c r="E218" s="97">
        <f>+IF(ISERROR(VLOOKUP($D218,[1]STS!$E$9:$G$1503,3,0)=0),0,VLOOKUP($D218,[1]STS!$E$9:$G$1503,3,0))</f>
        <v>13.07</v>
      </c>
      <c r="F218" s="98">
        <v>12.2</v>
      </c>
      <c r="G218" s="99">
        <f>+IF(ISERROR(VLOOKUP(D218,[1]STS!$E$9:$AO$1503,37,0)=0),0,VLOOKUP(D218,[1]STS!$E$9:$AO$1503,37,0))</f>
        <v>1.5785184413580282</v>
      </c>
      <c r="H218" s="80" t="str">
        <f>+IF(ISERROR(VLOOKUP(D218,[1]STS!$E$9:$I$1603,5,0)=0),0,VLOOKUP(D218,[1]STS!$E$9:$I$1603,5,0))</f>
        <v>FC</v>
      </c>
      <c r="I218" s="60"/>
      <c r="J218" s="66" t="str">
        <f>VLOOKUP(D218,[1]STS!$E$9:$BC$1359,51,0)</f>
        <v>GP3CK</v>
      </c>
      <c r="K218" s="61"/>
      <c r="L218" s="78" t="str">
        <f>+VLOOKUP(N218,'[1]MSTR AKT'!$C$4:$E$460,3,0)</f>
        <v>Widi</v>
      </c>
      <c r="M218" s="81">
        <f>+IF(ISERROR(VLOOKUP($N218,'[1]MSTR AKT'!$C$4:$D$460,2,0)=0),0,VLOOKUP($N218,'[1]MSTR AKT'!$C$4:$D$460,2,0))</f>
        <v>1315111511</v>
      </c>
      <c r="N218" s="63" t="s">
        <v>0</v>
      </c>
      <c r="O218" s="58"/>
      <c r="P218" s="59">
        <v>45998</v>
      </c>
      <c r="Q218" s="100">
        <v>10</v>
      </c>
      <c r="R218" s="101">
        <v>122</v>
      </c>
      <c r="S218" s="102">
        <f t="shared" si="9"/>
        <v>12231110</v>
      </c>
    </row>
    <row r="219" spans="1:19" x14ac:dyDescent="0.35">
      <c r="A219" s="55" t="s">
        <v>33</v>
      </c>
      <c r="B219" s="55" t="str">
        <f>+VLOOKUP($D219,[1]STS!$A$9:$E$1405,3,0)</f>
        <v>05</v>
      </c>
      <c r="C219" s="86">
        <f>+VLOOKUP($D219,[1]STS!$A$9:$E$1405,4,0)</f>
        <v>18</v>
      </c>
      <c r="D219" s="62" t="s">
        <v>209</v>
      </c>
      <c r="E219" s="97">
        <f>+IF(ISERROR(VLOOKUP($D219,[1]STS!$E$9:$G$1503,3,0)=0),0,VLOOKUP($D219,[1]STS!$E$9:$G$1503,3,0))</f>
        <v>5.22</v>
      </c>
      <c r="F219" s="103">
        <v>5.22</v>
      </c>
      <c r="G219" s="99">
        <f>+IF(ISERROR(VLOOKUP(D219,[1]STS!$E$9:$AO$1503,37,0)=0),0,VLOOKUP(D219,[1]STS!$E$9:$AO$1503,37,0))</f>
        <v>3.0118517746913613</v>
      </c>
      <c r="H219" s="80" t="str">
        <f>+IF(ISERROR(VLOOKUP(D219,[1]STS!$E$9:$I$1603,5,0)=0),0,VLOOKUP(D219,[1]STS!$E$9:$I$1603,5,0))</f>
        <v>FC</v>
      </c>
      <c r="I219" s="60"/>
      <c r="J219" s="66" t="str">
        <f>VLOOKUP(D219,[1]STS!$E$9:$BC$1359,51,0)</f>
        <v>GP3SB</v>
      </c>
      <c r="K219" s="61"/>
      <c r="L219" s="78" t="str">
        <f>+VLOOKUP(N219,'[1]MSTR AKT'!$C$4:$E$460,3,0)</f>
        <v>Widi</v>
      </c>
      <c r="M219" s="81">
        <f>+IF(ISERROR(VLOOKUP($N219,'[1]MSTR AKT'!$C$4:$D$460,2,0)=0),0,VLOOKUP($N219,'[1]MSTR AKT'!$C$4:$D$460,2,0))</f>
        <v>1315111511</v>
      </c>
      <c r="N219" s="63" t="s">
        <v>0</v>
      </c>
      <c r="O219" s="58"/>
      <c r="P219" s="59">
        <v>46002</v>
      </c>
      <c r="Q219" s="100">
        <v>7</v>
      </c>
      <c r="R219" s="101">
        <v>36.54</v>
      </c>
      <c r="S219" s="102">
        <f t="shared" si="9"/>
        <v>3663317.6999999997</v>
      </c>
    </row>
    <row r="220" spans="1:19" x14ac:dyDescent="0.35">
      <c r="A220" s="55" t="s">
        <v>33</v>
      </c>
      <c r="B220" s="55" t="str">
        <f>+VLOOKUP($D220,[1]STS!$A$9:$E$1405,3,0)</f>
        <v>05</v>
      </c>
      <c r="C220" s="86">
        <f>+VLOOKUP($D220,[1]STS!$A$9:$E$1405,4,0)</f>
        <v>18</v>
      </c>
      <c r="D220" s="62" t="s">
        <v>121</v>
      </c>
      <c r="E220" s="97">
        <f>+IF(ISERROR(VLOOKUP($D220,[1]STS!$E$9:$G$1503,3,0)=0),0,VLOOKUP($D220,[1]STS!$E$9:$G$1503,3,0))</f>
        <v>7.68</v>
      </c>
      <c r="F220" s="103">
        <v>7.2</v>
      </c>
      <c r="G220" s="99">
        <f>+IF(ISERROR(VLOOKUP(D220,[1]STS!$E$9:$AO$1503,37,0)=0),0,VLOOKUP(D220,[1]STS!$E$9:$AO$1503,37,0))</f>
        <v>0.11185177469136155</v>
      </c>
      <c r="H220" s="80" t="str">
        <f>+IF(ISERROR(VLOOKUP(D220,[1]STS!$E$9:$I$1603,5,0)=0),0,VLOOKUP(D220,[1]STS!$E$9:$I$1603,5,0))</f>
        <v>FC</v>
      </c>
      <c r="I220" s="60"/>
      <c r="J220" s="66" t="str">
        <f>VLOOKUP(D220,[1]STS!$E$9:$BC$1359,51,0)</f>
        <v>F18CK</v>
      </c>
      <c r="K220" s="61"/>
      <c r="L220" s="78" t="str">
        <f>+VLOOKUP(N220,'[1]MSTR AKT'!$C$4:$E$460,3,0)</f>
        <v>Widi</v>
      </c>
      <c r="M220" s="81">
        <f>+IF(ISERROR(VLOOKUP($N220,'[1]MSTR AKT'!$C$4:$D$460,2,0)=0),0,VLOOKUP($N220,'[1]MSTR AKT'!$C$4:$D$460,2,0))</f>
        <v>1315111511</v>
      </c>
      <c r="N220" s="63" t="s">
        <v>0</v>
      </c>
      <c r="O220" s="58"/>
      <c r="P220" s="59">
        <v>46003</v>
      </c>
      <c r="Q220" s="100">
        <v>10</v>
      </c>
      <c r="R220" s="101">
        <v>72</v>
      </c>
      <c r="S220" s="102">
        <f t="shared" si="9"/>
        <v>7218360</v>
      </c>
    </row>
    <row r="221" spans="1:19" x14ac:dyDescent="0.35">
      <c r="A221" s="55" t="s">
        <v>33</v>
      </c>
      <c r="B221" s="55" t="str">
        <f>+VLOOKUP($D221,[1]STS!$A$9:$E$1405,3,0)</f>
        <v>05</v>
      </c>
      <c r="C221" s="86">
        <f>+VLOOKUP($D221,[1]STS!$A$9:$E$1405,4,0)</f>
        <v>18</v>
      </c>
      <c r="D221" s="62" t="s">
        <v>115</v>
      </c>
      <c r="E221" s="97">
        <f>+IF(ISERROR(VLOOKUP($D221,[1]STS!$E$9:$G$1503,3,0)=0),0,VLOOKUP($D221,[1]STS!$E$9:$G$1503,3,0))</f>
        <v>9.61</v>
      </c>
      <c r="F221" s="98">
        <v>9.19</v>
      </c>
      <c r="G221" s="99">
        <f>+IF(ISERROR(VLOOKUP(D221,[1]STS!$E$9:$AO$1503,37,0)=0),0,VLOOKUP(D221,[1]STS!$E$9:$AO$1503,37,0))</f>
        <v>1.6118517746913616</v>
      </c>
      <c r="H221" s="80" t="str">
        <f>+IF(ISERROR(VLOOKUP(D221,[1]STS!$E$9:$I$1603,5,0)=0),0,VLOOKUP(D221,[1]STS!$E$9:$I$1603,5,0))</f>
        <v>ST</v>
      </c>
      <c r="I221" s="60"/>
      <c r="J221" s="66" t="str">
        <f>VLOOKUP(D221,[1]STS!$E$9:$BC$1359,51,0)</f>
        <v>F18</v>
      </c>
      <c r="K221" s="61"/>
      <c r="L221" s="78" t="str">
        <f>+VLOOKUP(N221,'[1]MSTR AKT'!$C$4:$E$460,3,0)</f>
        <v>Widi</v>
      </c>
      <c r="M221" s="81">
        <f>+IF(ISERROR(VLOOKUP($N221,'[1]MSTR AKT'!$C$4:$D$460,2,0)=0),0,VLOOKUP($N221,'[1]MSTR AKT'!$C$4:$D$460,2,0))</f>
        <v>1315111511</v>
      </c>
      <c r="N221" s="63" t="s">
        <v>0</v>
      </c>
      <c r="O221" s="58"/>
      <c r="P221" s="59">
        <v>45998</v>
      </c>
      <c r="Q221" s="100">
        <v>10</v>
      </c>
      <c r="R221" s="101">
        <v>91.899999999999991</v>
      </c>
      <c r="S221" s="102">
        <f t="shared" si="9"/>
        <v>9213434.5</v>
      </c>
    </row>
    <row r="222" spans="1:19" x14ac:dyDescent="0.35">
      <c r="A222" s="55" t="s">
        <v>33</v>
      </c>
      <c r="B222" s="55" t="str">
        <f>+VLOOKUP($D222,[1]STS!$A$9:$E$1405,3,0)</f>
        <v>05</v>
      </c>
      <c r="C222" s="86">
        <f>+VLOOKUP($D222,[1]STS!$A$9:$E$1405,4,0)</f>
        <v>18</v>
      </c>
      <c r="D222" s="62" t="s">
        <v>194</v>
      </c>
      <c r="E222" s="97">
        <f>+IF(ISERROR(VLOOKUP($D222,[1]STS!$E$9:$G$1503,3,0)=0),0,VLOOKUP($D222,[1]STS!$E$9:$G$1503,3,0))</f>
        <v>5.92</v>
      </c>
      <c r="F222" s="103">
        <v>5.92</v>
      </c>
      <c r="G222" s="99">
        <f>+IF(ISERROR(VLOOKUP(D222,[1]STS!$E$9:$AO$1503,37,0)=0),0,VLOOKUP(D222,[1]STS!$E$9:$AO$1503,37,0))</f>
        <v>11.511851774691362</v>
      </c>
      <c r="H222" s="80" t="str">
        <f>+IF(ISERROR(VLOOKUP(D222,[1]STS!$E$9:$I$1603,5,0)=0),0,VLOOKUP(D222,[1]STS!$E$9:$I$1603,5,0))</f>
        <v>SC</v>
      </c>
      <c r="I222" s="60"/>
      <c r="J222" s="66" t="str">
        <f>VLOOKUP(D222,[1]STS!$E$9:$BC$1359,51,0)</f>
        <v>F18</v>
      </c>
      <c r="K222" s="61"/>
      <c r="L222" s="78" t="str">
        <f>+VLOOKUP(N222,'[1]MSTR AKT'!$C$4:$E$460,3,0)</f>
        <v>Etri 1</v>
      </c>
      <c r="M222" s="81">
        <f>+IF(ISERROR(VLOOKUP($N222,'[1]MSTR AKT'!$C$4:$D$460,2,0)=0),0,VLOOKUP($N222,'[1]MSTR AKT'!$C$4:$D$460,2,0))</f>
        <v>1315111111</v>
      </c>
      <c r="N222" s="63" t="s">
        <v>3</v>
      </c>
      <c r="O222" s="58" t="str">
        <f t="shared" ref="O222:O233" si="10">IF(Q222&lt;=2,"Bersih",IF(Q222&lt;=4,"Ringan",IF(Q222&lt;=8,"Sedang","Berat")))</f>
        <v>Sedang</v>
      </c>
      <c r="P222" s="59">
        <v>46002</v>
      </c>
      <c r="Q222" s="100">
        <v>5</v>
      </c>
      <c r="R222" s="101">
        <v>29.6</v>
      </c>
      <c r="S222" s="102">
        <f t="shared" si="9"/>
        <v>2967548</v>
      </c>
    </row>
    <row r="223" spans="1:19" x14ac:dyDescent="0.35">
      <c r="A223" s="55" t="s">
        <v>33</v>
      </c>
      <c r="B223" s="55" t="str">
        <f>+VLOOKUP($D223,[1]STS!$A$9:$E$1405,3,0)</f>
        <v>05</v>
      </c>
      <c r="C223" s="86">
        <f>+VLOOKUP($D223,[1]STS!$A$9:$E$1405,4,0)</f>
        <v>18</v>
      </c>
      <c r="D223" s="62" t="s">
        <v>251</v>
      </c>
      <c r="E223" s="97">
        <f>+IF(ISERROR(VLOOKUP($D223,[1]STS!$E$9:$G$1503,3,0)=0),0,VLOOKUP($D223,[1]STS!$E$9:$G$1503,3,0))</f>
        <v>11.32</v>
      </c>
      <c r="F223" s="103">
        <v>11.32</v>
      </c>
      <c r="G223" s="99">
        <f>+IF(ISERROR(VLOOKUP(D223,[1]STS!$E$9:$AO$1503,37,0)=0),0,VLOOKUP(D223,[1]STS!$E$9:$AO$1503,37,0))</f>
        <v>9.7451851080246943</v>
      </c>
      <c r="H223" s="80" t="str">
        <f>+IF(ISERROR(VLOOKUP(D223,[1]STS!$E$9:$I$1603,5,0)=0),0,VLOOKUP(D223,[1]STS!$E$9:$I$1603,5,0))</f>
        <v>SC</v>
      </c>
      <c r="I223" s="60"/>
      <c r="J223" s="66" t="str">
        <f>VLOOKUP(D223,[1]STS!$E$9:$BC$1359,51,0)</f>
        <v>F18</v>
      </c>
      <c r="K223" s="61"/>
      <c r="L223" s="78" t="str">
        <f>+VLOOKUP(N223,'[1]MSTR AKT'!$C$4:$E$460,3,0)</f>
        <v>Etri 1</v>
      </c>
      <c r="M223" s="81">
        <f>+IF(ISERROR(VLOOKUP($N223,'[1]MSTR AKT'!$C$4:$D$460,2,0)=0),0,VLOOKUP($N223,'[1]MSTR AKT'!$C$4:$D$460,2,0))</f>
        <v>1315111111</v>
      </c>
      <c r="N223" s="63" t="s">
        <v>3</v>
      </c>
      <c r="O223" s="58" t="str">
        <f t="shared" si="10"/>
        <v>Ringan</v>
      </c>
      <c r="P223" s="59">
        <v>46000</v>
      </c>
      <c r="Q223" s="100">
        <v>4</v>
      </c>
      <c r="R223" s="101">
        <v>45.28</v>
      </c>
      <c r="S223" s="102">
        <f t="shared" si="9"/>
        <v>4539546.4000000004</v>
      </c>
    </row>
    <row r="224" spans="1:19" x14ac:dyDescent="0.35">
      <c r="A224" s="55" t="s">
        <v>33</v>
      </c>
      <c r="B224" s="55" t="str">
        <f>+VLOOKUP($D224,[1]STS!$A$9:$E$1405,3,0)</f>
        <v>05</v>
      </c>
      <c r="C224" s="86">
        <f>+VLOOKUP($D224,[1]STS!$A$9:$E$1405,4,0)</f>
        <v>18</v>
      </c>
      <c r="D224" s="62" t="s">
        <v>120</v>
      </c>
      <c r="E224" s="97">
        <f>+IF(ISERROR(VLOOKUP($D224,[1]STS!$E$9:$G$1503,3,0)=0),0,VLOOKUP($D224,[1]STS!$E$9:$G$1503,3,0))</f>
        <v>12.05</v>
      </c>
      <c r="F224" s="103">
        <v>12.05</v>
      </c>
      <c r="G224" s="99">
        <f>+IF(ISERROR(VLOOKUP(D224,[1]STS!$E$9:$AO$1503,37,0)=0),0,VLOOKUP(D224,[1]STS!$E$9:$AO$1503,37,0))</f>
        <v>16.345185108024694</v>
      </c>
      <c r="H224" s="80" t="str">
        <f>+IF(ISERROR(VLOOKUP(D224,[1]STS!$E$9:$I$1603,5,0)=0),0,VLOOKUP(D224,[1]STS!$E$9:$I$1603,5,0))</f>
        <v>FC</v>
      </c>
      <c r="I224" s="60"/>
      <c r="J224" s="66" t="str">
        <f>VLOOKUP(D224,[1]STS!$E$9:$BC$1359,51,0)</f>
        <v>GP3CK</v>
      </c>
      <c r="K224" s="61"/>
      <c r="L224" s="78" t="str">
        <f>+VLOOKUP(N224,'[1]MSTR AKT'!$C$4:$E$460,3,0)</f>
        <v>Etri 1</v>
      </c>
      <c r="M224" s="81">
        <f>+IF(ISERROR(VLOOKUP($N224,'[1]MSTR AKT'!$C$4:$D$460,2,0)=0),0,VLOOKUP($N224,'[1]MSTR AKT'!$C$4:$D$460,2,0))</f>
        <v>1315111111</v>
      </c>
      <c r="N224" s="63" t="s">
        <v>3</v>
      </c>
      <c r="O224" s="58" t="str">
        <f t="shared" si="10"/>
        <v>Sedang</v>
      </c>
      <c r="P224" s="59">
        <v>46001</v>
      </c>
      <c r="Q224" s="100">
        <v>5</v>
      </c>
      <c r="R224" s="101">
        <v>60.25</v>
      </c>
      <c r="S224" s="102">
        <f t="shared" si="9"/>
        <v>6040363.75</v>
      </c>
    </row>
    <row r="225" spans="1:19" x14ac:dyDescent="0.35">
      <c r="A225" s="55" t="s">
        <v>33</v>
      </c>
      <c r="B225" s="55" t="str">
        <f>+VLOOKUP($D225,[1]STS!$A$9:$E$1405,3,0)</f>
        <v>05</v>
      </c>
      <c r="C225" s="86">
        <f>+VLOOKUP($D225,[1]STS!$A$9:$E$1405,4,0)</f>
        <v>18</v>
      </c>
      <c r="D225" s="62" t="s">
        <v>56</v>
      </c>
      <c r="E225" s="97">
        <f>+IF(ISERROR(VLOOKUP($D225,[1]STS!$E$9:$G$1503,3,0)=0),0,VLOOKUP($D225,[1]STS!$E$9:$G$1503,3,0))</f>
        <v>12.7</v>
      </c>
      <c r="F225" s="103">
        <v>12.7</v>
      </c>
      <c r="G225" s="99">
        <f>+IF(ISERROR(VLOOKUP(D225,[1]STS!$E$9:$AO$1503,37,0)=0),0,VLOOKUP(D225,[1]STS!$E$9:$AO$1503,37,0))</f>
        <v>14.278518441358028</v>
      </c>
      <c r="H225" s="80" t="str">
        <f>+IF(ISERROR(VLOOKUP(D225,[1]STS!$E$9:$I$1603,5,0)=0),0,VLOOKUP(D225,[1]STS!$E$9:$I$1603,5,0))</f>
        <v>FC</v>
      </c>
      <c r="I225" s="60"/>
      <c r="J225" s="66" t="str">
        <f>VLOOKUP(D225,[1]STS!$E$9:$BC$1359,51,0)</f>
        <v>F18SS</v>
      </c>
      <c r="K225" s="61"/>
      <c r="L225" s="78" t="str">
        <f>+VLOOKUP(N225,'[1]MSTR AKT'!$C$4:$E$460,3,0)</f>
        <v>Etri 1</v>
      </c>
      <c r="M225" s="81">
        <f>+IF(ISERROR(VLOOKUP($N225,'[1]MSTR AKT'!$C$4:$D$460,2,0)=0),0,VLOOKUP($N225,'[1]MSTR AKT'!$C$4:$D$460,2,0))</f>
        <v>1315111111</v>
      </c>
      <c r="N225" s="63" t="s">
        <v>3</v>
      </c>
      <c r="O225" s="58" t="str">
        <f t="shared" si="10"/>
        <v>Ringan</v>
      </c>
      <c r="P225" s="59">
        <v>46002</v>
      </c>
      <c r="Q225" s="100">
        <v>4</v>
      </c>
      <c r="R225" s="101">
        <v>50.8</v>
      </c>
      <c r="S225" s="102">
        <f t="shared" si="9"/>
        <v>5092954</v>
      </c>
    </row>
    <row r="226" spans="1:19" x14ac:dyDescent="0.35">
      <c r="A226" s="55" t="s">
        <v>33</v>
      </c>
      <c r="B226" s="55" t="str">
        <f>+VLOOKUP($D226,[1]STS!$A$9:$E$1405,3,0)</f>
        <v>05</v>
      </c>
      <c r="C226" s="86">
        <f>+VLOOKUP($D226,[1]STS!$A$9:$E$1405,4,0)</f>
        <v>18</v>
      </c>
      <c r="D226" s="62" t="s">
        <v>95</v>
      </c>
      <c r="E226" s="97">
        <f>+IF(ISERROR(VLOOKUP($D226,[1]STS!$E$9:$G$1503,3,0)=0),0,VLOOKUP($D226,[1]STS!$E$9:$G$1503,3,0))</f>
        <v>14.88</v>
      </c>
      <c r="F226" s="103">
        <v>14.88</v>
      </c>
      <c r="G226" s="99">
        <f>+IF(ISERROR(VLOOKUP(D226,[1]STS!$E$9:$AO$1503,37,0)=0),0,VLOOKUP(D226,[1]STS!$E$9:$AO$1503,37,0))</f>
        <v>6.6118517746913614</v>
      </c>
      <c r="H226" s="80" t="str">
        <f>+IF(ISERROR(VLOOKUP(D226,[1]STS!$E$9:$I$1603,5,0)=0),0,VLOOKUP(D226,[1]STS!$E$9:$I$1603,5,0))</f>
        <v>FC</v>
      </c>
      <c r="I226" s="60"/>
      <c r="J226" s="66" t="str">
        <f>VLOOKUP(D226,[1]STS!$E$9:$BC$1359,51,0)</f>
        <v>F18CK</v>
      </c>
      <c r="K226" s="61"/>
      <c r="L226" s="78" t="str">
        <f>+VLOOKUP(N226,'[1]MSTR AKT'!$C$4:$E$460,3,0)</f>
        <v>Etri 1</v>
      </c>
      <c r="M226" s="81">
        <f>+IF(ISERROR(VLOOKUP($N226,'[1]MSTR AKT'!$C$4:$D$460,2,0)=0),0,VLOOKUP($N226,'[1]MSTR AKT'!$C$4:$D$460,2,0))</f>
        <v>1315111111</v>
      </c>
      <c r="N226" s="63" t="s">
        <v>3</v>
      </c>
      <c r="O226" s="58" t="str">
        <f t="shared" si="10"/>
        <v>Ringan</v>
      </c>
      <c r="P226" s="59">
        <v>46003</v>
      </c>
      <c r="Q226" s="100">
        <v>4</v>
      </c>
      <c r="R226" s="101">
        <v>59.52</v>
      </c>
      <c r="S226" s="102">
        <f t="shared" si="9"/>
        <v>5967177.6000000006</v>
      </c>
    </row>
    <row r="227" spans="1:19" x14ac:dyDescent="0.35">
      <c r="A227" s="55" t="s">
        <v>33</v>
      </c>
      <c r="B227" s="55" t="str">
        <f>+VLOOKUP($D227,[1]STS!$A$9:$E$1405,3,0)</f>
        <v>05</v>
      </c>
      <c r="C227" s="86">
        <f>+VLOOKUP($D227,[1]STS!$A$9:$E$1405,4,0)</f>
        <v>18</v>
      </c>
      <c r="D227" s="62" t="s">
        <v>261</v>
      </c>
      <c r="E227" s="97">
        <f>+IF(ISERROR(VLOOKUP($D227,[1]STS!$E$9:$G$1503,3,0)=0),0,VLOOKUP($D227,[1]STS!$E$9:$G$1503,3,0))</f>
        <v>6.44</v>
      </c>
      <c r="F227" s="98">
        <v>6.44</v>
      </c>
      <c r="G227" s="99">
        <f>+IF(ISERROR(VLOOKUP(D227,[1]STS!$E$9:$AO$1503,37,0)=0),0,VLOOKUP(D227,[1]STS!$E$9:$AO$1503,37,0))</f>
        <v>9.8785184413580289</v>
      </c>
      <c r="H227" s="80" t="str">
        <f>+IF(ISERROR(VLOOKUP(D227,[1]STS!$E$9:$I$1603,5,0)=0),0,VLOOKUP(D227,[1]STS!$E$9:$I$1603,5,0))</f>
        <v>SC</v>
      </c>
      <c r="I227" s="60"/>
      <c r="J227" s="66" t="str">
        <f>VLOOKUP(D227,[1]STS!$E$9:$BC$1359,51,0)</f>
        <v>F18</v>
      </c>
      <c r="K227" s="61"/>
      <c r="L227" s="78" t="str">
        <f>+VLOOKUP(N227,'[1]MSTR AKT'!$C$4:$E$460,3,0)</f>
        <v>Etri 1</v>
      </c>
      <c r="M227" s="81">
        <f>+IF(ISERROR(VLOOKUP($N227,'[1]MSTR AKT'!$C$4:$D$460,2,0)=0),0,VLOOKUP($N227,'[1]MSTR AKT'!$C$4:$D$460,2,0))</f>
        <v>1315111111</v>
      </c>
      <c r="N227" s="63" t="s">
        <v>3</v>
      </c>
      <c r="O227" s="58" t="str">
        <f t="shared" si="10"/>
        <v>Ringan</v>
      </c>
      <c r="P227" s="59">
        <v>45998</v>
      </c>
      <c r="Q227" s="100">
        <v>4</v>
      </c>
      <c r="R227" s="101">
        <v>25.76</v>
      </c>
      <c r="S227" s="102">
        <f t="shared" si="9"/>
        <v>2582568.8000000003</v>
      </c>
    </row>
    <row r="228" spans="1:19" x14ac:dyDescent="0.35">
      <c r="A228" s="55" t="s">
        <v>33</v>
      </c>
      <c r="B228" s="55" t="str">
        <f>+VLOOKUP($D228,[1]STS!$A$9:$E$1405,3,0)</f>
        <v>05</v>
      </c>
      <c r="C228" s="86">
        <f>+VLOOKUP($D228,[1]STS!$A$9:$E$1405,4,0)</f>
        <v>18</v>
      </c>
      <c r="D228" s="62" t="s">
        <v>114</v>
      </c>
      <c r="E228" s="97">
        <f>+IF(ISERROR(VLOOKUP($D228,[1]STS!$E$9:$G$1503,3,0)=0),0,VLOOKUP($D228,[1]STS!$E$9:$G$1503,3,0))</f>
        <v>2.39</v>
      </c>
      <c r="F228" s="103">
        <v>2.39</v>
      </c>
      <c r="G228" s="99">
        <f>+IF(ISERROR(VLOOKUP(D228,[1]STS!$E$9:$AO$1503,37,0)=0),0,VLOOKUP(D228,[1]STS!$E$9:$AO$1503,37,0))</f>
        <v>2.8118517746913616</v>
      </c>
      <c r="H228" s="80" t="str">
        <f>+IF(ISERROR(VLOOKUP(D228,[1]STS!$E$9:$I$1603,5,0)=0),0,VLOOKUP(D228,[1]STS!$E$9:$I$1603,5,0))</f>
        <v>SC</v>
      </c>
      <c r="I228" s="60"/>
      <c r="J228" s="66" t="str">
        <f>VLOOKUP(D228,[1]STS!$E$9:$BC$1359,51,0)</f>
        <v>F18</v>
      </c>
      <c r="K228" s="61"/>
      <c r="L228" s="78" t="str">
        <f>+VLOOKUP(N228,'[1]MSTR AKT'!$C$4:$E$460,3,0)</f>
        <v>Etri 1</v>
      </c>
      <c r="M228" s="81">
        <f>+IF(ISERROR(VLOOKUP($N228,'[1]MSTR AKT'!$C$4:$D$460,2,0)=0),0,VLOOKUP($N228,'[1]MSTR AKT'!$C$4:$D$460,2,0))</f>
        <v>1315111111</v>
      </c>
      <c r="N228" s="63" t="s">
        <v>3</v>
      </c>
      <c r="O228" s="58" t="str">
        <f t="shared" si="10"/>
        <v>Ringan</v>
      </c>
      <c r="P228" s="59">
        <v>46002</v>
      </c>
      <c r="Q228" s="100">
        <v>4</v>
      </c>
      <c r="R228" s="101">
        <v>9.56</v>
      </c>
      <c r="S228" s="102">
        <f t="shared" si="9"/>
        <v>958437.8</v>
      </c>
    </row>
    <row r="229" spans="1:19" x14ac:dyDescent="0.35">
      <c r="A229" s="55" t="s">
        <v>33</v>
      </c>
      <c r="B229" s="55" t="str">
        <f>+VLOOKUP($D229,[1]STS!$A$9:$E$1405,3,0)</f>
        <v>05</v>
      </c>
      <c r="C229" s="86">
        <f>+VLOOKUP($D229,[1]STS!$A$9:$E$1405,4,0)</f>
        <v>18</v>
      </c>
      <c r="D229" s="62" t="s">
        <v>66</v>
      </c>
      <c r="E229" s="97">
        <f>+IF(ISERROR(VLOOKUP($D229,[1]STS!$E$9:$G$1503,3,0)=0),0,VLOOKUP($D229,[1]STS!$E$9:$G$1503,3,0))</f>
        <v>10.039999999999999</v>
      </c>
      <c r="F229" s="103">
        <v>10.039999999999999</v>
      </c>
      <c r="G229" s="99">
        <f>+IF(ISERROR(VLOOKUP(D229,[1]STS!$E$9:$AO$1503,37,0)=0),0,VLOOKUP(D229,[1]STS!$E$9:$AO$1503,37,0))</f>
        <v>8.6118517746913614</v>
      </c>
      <c r="H229" s="80" t="str">
        <f>+IF(ISERROR(VLOOKUP(D229,[1]STS!$E$9:$I$1603,5,0)=0),0,VLOOKUP(D229,[1]STS!$E$9:$I$1603,5,0))</f>
        <v>FC</v>
      </c>
      <c r="I229" s="60"/>
      <c r="J229" s="66" t="str">
        <f>VLOOKUP(D229,[1]STS!$E$9:$BC$1359,51,0)</f>
        <v>F18SS</v>
      </c>
      <c r="K229" s="61"/>
      <c r="L229" s="78" t="str">
        <f>+VLOOKUP(N229,'[1]MSTR AKT'!$C$4:$E$460,3,0)</f>
        <v>Etri 1</v>
      </c>
      <c r="M229" s="81">
        <f>+IF(ISERROR(VLOOKUP($N229,'[1]MSTR AKT'!$C$4:$D$460,2,0)=0),0,VLOOKUP($N229,'[1]MSTR AKT'!$C$4:$D$460,2,0))</f>
        <v>1315111111</v>
      </c>
      <c r="N229" s="63" t="s">
        <v>3</v>
      </c>
      <c r="O229" s="58" t="str">
        <f t="shared" si="10"/>
        <v>Sedang</v>
      </c>
      <c r="P229" s="59">
        <v>46003</v>
      </c>
      <c r="Q229" s="100">
        <v>5</v>
      </c>
      <c r="R229" s="101">
        <v>50.199999999999996</v>
      </c>
      <c r="S229" s="102">
        <f t="shared" si="9"/>
        <v>5032801</v>
      </c>
    </row>
    <row r="230" spans="1:19" x14ac:dyDescent="0.35">
      <c r="A230" s="55" t="s">
        <v>33</v>
      </c>
      <c r="B230" s="55" t="str">
        <f>+VLOOKUP($D230,[1]STS!$A$9:$E$1405,3,0)</f>
        <v>05</v>
      </c>
      <c r="C230" s="86">
        <f>+VLOOKUP($D230,[1]STS!$A$9:$E$1405,4,0)</f>
        <v>18</v>
      </c>
      <c r="D230" s="62" t="s">
        <v>271</v>
      </c>
      <c r="E230" s="97">
        <f>+IF(ISERROR(VLOOKUP($D230,[1]STS!$E$9:$G$1503,3,0)=0),0,VLOOKUP($D230,[1]STS!$E$9:$G$1503,3,0))</f>
        <v>6.54</v>
      </c>
      <c r="F230" s="98">
        <v>6.54</v>
      </c>
      <c r="G230" s="99">
        <f>+IF(ISERROR(VLOOKUP(D230,[1]STS!$E$9:$AO$1503,37,0)=0),0,VLOOKUP(D230,[1]STS!$E$9:$AO$1503,37,0))</f>
        <v>8.4785184413580286</v>
      </c>
      <c r="H230" s="80" t="str">
        <f>+IF(ISERROR(VLOOKUP(D230,[1]STS!$E$9:$I$1603,5,0)=0),0,VLOOKUP(D230,[1]STS!$E$9:$I$1603,5,0))</f>
        <v>FC</v>
      </c>
      <c r="I230" s="60"/>
      <c r="J230" s="66" t="str">
        <f>VLOOKUP(D230,[1]STS!$E$9:$BC$1359,51,0)</f>
        <v>F18SB</v>
      </c>
      <c r="K230" s="61"/>
      <c r="L230" s="78" t="str">
        <f>+VLOOKUP(N230,'[1]MSTR AKT'!$C$4:$E$460,3,0)</f>
        <v>Etri 1</v>
      </c>
      <c r="M230" s="81">
        <f>+IF(ISERROR(VLOOKUP($N230,'[1]MSTR AKT'!$C$4:$D$460,2,0)=0),0,VLOOKUP($N230,'[1]MSTR AKT'!$C$4:$D$460,2,0))</f>
        <v>1315111111</v>
      </c>
      <c r="N230" s="63" t="s">
        <v>3</v>
      </c>
      <c r="O230" s="58" t="str">
        <f t="shared" si="10"/>
        <v>Sedang</v>
      </c>
      <c r="P230" s="59">
        <v>45998</v>
      </c>
      <c r="Q230" s="100">
        <v>5</v>
      </c>
      <c r="R230" s="101">
        <v>32.700000000000003</v>
      </c>
      <c r="S230" s="102">
        <f t="shared" si="9"/>
        <v>3278338.5000000005</v>
      </c>
    </row>
    <row r="231" spans="1:19" x14ac:dyDescent="0.35">
      <c r="A231" s="55" t="s">
        <v>33</v>
      </c>
      <c r="B231" s="55" t="str">
        <f>+VLOOKUP($D231,[1]STS!$A$9:$E$1405,3,0)</f>
        <v>05</v>
      </c>
      <c r="C231" s="86">
        <f>+VLOOKUP($D231,[1]STS!$A$9:$E$1405,4,0)</f>
        <v>18</v>
      </c>
      <c r="D231" s="62" t="s">
        <v>113</v>
      </c>
      <c r="E231" s="97">
        <f>+IF(ISERROR(VLOOKUP($D231,[1]STS!$E$9:$G$1503,3,0)=0),0,VLOOKUP($D231,[1]STS!$E$9:$G$1503,3,0))</f>
        <v>3.54</v>
      </c>
      <c r="F231" s="103">
        <v>3.54</v>
      </c>
      <c r="G231" s="99">
        <f>+IF(ISERROR(VLOOKUP(D231,[1]STS!$E$9:$AO$1503,37,0)=0),0,VLOOKUP(D231,[1]STS!$E$9:$AO$1503,37,0))</f>
        <v>4.4451851080246945</v>
      </c>
      <c r="H231" s="80" t="str">
        <f>+IF(ISERROR(VLOOKUP(D231,[1]STS!$E$9:$I$1603,5,0)=0),0,VLOOKUP(D231,[1]STS!$E$9:$I$1603,5,0))</f>
        <v>SC</v>
      </c>
      <c r="I231" s="60"/>
      <c r="J231" s="66" t="str">
        <f>VLOOKUP(D231,[1]STS!$E$9:$BC$1359,51,0)</f>
        <v>F18</v>
      </c>
      <c r="K231" s="61"/>
      <c r="L231" s="78" t="str">
        <f>+VLOOKUP(N231,'[1]MSTR AKT'!$C$4:$E$460,3,0)</f>
        <v>Etri 1</v>
      </c>
      <c r="M231" s="81">
        <f>+IF(ISERROR(VLOOKUP($N231,'[1]MSTR AKT'!$C$4:$D$460,2,0)=0),0,VLOOKUP($N231,'[1]MSTR AKT'!$C$4:$D$460,2,0))</f>
        <v>1315111111</v>
      </c>
      <c r="N231" s="63" t="s">
        <v>3</v>
      </c>
      <c r="O231" s="58" t="str">
        <f t="shared" si="10"/>
        <v>Ringan</v>
      </c>
      <c r="P231" s="59">
        <v>46002</v>
      </c>
      <c r="Q231" s="100">
        <v>4</v>
      </c>
      <c r="R231" s="101">
        <v>14.16</v>
      </c>
      <c r="S231" s="102">
        <f t="shared" si="9"/>
        <v>1419610.8</v>
      </c>
    </row>
    <row r="232" spans="1:19" x14ac:dyDescent="0.35">
      <c r="A232" s="55" t="s">
        <v>33</v>
      </c>
      <c r="B232" s="55" t="str">
        <f>+VLOOKUP($D232,[1]STS!$A$9:$E$1405,3,0)</f>
        <v>05</v>
      </c>
      <c r="C232" s="86">
        <f>+VLOOKUP($D232,[1]STS!$A$9:$E$1405,4,0)</f>
        <v>18</v>
      </c>
      <c r="D232" s="62" t="s">
        <v>272</v>
      </c>
      <c r="E232" s="97">
        <f>+IF(ISERROR(VLOOKUP($D232,[1]STS!$E$9:$G$1503,3,0)=0),0,VLOOKUP($D232,[1]STS!$E$9:$G$1503,3,0))</f>
        <v>8.4700000000000006</v>
      </c>
      <c r="F232" s="103">
        <v>8.4700000000000006</v>
      </c>
      <c r="G232" s="99">
        <f>+IF(ISERROR(VLOOKUP(D232,[1]STS!$E$9:$AO$1503,37,0)=0),0,VLOOKUP(D232,[1]STS!$E$9:$AO$1503,37,0))</f>
        <v>14.311851774691361</v>
      </c>
      <c r="H232" s="80" t="str">
        <f>+IF(ISERROR(VLOOKUP(D232,[1]STS!$E$9:$I$1603,5,0)=0),0,VLOOKUP(D232,[1]STS!$E$9:$I$1603,5,0))</f>
        <v>FC</v>
      </c>
      <c r="I232" s="60"/>
      <c r="J232" s="66" t="str">
        <f>VLOOKUP(D232,[1]STS!$E$9:$BC$1359,51,0)</f>
        <v>F18CK</v>
      </c>
      <c r="K232" s="61"/>
      <c r="L232" s="78" t="str">
        <f>+VLOOKUP(N232,'[1]MSTR AKT'!$C$4:$E$460,3,0)</f>
        <v>Etri 1</v>
      </c>
      <c r="M232" s="81">
        <f>+IF(ISERROR(VLOOKUP($N232,'[1]MSTR AKT'!$C$4:$D$460,2,0)=0),0,VLOOKUP($N232,'[1]MSTR AKT'!$C$4:$D$460,2,0))</f>
        <v>1315111111</v>
      </c>
      <c r="N232" s="63" t="s">
        <v>3</v>
      </c>
      <c r="O232" s="58" t="str">
        <f t="shared" si="10"/>
        <v>Ringan</v>
      </c>
      <c r="P232" s="59">
        <v>46003</v>
      </c>
      <c r="Q232" s="100">
        <v>4</v>
      </c>
      <c r="R232" s="101">
        <v>33.880000000000003</v>
      </c>
      <c r="S232" s="102">
        <f t="shared" si="9"/>
        <v>3396639.4000000004</v>
      </c>
    </row>
    <row r="233" spans="1:19" x14ac:dyDescent="0.35">
      <c r="A233" s="55" t="s">
        <v>33</v>
      </c>
      <c r="B233" s="55" t="str">
        <f>+VLOOKUP($D233,[1]STS!$A$9:$E$1405,3,0)</f>
        <v>05</v>
      </c>
      <c r="C233" s="86">
        <f>+VLOOKUP($D233,[1]STS!$A$9:$E$1405,4,0)</f>
        <v>18</v>
      </c>
      <c r="D233" s="62" t="s">
        <v>373</v>
      </c>
      <c r="E233" s="97">
        <f>+IF(ISERROR(VLOOKUP($D233,[1]STS!$E$9:$G$1503,3,0)=0),0,VLOOKUP($D233,[1]STS!$E$9:$G$1503,3,0))</f>
        <v>4.46</v>
      </c>
      <c r="F233" s="103">
        <v>4.46</v>
      </c>
      <c r="G233" s="99">
        <f>+IF(ISERROR(VLOOKUP(D233,[1]STS!$E$9:$AO$1503,37,0)=0),0,VLOOKUP(D233,[1]STS!$E$9:$AO$1503,37,0))</f>
        <v>11.611851774691361</v>
      </c>
      <c r="H233" s="80" t="str">
        <f>+IF(ISERROR(VLOOKUP(D233,[1]STS!$E$9:$I$1603,5,0)=0),0,VLOOKUP(D233,[1]STS!$E$9:$I$1603,5,0))</f>
        <v>FC</v>
      </c>
      <c r="I233" s="60"/>
      <c r="J233" s="66" t="str">
        <f>VLOOKUP(D233,[1]STS!$E$9:$BC$1359,51,0)</f>
        <v>F18SS</v>
      </c>
      <c r="K233" s="61"/>
      <c r="L233" s="78" t="str">
        <f>+VLOOKUP(N233,'[1]MSTR AKT'!$C$4:$E$460,3,0)</f>
        <v>Etri 1</v>
      </c>
      <c r="M233" s="81">
        <f>+IF(ISERROR(VLOOKUP($N233,'[1]MSTR AKT'!$C$4:$D$460,2,0)=0),0,VLOOKUP($N233,'[1]MSTR AKT'!$C$4:$D$460,2,0))</f>
        <v>1315111111</v>
      </c>
      <c r="N233" s="63" t="s">
        <v>3</v>
      </c>
      <c r="O233" s="58" t="str">
        <f t="shared" si="10"/>
        <v>Sedang</v>
      </c>
      <c r="P233" s="59">
        <v>46002</v>
      </c>
      <c r="Q233" s="100">
        <v>5</v>
      </c>
      <c r="R233" s="101">
        <v>22.3</v>
      </c>
      <c r="S233" s="102">
        <f t="shared" si="9"/>
        <v>2235686.5</v>
      </c>
    </row>
    <row r="234" spans="1:19" x14ac:dyDescent="0.35">
      <c r="A234" s="55" t="s">
        <v>33</v>
      </c>
      <c r="B234" s="55" t="str">
        <f>+VLOOKUP($D234,[1]STS!$A$9:$E$1405,3,0)</f>
        <v>05</v>
      </c>
      <c r="C234" s="86">
        <f>+VLOOKUP($D234,[1]STS!$A$9:$E$1405,4,0)</f>
        <v>19</v>
      </c>
      <c r="D234" s="64" t="s">
        <v>276</v>
      </c>
      <c r="E234" s="104">
        <f>+IF(ISERROR(VLOOKUP($D234,[1]STS!$E$9:$G$1503,3,0)=0),0,VLOOKUP($D234,[1]STS!$E$9:$G$1503,3,0))</f>
        <v>11.23</v>
      </c>
      <c r="F234" s="98">
        <f>+E234</f>
        <v>11.23</v>
      </c>
      <c r="G234" s="99">
        <f>+IF(ISERROR(VLOOKUP(D234,[1]STS!$E$9:$AO$1503,37,0)=0),0,VLOOKUP(D234,[1]STS!$E$9:$AO$1503,37,0))</f>
        <v>3.8118517746913616</v>
      </c>
      <c r="H234" s="82" t="str">
        <f>+IF(ISERROR(VLOOKUP(D234,[1]STS!$E$9:$I$1503,5,0)=0),0,VLOOKUP(D234,[1]STS!$E$9:$I$1503,5,0))</f>
        <v>FC</v>
      </c>
      <c r="I234" s="65"/>
      <c r="J234" s="66" t="str">
        <f>VLOOKUP(D234,[1]STS!$E$9:$BC$1359,51,0)</f>
        <v>F18CK</v>
      </c>
      <c r="K234" s="67"/>
      <c r="L234" s="78" t="str">
        <f>+VLOOKUP(N234,'[1]MSTR AKT'!$C$4:$E$460,3,0)</f>
        <v>Etri 1</v>
      </c>
      <c r="M234" s="83">
        <f>+IF(ISERROR(VLOOKUP($N234,'[1]MSTR AKT'!$C$4:$D$460,2,0)=0),0,VLOOKUP($N234,'[1]MSTR AKT'!$C$4:$D$460,2,0))</f>
        <v>1113211111</v>
      </c>
      <c r="N234" s="63" t="s">
        <v>1</v>
      </c>
      <c r="O234" s="58"/>
      <c r="P234" s="59">
        <v>46000</v>
      </c>
      <c r="Q234" s="105">
        <v>6</v>
      </c>
      <c r="R234" s="106">
        <v>67.98</v>
      </c>
      <c r="S234" s="102">
        <f t="shared" ref="S234:S278" si="11">+R234*100255</f>
        <v>6815334.9000000004</v>
      </c>
    </row>
    <row r="235" spans="1:19" x14ac:dyDescent="0.35">
      <c r="A235" s="55" t="s">
        <v>33</v>
      </c>
      <c r="B235" s="55" t="str">
        <f>+VLOOKUP($D235,[1]STS!$A$9:$E$1405,3,0)</f>
        <v>05</v>
      </c>
      <c r="C235" s="86">
        <f>+VLOOKUP($D235,[1]STS!$A$9:$E$1405,4,0)</f>
        <v>19</v>
      </c>
      <c r="D235" s="64" t="s">
        <v>213</v>
      </c>
      <c r="E235" s="104">
        <f>+IF(ISERROR(VLOOKUP($D235,[1]STS!$E$9:$G$1503,3,0)=0),0,VLOOKUP($D235,[1]STS!$E$9:$G$1503,3,0))</f>
        <v>7.12</v>
      </c>
      <c r="F235" s="98">
        <f>+E235</f>
        <v>7.12</v>
      </c>
      <c r="G235" s="99">
        <f>+IF(ISERROR(VLOOKUP(D235,[1]STS!$E$9:$AO$1503,37,0)=0),0,VLOOKUP(D235,[1]STS!$E$9:$AO$1503,37,0))</f>
        <v>2.3451851080246948</v>
      </c>
      <c r="H235" s="82" t="str">
        <f>+IF(ISERROR(VLOOKUP(D235,[1]STS!$E$9:$I$1503,5,0)=0),0,VLOOKUP(D235,[1]STS!$E$9:$I$1503,5,0))</f>
        <v>FC</v>
      </c>
      <c r="I235" s="65"/>
      <c r="J235" s="66" t="str">
        <f>VLOOKUP(D235,[1]STS!$E$9:$BC$1359,51,0)</f>
        <v>GP3CK</v>
      </c>
      <c r="K235" s="67"/>
      <c r="L235" s="78" t="str">
        <f>+VLOOKUP(N235,'[1]MSTR AKT'!$C$4:$E$460,3,0)</f>
        <v>Etri 1</v>
      </c>
      <c r="M235" s="83">
        <f>+IF(ISERROR(VLOOKUP($N235,'[1]MSTR AKT'!$C$4:$D$460,2,0)=0),0,VLOOKUP($N235,'[1]MSTR AKT'!$C$4:$D$460,2,0))</f>
        <v>1113211111</v>
      </c>
      <c r="N235" s="63" t="s">
        <v>1</v>
      </c>
      <c r="O235" s="58"/>
      <c r="P235" s="59">
        <v>46001</v>
      </c>
      <c r="Q235" s="105">
        <v>6</v>
      </c>
      <c r="R235" s="106">
        <v>36.54</v>
      </c>
      <c r="S235" s="102">
        <f t="shared" si="11"/>
        <v>3663317.6999999997</v>
      </c>
    </row>
    <row r="236" spans="1:19" x14ac:dyDescent="0.35">
      <c r="A236" s="55" t="s">
        <v>33</v>
      </c>
      <c r="B236" s="55" t="str">
        <f>+VLOOKUP($D236,[1]STS!$A$9:$E$1405,3,0)</f>
        <v>05</v>
      </c>
      <c r="C236" s="86">
        <f>+VLOOKUP($D236,[1]STS!$A$9:$E$1405,4,0)</f>
        <v>19</v>
      </c>
      <c r="D236" s="64" t="s">
        <v>269</v>
      </c>
      <c r="E236" s="104">
        <f>+IF(ISERROR(VLOOKUP($D236,[1]STS!$E$9:$G$1503,3,0)=0),0,VLOOKUP($D236,[1]STS!$E$9:$G$1503,3,0))</f>
        <v>8.14</v>
      </c>
      <c r="F236" s="98">
        <f>+E236</f>
        <v>8.14</v>
      </c>
      <c r="G236" s="99">
        <f>+IF(ISERROR(VLOOKUP(D236,[1]STS!$E$9:$AO$1503,37,0)=0),0,VLOOKUP(D236,[1]STS!$E$9:$AO$1503,37,0))</f>
        <v>2.7785184413580284</v>
      </c>
      <c r="H236" s="82" t="str">
        <f>+IF(ISERROR(VLOOKUP(D236,[1]STS!$E$9:$I$1503,5,0)=0),0,VLOOKUP(D236,[1]STS!$E$9:$I$1503,5,0))</f>
        <v>FC</v>
      </c>
      <c r="I236" s="65"/>
      <c r="J236" s="66" t="str">
        <f>VLOOKUP(D236,[1]STS!$E$9:$BC$1359,51,0)</f>
        <v>F18CK</v>
      </c>
      <c r="K236" s="67"/>
      <c r="L236" s="78" t="str">
        <f>+VLOOKUP(N236,'[1]MSTR AKT'!$C$4:$E$460,3,0)</f>
        <v>Etri 1</v>
      </c>
      <c r="M236" s="83">
        <f>+IF(ISERROR(VLOOKUP($N236,'[1]MSTR AKT'!$C$4:$D$460,2,0)=0),0,VLOOKUP($N236,'[1]MSTR AKT'!$C$4:$D$460,2,0))</f>
        <v>1113211111</v>
      </c>
      <c r="N236" s="63" t="s">
        <v>1</v>
      </c>
      <c r="O236" s="58"/>
      <c r="P236" s="59">
        <v>46002</v>
      </c>
      <c r="Q236" s="105">
        <v>6</v>
      </c>
      <c r="R236" s="106">
        <v>46.019999999999996</v>
      </c>
      <c r="S236" s="102">
        <f t="shared" si="11"/>
        <v>4613735.0999999996</v>
      </c>
    </row>
    <row r="237" spans="1:19" x14ac:dyDescent="0.35">
      <c r="A237" s="55" t="s">
        <v>33</v>
      </c>
      <c r="B237" s="55" t="str">
        <f>+VLOOKUP($D237,[1]STS!$A$9:$E$1405,3,0)</f>
        <v>05</v>
      </c>
      <c r="C237" s="86">
        <f>+VLOOKUP($D237,[1]STS!$A$9:$E$1405,4,0)</f>
        <v>19</v>
      </c>
      <c r="D237" s="64" t="s">
        <v>269</v>
      </c>
      <c r="E237" s="104">
        <f>+IF(ISERROR(VLOOKUP($D237,[1]STS!$E$9:$G$1503,3,0)=0),0,VLOOKUP($D237,[1]STS!$E$9:$G$1503,3,0))</f>
        <v>8.14</v>
      </c>
      <c r="F237" s="98">
        <f>+E237</f>
        <v>8.14</v>
      </c>
      <c r="G237" s="99">
        <f>+IF(ISERROR(VLOOKUP(D237,[1]STS!$E$9:$AO$1503,37,0)=0),0,VLOOKUP(D237,[1]STS!$E$9:$AO$1503,37,0))</f>
        <v>2.7785184413580284</v>
      </c>
      <c r="H237" s="82" t="str">
        <f>+IF(ISERROR(VLOOKUP(D237,[1]STS!$E$9:$I$1503,5,0)=0),0,VLOOKUP(D237,[1]STS!$E$9:$I$1503,5,0))</f>
        <v>FC</v>
      </c>
      <c r="I237" s="65"/>
      <c r="J237" s="66" t="str">
        <f>VLOOKUP(D237,[1]STS!$E$9:$BC$1359,51,0)</f>
        <v>F18CK</v>
      </c>
      <c r="K237" s="67"/>
      <c r="L237" s="78" t="str">
        <f>+VLOOKUP(N237,'[1]MSTR AKT'!$C$4:$E$460,3,0)</f>
        <v>Nugroho</v>
      </c>
      <c r="M237" s="83">
        <f>+IF(ISERROR(VLOOKUP($N237,'[1]MSTR AKT'!$C$4:$D$460,2,0)=0),0,VLOOKUP($N237,'[1]MSTR AKT'!$C$4:$D$460,2,0))</f>
        <v>1313131111</v>
      </c>
      <c r="N237" s="63" t="s">
        <v>35</v>
      </c>
      <c r="O237" s="58"/>
      <c r="P237" s="59">
        <v>46001</v>
      </c>
      <c r="Q237" s="105">
        <v>2</v>
      </c>
      <c r="R237" s="106">
        <f>+Q237*F237</f>
        <v>16.28</v>
      </c>
      <c r="S237" s="102">
        <f t="shared" si="11"/>
        <v>1632151.4000000001</v>
      </c>
    </row>
    <row r="238" spans="1:19" x14ac:dyDescent="0.35">
      <c r="A238" s="55" t="s">
        <v>33</v>
      </c>
      <c r="B238" s="55" t="str">
        <f>+VLOOKUP($D238,[1]STS!$A$9:$E$1405,3,0)</f>
        <v>05</v>
      </c>
      <c r="C238" s="86">
        <f>+VLOOKUP($D238,[1]STS!$A$9:$E$1405,4,0)</f>
        <v>19</v>
      </c>
      <c r="D238" s="64" t="s">
        <v>186</v>
      </c>
      <c r="E238" s="104">
        <f>+IF(ISERROR(VLOOKUP($D238,[1]STS!$E$9:$G$1503,3,0)=0),0,VLOOKUP($D238,[1]STS!$E$9:$G$1503,3,0))</f>
        <v>10.83</v>
      </c>
      <c r="F238" s="98">
        <v>4</v>
      </c>
      <c r="G238" s="99">
        <f>+IF(ISERROR(VLOOKUP(D238,[1]STS!$E$9:$AO$1503,37,0)=0),0,VLOOKUP(D238,[1]STS!$E$9:$AO$1503,37,0))</f>
        <v>11.811851774691361</v>
      </c>
      <c r="H238" s="82" t="str">
        <f>+IF(ISERROR(VLOOKUP(D238,[1]STS!$E$9:$I$1503,5,0)=0),0,VLOOKUP(D238,[1]STS!$E$9:$I$1503,5,0))</f>
        <v>FC</v>
      </c>
      <c r="I238" s="65"/>
      <c r="J238" s="66" t="str">
        <f>VLOOKUP(D238,[1]STS!$E$9:$BC$1359,51,0)</f>
        <v>GP3CK</v>
      </c>
      <c r="K238" s="67"/>
      <c r="L238" s="78" t="str">
        <f>+VLOOKUP(N238,'[1]MSTR AKT'!$C$4:$E$460,3,0)</f>
        <v>Etri 2</v>
      </c>
      <c r="M238" s="83">
        <f>+IF(ISERROR(VLOOKUP($N238,'[1]MSTR AKT'!$C$4:$D$460,2,0)=0),0,VLOOKUP($N238,'[1]MSTR AKT'!$C$4:$D$460,2,0))</f>
        <v>1315131317</v>
      </c>
      <c r="N238" s="63" t="s">
        <v>5</v>
      </c>
      <c r="O238" s="58"/>
      <c r="P238" s="59">
        <v>46001</v>
      </c>
      <c r="Q238" s="105">
        <v>0.5</v>
      </c>
      <c r="R238" s="106">
        <v>1.5</v>
      </c>
      <c r="S238" s="102">
        <f t="shared" si="11"/>
        <v>150382.5</v>
      </c>
    </row>
    <row r="239" spans="1:19" x14ac:dyDescent="0.35">
      <c r="A239" s="55" t="s">
        <v>33</v>
      </c>
      <c r="B239" s="55" t="str">
        <f>+VLOOKUP($D239,[1]STS!$A$9:$E$1405,3,0)</f>
        <v>05</v>
      </c>
      <c r="C239" s="86">
        <f>+VLOOKUP($D239,[1]STS!$A$9:$E$1405,4,0)</f>
        <v>19</v>
      </c>
      <c r="D239" s="64" t="s">
        <v>189</v>
      </c>
      <c r="E239" s="104">
        <f>+IF(ISERROR(VLOOKUP($D239,[1]STS!$E$9:$G$1503,3,0)=0),0,VLOOKUP($D239,[1]STS!$E$9:$G$1503,3,0))</f>
        <v>14.24</v>
      </c>
      <c r="F239" s="98">
        <v>4</v>
      </c>
      <c r="G239" s="99">
        <f>+IF(ISERROR(VLOOKUP(D239,[1]STS!$E$9:$AO$1503,37,0)=0),0,VLOOKUP(D239,[1]STS!$E$9:$AO$1503,37,0))</f>
        <v>4.378518441358028</v>
      </c>
      <c r="H239" s="82" t="str">
        <f>+IF(ISERROR(VLOOKUP(D239,[1]STS!$E$9:$I$1503,5,0)=0),0,VLOOKUP(D239,[1]STS!$E$9:$I$1503,5,0))</f>
        <v>FC</v>
      </c>
      <c r="I239" s="65"/>
      <c r="J239" s="66" t="str">
        <f>VLOOKUP(D239,[1]STS!$E$9:$BC$1359,51,0)</f>
        <v>GP3CK</v>
      </c>
      <c r="K239" s="67"/>
      <c r="L239" s="78" t="str">
        <f>+VLOOKUP(N239,'[1]MSTR AKT'!$C$4:$E$460,3,0)</f>
        <v>Etri 2</v>
      </c>
      <c r="M239" s="83">
        <f>+IF(ISERROR(VLOOKUP($N239,'[1]MSTR AKT'!$C$4:$D$460,2,0)=0),0,VLOOKUP($N239,'[1]MSTR AKT'!$C$4:$D$460,2,0))</f>
        <v>1315131317</v>
      </c>
      <c r="N239" s="63" t="s">
        <v>5</v>
      </c>
      <c r="O239" s="58"/>
      <c r="P239" s="59">
        <v>46001</v>
      </c>
      <c r="Q239" s="105">
        <v>0.5</v>
      </c>
      <c r="R239" s="106">
        <v>2</v>
      </c>
      <c r="S239" s="102">
        <f t="shared" si="11"/>
        <v>200510</v>
      </c>
    </row>
    <row r="240" spans="1:19" x14ac:dyDescent="0.35">
      <c r="A240" s="55" t="s">
        <v>33</v>
      </c>
      <c r="B240" s="55" t="str">
        <f>+VLOOKUP($D240,[1]STS!$A$9:$E$1405,3,0)</f>
        <v>05</v>
      </c>
      <c r="C240" s="86">
        <f>+VLOOKUP($D240,[1]STS!$A$9:$E$1405,4,0)</f>
        <v>19</v>
      </c>
      <c r="D240" s="64" t="s">
        <v>281</v>
      </c>
      <c r="E240" s="104">
        <f>+IF(ISERROR(VLOOKUP($D240,[1]STS!$E$9:$G$1503,3,0)=0),0,VLOOKUP($D240,[1]STS!$E$9:$G$1503,3,0))</f>
        <v>7.82</v>
      </c>
      <c r="F240" s="98">
        <f>+E240*30%</f>
        <v>2.3460000000000001</v>
      </c>
      <c r="G240" s="99">
        <f>+IF(ISERROR(VLOOKUP(D240,[1]STS!$E$9:$AO$1503,37,0)=0),0,VLOOKUP(D240,[1]STS!$E$9:$AO$1503,37,0))</f>
        <v>4.2451851080246952</v>
      </c>
      <c r="H240" s="82" t="str">
        <f>+IF(ISERROR(VLOOKUP(D240,[1]STS!$E$9:$I$1503,5,0)=0),0,VLOOKUP(D240,[1]STS!$E$9:$I$1503,5,0))</f>
        <v>BK</v>
      </c>
      <c r="I240" s="65"/>
      <c r="J240" s="66" t="str">
        <f>VLOOKUP(D240,[1]STS!$E$9:$BC$1359,51,0)</f>
        <v>F18</v>
      </c>
      <c r="K240" s="67"/>
      <c r="L240" s="78" t="str">
        <f>+VLOOKUP(N240,'[1]MSTR AKT'!$C$4:$E$460,3,0)</f>
        <v>Etri 2</v>
      </c>
      <c r="M240" s="83">
        <f>+IF(ISERROR(VLOOKUP($N240,'[1]MSTR AKT'!$C$4:$D$460,2,0)=0),0,VLOOKUP($N240,'[1]MSTR AKT'!$C$4:$D$460,2,0))</f>
        <v>1113111113</v>
      </c>
      <c r="N240" s="63" t="s">
        <v>6</v>
      </c>
      <c r="O240" s="58"/>
      <c r="P240" s="59">
        <v>46001</v>
      </c>
      <c r="Q240" s="105">
        <v>2</v>
      </c>
      <c r="R240" s="106">
        <f t="shared" ref="R240:R250" si="12">+Q240*F240</f>
        <v>4.6920000000000002</v>
      </c>
      <c r="S240" s="102">
        <f t="shared" si="11"/>
        <v>470396.46</v>
      </c>
    </row>
    <row r="241" spans="1:19" x14ac:dyDescent="0.35">
      <c r="A241" s="55" t="s">
        <v>33</v>
      </c>
      <c r="B241" s="55" t="str">
        <f>+VLOOKUP($D241,[1]STS!$A$9:$E$1405,3,0)</f>
        <v>05</v>
      </c>
      <c r="C241" s="86">
        <f>+VLOOKUP($D241,[1]STS!$A$9:$E$1405,4,0)</f>
        <v>19</v>
      </c>
      <c r="D241" s="64" t="s">
        <v>278</v>
      </c>
      <c r="E241" s="104">
        <f>+IF(ISERROR(VLOOKUP($D241,[1]STS!$E$9:$G$1503,3,0)=0),0,VLOOKUP($D241,[1]STS!$E$9:$G$1503,3,0))</f>
        <v>7.71</v>
      </c>
      <c r="F241" s="98">
        <f t="shared" ref="F241:F250" si="13">+E241*30%</f>
        <v>2.3129999999999997</v>
      </c>
      <c r="G241" s="99">
        <f>+IF(ISERROR(VLOOKUP(D241,[1]STS!$E$9:$AO$1503,37,0)=0),0,VLOOKUP(D241,[1]STS!$E$9:$AO$1503,37,0))</f>
        <v>1.9451851080246949</v>
      </c>
      <c r="H241" s="82" t="str">
        <f>+IF(ISERROR(VLOOKUP(D241,[1]STS!$E$9:$I$1503,5,0)=0),0,VLOOKUP(D241,[1]STS!$E$9:$I$1503,5,0))</f>
        <v>BK</v>
      </c>
      <c r="I241" s="65"/>
      <c r="J241" s="66" t="str">
        <f>VLOOKUP(D241,[1]STS!$E$9:$BC$1359,51,0)</f>
        <v>F18</v>
      </c>
      <c r="K241" s="67"/>
      <c r="L241" s="78" t="str">
        <f>+VLOOKUP(N241,'[1]MSTR AKT'!$C$4:$E$460,3,0)</f>
        <v>Etri 2</v>
      </c>
      <c r="M241" s="83">
        <f>+IF(ISERROR(VLOOKUP($N241,'[1]MSTR AKT'!$C$4:$D$460,2,0)=0),0,VLOOKUP($N241,'[1]MSTR AKT'!$C$4:$D$460,2,0))</f>
        <v>1113111113</v>
      </c>
      <c r="N241" s="63" t="s">
        <v>6</v>
      </c>
      <c r="O241" s="58"/>
      <c r="P241" s="59">
        <v>46001</v>
      </c>
      <c r="Q241" s="105">
        <v>2</v>
      </c>
      <c r="R241" s="106">
        <f t="shared" si="12"/>
        <v>4.6259999999999994</v>
      </c>
      <c r="S241" s="102">
        <f t="shared" si="11"/>
        <v>463779.62999999995</v>
      </c>
    </row>
    <row r="242" spans="1:19" x14ac:dyDescent="0.35">
      <c r="A242" s="55" t="s">
        <v>33</v>
      </c>
      <c r="B242" s="55" t="str">
        <f>+VLOOKUP($D242,[1]STS!$A$9:$E$1405,3,0)</f>
        <v>05</v>
      </c>
      <c r="C242" s="86">
        <f>+VLOOKUP($D242,[1]STS!$A$9:$E$1405,4,0)</f>
        <v>19</v>
      </c>
      <c r="D242" s="64" t="s">
        <v>187</v>
      </c>
      <c r="E242" s="104">
        <f>+IF(ISERROR(VLOOKUP($D242,[1]STS!$E$9:$G$1503,3,0)=0),0,VLOOKUP($D242,[1]STS!$E$9:$G$1503,3,0))</f>
        <v>7.94</v>
      </c>
      <c r="F242" s="98">
        <f t="shared" si="13"/>
        <v>2.3820000000000001</v>
      </c>
      <c r="G242" s="99">
        <f>+IF(ISERROR(VLOOKUP(D242,[1]STS!$E$9:$AO$1503,37,0)=0),0,VLOOKUP(D242,[1]STS!$E$9:$AO$1503,37,0))</f>
        <v>13.145185108024695</v>
      </c>
      <c r="H242" s="82" t="str">
        <f>+IF(ISERROR(VLOOKUP(D242,[1]STS!$E$9:$I$1503,5,0)=0),0,VLOOKUP(D242,[1]STS!$E$9:$I$1503,5,0))</f>
        <v>FC</v>
      </c>
      <c r="I242" s="65"/>
      <c r="J242" s="66" t="str">
        <f>VLOOKUP(D242,[1]STS!$E$9:$BC$1359,51,0)</f>
        <v>GP3CK</v>
      </c>
      <c r="K242" s="67"/>
      <c r="L242" s="78" t="str">
        <f>+VLOOKUP(N242,'[1]MSTR AKT'!$C$4:$E$460,3,0)</f>
        <v>Etri 2</v>
      </c>
      <c r="M242" s="83">
        <f>+IF(ISERROR(VLOOKUP($N242,'[1]MSTR AKT'!$C$4:$D$460,2,0)=0),0,VLOOKUP($N242,'[1]MSTR AKT'!$C$4:$D$460,2,0))</f>
        <v>1315131315</v>
      </c>
      <c r="N242" s="63" t="s">
        <v>7</v>
      </c>
      <c r="O242" s="58"/>
      <c r="P242" s="59">
        <v>46000</v>
      </c>
      <c r="Q242" s="105">
        <v>2</v>
      </c>
      <c r="R242" s="106">
        <f t="shared" si="12"/>
        <v>4.7640000000000002</v>
      </c>
      <c r="S242" s="102">
        <f t="shared" si="11"/>
        <v>477614.82</v>
      </c>
    </row>
    <row r="243" spans="1:19" x14ac:dyDescent="0.35">
      <c r="A243" s="55" t="s">
        <v>33</v>
      </c>
      <c r="B243" s="55" t="str">
        <f>+VLOOKUP($D243,[1]STS!$A$9:$E$1405,3,0)</f>
        <v>05</v>
      </c>
      <c r="C243" s="86">
        <f>+VLOOKUP($D243,[1]STS!$A$9:$E$1405,4,0)</f>
        <v>19</v>
      </c>
      <c r="D243" s="64" t="s">
        <v>198</v>
      </c>
      <c r="E243" s="104">
        <f>+IF(ISERROR(VLOOKUP($D243,[1]STS!$E$9:$G$1503,3,0)=0),0,VLOOKUP($D243,[1]STS!$E$9:$G$1503,3,0))</f>
        <v>5.66</v>
      </c>
      <c r="F243" s="98">
        <f t="shared" si="13"/>
        <v>1.698</v>
      </c>
      <c r="G243" s="99">
        <f>+IF(ISERROR(VLOOKUP(D243,[1]STS!$E$9:$AO$1503,37,0)=0),0,VLOOKUP(D243,[1]STS!$E$9:$AO$1503,37,0))</f>
        <v>2.5118517746913613</v>
      </c>
      <c r="H243" s="82" t="str">
        <f>+IF(ISERROR(VLOOKUP(D243,[1]STS!$E$9:$I$1503,5,0)=0),0,VLOOKUP(D243,[1]STS!$E$9:$I$1503,5,0))</f>
        <v>SC</v>
      </c>
      <c r="I243" s="65"/>
      <c r="J243" s="66" t="str">
        <f>VLOOKUP(D243,[1]STS!$E$9:$BC$1359,51,0)</f>
        <v>F18</v>
      </c>
      <c r="K243" s="67"/>
      <c r="L243" s="78" t="str">
        <f>+VLOOKUP(N243,'[1]MSTR AKT'!$C$4:$E$460,3,0)</f>
        <v>Etri 2</v>
      </c>
      <c r="M243" s="83">
        <f>+IF(ISERROR(VLOOKUP($N243,'[1]MSTR AKT'!$C$4:$D$460,2,0)=0),0,VLOOKUP($N243,'[1]MSTR AKT'!$C$4:$D$460,2,0))</f>
        <v>1315131315</v>
      </c>
      <c r="N243" s="63" t="s">
        <v>7</v>
      </c>
      <c r="O243" s="58"/>
      <c r="P243" s="59">
        <v>46000</v>
      </c>
      <c r="Q243" s="105">
        <v>2</v>
      </c>
      <c r="R243" s="106">
        <f t="shared" si="12"/>
        <v>3.3959999999999999</v>
      </c>
      <c r="S243" s="102">
        <f t="shared" si="11"/>
        <v>340465.98</v>
      </c>
    </row>
    <row r="244" spans="1:19" x14ac:dyDescent="0.35">
      <c r="A244" s="55" t="s">
        <v>33</v>
      </c>
      <c r="B244" s="55" t="str">
        <f>+VLOOKUP($D244,[1]STS!$A$9:$E$1405,3,0)</f>
        <v>05</v>
      </c>
      <c r="C244" s="86">
        <f>+VLOOKUP($D244,[1]STS!$A$9:$E$1405,4,0)</f>
        <v>19</v>
      </c>
      <c r="D244" s="64" t="s">
        <v>195</v>
      </c>
      <c r="E244" s="104">
        <f>+IF(ISERROR(VLOOKUP($D244,[1]STS!$E$9:$G$1503,3,0)=0),0,VLOOKUP($D244,[1]STS!$E$9:$G$1503,3,0))</f>
        <v>5.89</v>
      </c>
      <c r="F244" s="98">
        <f t="shared" si="13"/>
        <v>1.7669999999999999</v>
      </c>
      <c r="G244" s="99">
        <f>+IF(ISERROR(VLOOKUP(D244,[1]STS!$E$9:$AO$1503,37,0)=0),0,VLOOKUP(D244,[1]STS!$E$9:$AO$1503,37,0))</f>
        <v>2.1451851080246951</v>
      </c>
      <c r="H244" s="82" t="str">
        <f>+IF(ISERROR(VLOOKUP(D244,[1]STS!$E$9:$I$1503,5,0)=0),0,VLOOKUP(D244,[1]STS!$E$9:$I$1503,5,0))</f>
        <v>SC</v>
      </c>
      <c r="I244" s="65"/>
      <c r="J244" s="66" t="str">
        <f>VLOOKUP(D244,[1]STS!$E$9:$BC$1359,51,0)</f>
        <v>F18</v>
      </c>
      <c r="K244" s="67"/>
      <c r="L244" s="78" t="str">
        <f>+VLOOKUP(N244,'[1]MSTR AKT'!$C$4:$E$460,3,0)</f>
        <v>Etri 2</v>
      </c>
      <c r="M244" s="83">
        <f>+IF(ISERROR(VLOOKUP($N244,'[1]MSTR AKT'!$C$4:$D$460,2,0)=0),0,VLOOKUP($N244,'[1]MSTR AKT'!$C$4:$D$460,2,0))</f>
        <v>1315131315</v>
      </c>
      <c r="N244" s="63" t="s">
        <v>7</v>
      </c>
      <c r="O244" s="58"/>
      <c r="P244" s="59">
        <v>46002</v>
      </c>
      <c r="Q244" s="105">
        <v>2</v>
      </c>
      <c r="R244" s="106">
        <f t="shared" si="12"/>
        <v>3.5339999999999998</v>
      </c>
      <c r="S244" s="102">
        <f t="shared" si="11"/>
        <v>354301.17</v>
      </c>
    </row>
    <row r="245" spans="1:19" x14ac:dyDescent="0.35">
      <c r="A245" s="55" t="s">
        <v>33</v>
      </c>
      <c r="B245" s="55" t="str">
        <f>+VLOOKUP($D245,[1]STS!$A$9:$E$1405,3,0)</f>
        <v>05</v>
      </c>
      <c r="C245" s="86">
        <f>+VLOOKUP($D245,[1]STS!$A$9:$E$1405,4,0)</f>
        <v>19</v>
      </c>
      <c r="D245" s="64" t="s">
        <v>182</v>
      </c>
      <c r="E245" s="104">
        <f>+IF(ISERROR(VLOOKUP($D245,[1]STS!$E$9:$G$1503,3,0)=0),0,VLOOKUP($D245,[1]STS!$E$9:$G$1503,3,0))</f>
        <v>5.6</v>
      </c>
      <c r="F245" s="98">
        <f t="shared" si="13"/>
        <v>1.68</v>
      </c>
      <c r="G245" s="99">
        <f>+IF(ISERROR(VLOOKUP(D245,[1]STS!$E$9:$AO$1503,37,0)=0),0,VLOOKUP(D245,[1]STS!$E$9:$AO$1503,37,0))</f>
        <v>2.1451851080246951</v>
      </c>
      <c r="H245" s="82" t="str">
        <f>+IF(ISERROR(VLOOKUP(D245,[1]STS!$E$9:$I$1503,5,0)=0),0,VLOOKUP(D245,[1]STS!$E$9:$I$1503,5,0))</f>
        <v>SC</v>
      </c>
      <c r="I245" s="65"/>
      <c r="J245" s="66" t="str">
        <f>VLOOKUP(D245,[1]STS!$E$9:$BC$1359,51,0)</f>
        <v>F18</v>
      </c>
      <c r="K245" s="67"/>
      <c r="L245" s="78" t="str">
        <f>+VLOOKUP(N245,'[1]MSTR AKT'!$C$4:$E$460,3,0)</f>
        <v>Etri 2</v>
      </c>
      <c r="M245" s="83">
        <f>+IF(ISERROR(VLOOKUP($N245,'[1]MSTR AKT'!$C$4:$D$460,2,0)=0),0,VLOOKUP($N245,'[1]MSTR AKT'!$C$4:$D$460,2,0))</f>
        <v>1315131315</v>
      </c>
      <c r="N245" s="63" t="s">
        <v>7</v>
      </c>
      <c r="O245" s="58"/>
      <c r="P245" s="59">
        <v>46001</v>
      </c>
      <c r="Q245" s="105">
        <v>2</v>
      </c>
      <c r="R245" s="106">
        <f t="shared" si="12"/>
        <v>3.36</v>
      </c>
      <c r="S245" s="102">
        <f t="shared" si="11"/>
        <v>336856.8</v>
      </c>
    </row>
    <row r="246" spans="1:19" x14ac:dyDescent="0.35">
      <c r="A246" s="55" t="s">
        <v>33</v>
      </c>
      <c r="B246" s="55" t="str">
        <f>+VLOOKUP($D246,[1]STS!$A$9:$E$1405,3,0)</f>
        <v>05</v>
      </c>
      <c r="C246" s="86">
        <f>+VLOOKUP($D246,[1]STS!$A$9:$E$1405,4,0)</f>
        <v>19</v>
      </c>
      <c r="D246" s="64" t="s">
        <v>199</v>
      </c>
      <c r="E246" s="104">
        <f>+IF(ISERROR(VLOOKUP($D246,[1]STS!$E$9:$G$1503,3,0)=0),0,VLOOKUP($D246,[1]STS!$E$9:$G$1503,3,0))</f>
        <v>5.86</v>
      </c>
      <c r="F246" s="98">
        <f t="shared" si="13"/>
        <v>1.758</v>
      </c>
      <c r="G246" s="99">
        <f>+IF(ISERROR(VLOOKUP(D246,[1]STS!$E$9:$AO$1503,37,0)=0),0,VLOOKUP(D246,[1]STS!$E$9:$AO$1503,37,0))</f>
        <v>2.4451851080246949</v>
      </c>
      <c r="H246" s="82" t="str">
        <f>+IF(ISERROR(VLOOKUP(D246,[1]STS!$E$9:$I$1503,5,0)=0),0,VLOOKUP(D246,[1]STS!$E$9:$I$1503,5,0))</f>
        <v>SC</v>
      </c>
      <c r="I246" s="65"/>
      <c r="J246" s="66" t="str">
        <f>VLOOKUP(D246,[1]STS!$E$9:$BC$1359,51,0)</f>
        <v>F18</v>
      </c>
      <c r="K246" s="67"/>
      <c r="L246" s="78" t="str">
        <f>+VLOOKUP(N246,'[1]MSTR AKT'!$C$4:$E$460,3,0)</f>
        <v>Etri 2</v>
      </c>
      <c r="M246" s="83">
        <f>+IF(ISERROR(VLOOKUP($N246,'[1]MSTR AKT'!$C$4:$D$460,2,0)=0),0,VLOOKUP($N246,'[1]MSTR AKT'!$C$4:$D$460,2,0))</f>
        <v>1315131315</v>
      </c>
      <c r="N246" s="63" t="s">
        <v>7</v>
      </c>
      <c r="O246" s="58"/>
      <c r="P246" s="59">
        <v>46002</v>
      </c>
      <c r="Q246" s="105">
        <v>2</v>
      </c>
      <c r="R246" s="106">
        <f t="shared" si="12"/>
        <v>3.516</v>
      </c>
      <c r="S246" s="102">
        <f t="shared" si="11"/>
        <v>352496.58</v>
      </c>
    </row>
    <row r="247" spans="1:19" x14ac:dyDescent="0.35">
      <c r="A247" s="55" t="s">
        <v>33</v>
      </c>
      <c r="B247" s="55" t="str">
        <f>+VLOOKUP($D247,[1]STS!$A$9:$E$1405,3,0)</f>
        <v>05</v>
      </c>
      <c r="C247" s="86">
        <f>+VLOOKUP($D247,[1]STS!$A$9:$E$1405,4,0)</f>
        <v>19</v>
      </c>
      <c r="D247" s="64" t="s">
        <v>200</v>
      </c>
      <c r="E247" s="104">
        <f>+IF(ISERROR(VLOOKUP($D247,[1]STS!$E$9:$G$1503,3,0)=0),0,VLOOKUP($D247,[1]STS!$E$9:$G$1503,3,0))</f>
        <v>4.6900000000000004</v>
      </c>
      <c r="F247" s="98">
        <f t="shared" si="13"/>
        <v>1.407</v>
      </c>
      <c r="G247" s="99">
        <f>+IF(ISERROR(VLOOKUP(D247,[1]STS!$E$9:$AO$1503,37,0)=0),0,VLOOKUP(D247,[1]STS!$E$9:$AO$1503,37,0))</f>
        <v>2.4451851080246949</v>
      </c>
      <c r="H247" s="82" t="str">
        <f>+IF(ISERROR(VLOOKUP(D247,[1]STS!$E$9:$I$1503,5,0)=0),0,VLOOKUP(D247,[1]STS!$E$9:$I$1503,5,0))</f>
        <v>SC</v>
      </c>
      <c r="I247" s="65"/>
      <c r="J247" s="66" t="str">
        <f>VLOOKUP(D247,[1]STS!$E$9:$BC$1359,51,0)</f>
        <v>F18</v>
      </c>
      <c r="K247" s="67"/>
      <c r="L247" s="78" t="str">
        <f>+VLOOKUP(N247,'[1]MSTR AKT'!$C$4:$E$460,3,0)</f>
        <v>Etri 2</v>
      </c>
      <c r="M247" s="83">
        <f>+IF(ISERROR(VLOOKUP($N247,'[1]MSTR AKT'!$C$4:$D$460,2,0)=0),0,VLOOKUP($N247,'[1]MSTR AKT'!$C$4:$D$460,2,0))</f>
        <v>1315131315</v>
      </c>
      <c r="N247" s="63" t="s">
        <v>7</v>
      </c>
      <c r="O247" s="58"/>
      <c r="P247" s="59">
        <v>46002</v>
      </c>
      <c r="Q247" s="105">
        <v>2</v>
      </c>
      <c r="R247" s="106">
        <f t="shared" si="12"/>
        <v>2.8140000000000001</v>
      </c>
      <c r="S247" s="102">
        <f t="shared" si="11"/>
        <v>282117.57</v>
      </c>
    </row>
    <row r="248" spans="1:19" x14ac:dyDescent="0.35">
      <c r="A248" s="55" t="s">
        <v>33</v>
      </c>
      <c r="B248" s="55" t="str">
        <f>+VLOOKUP($D248,[1]STS!$A$9:$E$1405,3,0)</f>
        <v>05</v>
      </c>
      <c r="C248" s="86">
        <f>+VLOOKUP($D248,[1]STS!$A$9:$E$1405,4,0)</f>
        <v>19</v>
      </c>
      <c r="D248" s="64" t="s">
        <v>277</v>
      </c>
      <c r="E248" s="104">
        <f>+IF(ISERROR(VLOOKUP($D248,[1]STS!$E$9:$G$1503,3,0)=0),0,VLOOKUP($D248,[1]STS!$E$9:$G$1503,3,0))</f>
        <v>3.77</v>
      </c>
      <c r="F248" s="98">
        <f t="shared" si="13"/>
        <v>1.131</v>
      </c>
      <c r="G248" s="99">
        <f>+IF(ISERROR(VLOOKUP(D248,[1]STS!$E$9:$AO$1503,37,0)=0),0,VLOOKUP(D248,[1]STS!$E$9:$AO$1503,37,0))</f>
        <v>2.878518441358028</v>
      </c>
      <c r="H248" s="82" t="str">
        <f>+IF(ISERROR(VLOOKUP(D248,[1]STS!$E$9:$I$1503,5,0)=0),0,VLOOKUP(D248,[1]STS!$E$9:$I$1503,5,0))</f>
        <v>SC</v>
      </c>
      <c r="I248" s="65"/>
      <c r="J248" s="66" t="str">
        <f>VLOOKUP(D248,[1]STS!$E$9:$BC$1359,51,0)</f>
        <v>F18</v>
      </c>
      <c r="K248" s="67"/>
      <c r="L248" s="78" t="str">
        <f>+VLOOKUP(N248,'[1]MSTR AKT'!$C$4:$E$460,3,0)</f>
        <v>Etri 2</v>
      </c>
      <c r="M248" s="83">
        <f>+IF(ISERROR(VLOOKUP($N248,'[1]MSTR AKT'!$C$4:$D$460,2,0)=0),0,VLOOKUP($N248,'[1]MSTR AKT'!$C$4:$D$460,2,0))</f>
        <v>1315131315</v>
      </c>
      <c r="N248" s="63" t="s">
        <v>7</v>
      </c>
      <c r="O248" s="58"/>
      <c r="P248" s="59">
        <v>46001</v>
      </c>
      <c r="Q248" s="105">
        <v>2</v>
      </c>
      <c r="R248" s="106">
        <f t="shared" si="12"/>
        <v>2.262</v>
      </c>
      <c r="S248" s="102">
        <f t="shared" si="11"/>
        <v>226776.81</v>
      </c>
    </row>
    <row r="249" spans="1:19" x14ac:dyDescent="0.35">
      <c r="A249" s="55" t="s">
        <v>33</v>
      </c>
      <c r="B249" s="55" t="str">
        <f>+VLOOKUP($D249,[1]STS!$A$9:$E$1405,3,0)</f>
        <v>05</v>
      </c>
      <c r="C249" s="86">
        <f>+VLOOKUP($D249,[1]STS!$A$9:$E$1405,4,0)</f>
        <v>19</v>
      </c>
      <c r="D249" s="64" t="s">
        <v>186</v>
      </c>
      <c r="E249" s="104">
        <f>+IF(ISERROR(VLOOKUP($D249,[1]STS!$E$9:$G$1503,3,0)=0),0,VLOOKUP($D249,[1]STS!$E$9:$G$1503,3,0))</f>
        <v>10.83</v>
      </c>
      <c r="F249" s="98">
        <f t="shared" si="13"/>
        <v>3.2490000000000001</v>
      </c>
      <c r="G249" s="99">
        <f>+IF(ISERROR(VLOOKUP(D249,[1]STS!$E$9:$AO$1503,37,0)=0),0,VLOOKUP(D249,[1]STS!$E$9:$AO$1503,37,0))</f>
        <v>11.811851774691361</v>
      </c>
      <c r="H249" s="82" t="str">
        <f>+IF(ISERROR(VLOOKUP(D249,[1]STS!$E$9:$I$1503,5,0)=0),0,VLOOKUP(D249,[1]STS!$E$9:$I$1503,5,0))</f>
        <v>FC</v>
      </c>
      <c r="I249" s="65"/>
      <c r="J249" s="66" t="str">
        <f>VLOOKUP(D249,[1]STS!$E$9:$BC$1359,51,0)</f>
        <v>GP3CK</v>
      </c>
      <c r="K249" s="67"/>
      <c r="L249" s="78" t="str">
        <f>+VLOOKUP(N249,'[1]MSTR AKT'!$C$4:$E$460,3,0)</f>
        <v>Etri 2</v>
      </c>
      <c r="M249" s="83">
        <f>+IF(ISERROR(VLOOKUP($N249,'[1]MSTR AKT'!$C$4:$D$460,2,0)=0),0,VLOOKUP($N249,'[1]MSTR AKT'!$C$4:$D$460,2,0))</f>
        <v>1315131317</v>
      </c>
      <c r="N249" s="63" t="s">
        <v>5</v>
      </c>
      <c r="O249" s="58"/>
      <c r="P249" s="59">
        <v>46003</v>
      </c>
      <c r="Q249" s="105">
        <v>2</v>
      </c>
      <c r="R249" s="106">
        <f t="shared" si="12"/>
        <v>6.4980000000000002</v>
      </c>
      <c r="S249" s="102">
        <f t="shared" si="11"/>
        <v>651456.99</v>
      </c>
    </row>
    <row r="250" spans="1:19" x14ac:dyDescent="0.35">
      <c r="A250" s="55" t="s">
        <v>33</v>
      </c>
      <c r="B250" s="55" t="str">
        <f>+VLOOKUP($D250,[1]STS!$A$9:$E$1405,3,0)</f>
        <v>05</v>
      </c>
      <c r="C250" s="86">
        <f>+VLOOKUP($D250,[1]STS!$A$9:$E$1405,4,0)</f>
        <v>19</v>
      </c>
      <c r="D250" s="64" t="s">
        <v>189</v>
      </c>
      <c r="E250" s="104">
        <f>+IF(ISERROR(VLOOKUP($D250,[1]STS!$E$9:$G$1503,3,0)=0),0,VLOOKUP($D250,[1]STS!$E$9:$G$1503,3,0))</f>
        <v>14.24</v>
      </c>
      <c r="F250" s="98">
        <f t="shared" si="13"/>
        <v>4.2720000000000002</v>
      </c>
      <c r="G250" s="99">
        <f>+IF(ISERROR(VLOOKUP(D250,[1]STS!$E$9:$AO$1503,37,0)=0),0,VLOOKUP(D250,[1]STS!$E$9:$AO$1503,37,0))</f>
        <v>4.378518441358028</v>
      </c>
      <c r="H250" s="82" t="str">
        <f>+IF(ISERROR(VLOOKUP(D250,[1]STS!$E$9:$I$1503,5,0)=0),0,VLOOKUP(D250,[1]STS!$E$9:$I$1503,5,0))</f>
        <v>FC</v>
      </c>
      <c r="I250" s="65"/>
      <c r="J250" s="66" t="str">
        <f>VLOOKUP(D250,[1]STS!$E$9:$BC$1359,51,0)</f>
        <v>GP3CK</v>
      </c>
      <c r="K250" s="67"/>
      <c r="L250" s="78" t="str">
        <f>+VLOOKUP(N250,'[1]MSTR AKT'!$C$4:$E$460,3,0)</f>
        <v>Etri 2</v>
      </c>
      <c r="M250" s="83">
        <f>+IF(ISERROR(VLOOKUP($N250,'[1]MSTR AKT'!$C$4:$D$460,2,0)=0),0,VLOOKUP($N250,'[1]MSTR AKT'!$C$4:$D$460,2,0))</f>
        <v>1315131317</v>
      </c>
      <c r="N250" s="63" t="s">
        <v>5</v>
      </c>
      <c r="O250" s="58"/>
      <c r="P250" s="59">
        <v>46002</v>
      </c>
      <c r="Q250" s="105">
        <v>2</v>
      </c>
      <c r="R250" s="106">
        <f t="shared" si="12"/>
        <v>8.5440000000000005</v>
      </c>
      <c r="S250" s="102">
        <f t="shared" si="11"/>
        <v>856578.72000000009</v>
      </c>
    </row>
    <row r="251" spans="1:19" x14ac:dyDescent="0.35">
      <c r="A251" s="55" t="s">
        <v>33</v>
      </c>
      <c r="B251" s="55" t="str">
        <f>+VLOOKUP($D251,[1]STS!$A$9:$E$1405,3,0)</f>
        <v>05</v>
      </c>
      <c r="C251" s="86">
        <f>+VLOOKUP($D251,[1]STS!$A$9:$E$1405,4,0)</f>
        <v>19</v>
      </c>
      <c r="D251" s="64" t="s">
        <v>273</v>
      </c>
      <c r="E251" s="104">
        <f>+IF(ISERROR(VLOOKUP($D251,[1]STS!$E$9:$G$1503,3,0)=0),0,VLOOKUP($D251,[1]STS!$E$9:$G$1503,3,0))</f>
        <v>8.2100000000000009</v>
      </c>
      <c r="F251" s="98">
        <v>4</v>
      </c>
      <c r="G251" s="99">
        <f>+IF(ISERROR(VLOOKUP(D251,[1]STS!$E$9:$AO$1503,37,0)=0),0,VLOOKUP(D251,[1]STS!$E$9:$AO$1503,37,0))</f>
        <v>0.24518510802469487</v>
      </c>
      <c r="H251" s="82" t="str">
        <f>+IF(ISERROR(VLOOKUP(D251,[1]STS!$E$9:$I$1503,5,0)=0),0,VLOOKUP(D251,[1]STS!$E$9:$I$1503,5,0))</f>
        <v>FC</v>
      </c>
      <c r="I251" s="65"/>
      <c r="J251" s="66" t="str">
        <f>VLOOKUP(D251,[1]STS!$E$9:$BC$1359,51,0)</f>
        <v>GP3CK</v>
      </c>
      <c r="K251" s="67"/>
      <c r="L251" s="78" t="str">
        <f>+VLOOKUP(N251,'[1]MSTR AKT'!$C$4:$E$460,3,0)</f>
        <v>Etri 2</v>
      </c>
      <c r="M251" s="83">
        <f>+IF(ISERROR(VLOOKUP($N251,'[1]MSTR AKT'!$C$4:$D$460,2,0)=0),0,VLOOKUP($N251,'[1]MSTR AKT'!$C$4:$D$460,2,0))</f>
        <v>1315131513</v>
      </c>
      <c r="N251" s="63" t="s">
        <v>8</v>
      </c>
      <c r="O251" s="58"/>
      <c r="P251" s="59">
        <v>46001</v>
      </c>
      <c r="Q251" s="105">
        <v>4</v>
      </c>
      <c r="R251" s="106">
        <v>12</v>
      </c>
      <c r="S251" s="102">
        <f t="shared" si="11"/>
        <v>1203060</v>
      </c>
    </row>
    <row r="252" spans="1:19" x14ac:dyDescent="0.35">
      <c r="A252" s="55" t="s">
        <v>33</v>
      </c>
      <c r="B252" s="55" t="str">
        <f>+VLOOKUP($D252,[1]STS!$A$9:$E$1405,3,0)</f>
        <v>05</v>
      </c>
      <c r="C252" s="86">
        <f>+VLOOKUP($D252,[1]STS!$A$9:$E$1405,4,0)</f>
        <v>19</v>
      </c>
      <c r="D252" s="64" t="s">
        <v>274</v>
      </c>
      <c r="E252" s="104">
        <f>+IF(ISERROR(VLOOKUP($D252,[1]STS!$E$9:$G$1503,3,0)=0),0,VLOOKUP($D252,[1]STS!$E$9:$G$1503,3,0))</f>
        <v>7.91</v>
      </c>
      <c r="F252" s="98">
        <v>4</v>
      </c>
      <c r="G252" s="99">
        <f>+IF(ISERROR(VLOOKUP(D252,[1]STS!$E$9:$AO$1503,37,0)=0),0,VLOOKUP(D252,[1]STS!$E$9:$AO$1503,37,0))</f>
        <v>1.6118517746913616</v>
      </c>
      <c r="H252" s="82" t="str">
        <f>+IF(ISERROR(VLOOKUP(D252,[1]STS!$E$9:$I$1503,5,0)=0),0,VLOOKUP(D252,[1]STS!$E$9:$I$1503,5,0))</f>
        <v>ST</v>
      </c>
      <c r="I252" s="65"/>
      <c r="J252" s="66" t="str">
        <f>VLOOKUP(D252,[1]STS!$E$9:$BC$1359,51,0)</f>
        <v>F18</v>
      </c>
      <c r="K252" s="67"/>
      <c r="L252" s="78" t="str">
        <f>+VLOOKUP(N252,'[1]MSTR AKT'!$C$4:$E$460,3,0)</f>
        <v>Etri 2</v>
      </c>
      <c r="M252" s="83">
        <f>+IF(ISERROR(VLOOKUP($N252,'[1]MSTR AKT'!$C$4:$D$460,2,0)=0),0,VLOOKUP($N252,'[1]MSTR AKT'!$C$4:$D$460,2,0))</f>
        <v>1315131513</v>
      </c>
      <c r="N252" s="63" t="s">
        <v>8</v>
      </c>
      <c r="O252" s="58"/>
      <c r="P252" s="59">
        <v>45998</v>
      </c>
      <c r="Q252" s="105">
        <v>4</v>
      </c>
      <c r="R252" s="106">
        <v>12</v>
      </c>
      <c r="S252" s="102">
        <f t="shared" si="11"/>
        <v>1203060</v>
      </c>
    </row>
    <row r="253" spans="1:19" x14ac:dyDescent="0.35">
      <c r="A253" s="55" t="s">
        <v>33</v>
      </c>
      <c r="B253" s="55" t="str">
        <f>+VLOOKUP($D253,[1]STS!$A$9:$E$1405,3,0)</f>
        <v>05</v>
      </c>
      <c r="C253" s="86">
        <f>+VLOOKUP($D253,[1]STS!$A$9:$E$1405,4,0)</f>
        <v>19</v>
      </c>
      <c r="D253" s="64" t="s">
        <v>102</v>
      </c>
      <c r="E253" s="104">
        <f>+IF(ISERROR(VLOOKUP($D253,[1]STS!$E$9:$G$1503,3,0)=0),0,VLOOKUP($D253,[1]STS!$E$9:$G$1503,3,0))</f>
        <v>9.18</v>
      </c>
      <c r="F253" s="98">
        <v>4</v>
      </c>
      <c r="G253" s="99">
        <f>+IF(ISERROR(VLOOKUP(D253,[1]STS!$E$9:$AO$1503,37,0)=0),0,VLOOKUP(D253,[1]STS!$E$9:$AO$1503,37,0))</f>
        <v>6.6118517746913614</v>
      </c>
      <c r="H253" s="82" t="str">
        <f>+IF(ISERROR(VLOOKUP(D253,[1]STS!$E$9:$I$1503,5,0)=0),0,VLOOKUP(D253,[1]STS!$E$9:$I$1503,5,0))</f>
        <v>FC</v>
      </c>
      <c r="I253" s="65"/>
      <c r="J253" s="66" t="str">
        <f>VLOOKUP(D253,[1]STS!$E$9:$BC$1359,51,0)</f>
        <v>GP3CK</v>
      </c>
      <c r="K253" s="67"/>
      <c r="L253" s="78" t="str">
        <f>+VLOOKUP(N253,'[1]MSTR AKT'!$C$4:$E$460,3,0)</f>
        <v>Etri 2</v>
      </c>
      <c r="M253" s="83">
        <f>+IF(ISERROR(VLOOKUP($N253,'[1]MSTR AKT'!$C$4:$D$460,2,0)=0),0,VLOOKUP($N253,'[1]MSTR AKT'!$C$4:$D$460,2,0))</f>
        <v>1315131513</v>
      </c>
      <c r="N253" s="63" t="s">
        <v>8</v>
      </c>
      <c r="O253" s="58"/>
      <c r="P253" s="59">
        <v>46002</v>
      </c>
      <c r="Q253" s="105">
        <v>4</v>
      </c>
      <c r="R253" s="106">
        <v>12</v>
      </c>
      <c r="S253" s="102">
        <f t="shared" si="11"/>
        <v>1203060</v>
      </c>
    </row>
    <row r="254" spans="1:19" x14ac:dyDescent="0.35">
      <c r="A254" s="55" t="s">
        <v>33</v>
      </c>
      <c r="B254" s="55" t="str">
        <f>+VLOOKUP($D254,[1]STS!$A$9:$E$1405,3,0)</f>
        <v>05</v>
      </c>
      <c r="C254" s="86">
        <f>+VLOOKUP($D254,[1]STS!$A$9:$E$1405,4,0)</f>
        <v>19</v>
      </c>
      <c r="D254" s="64" t="s">
        <v>276</v>
      </c>
      <c r="E254" s="104">
        <f>+IF(ISERROR(VLOOKUP($D254,[1]STS!$E$9:$G$1503,3,0)=0),0,VLOOKUP($D254,[1]STS!$E$9:$G$1503,3,0))</f>
        <v>11.23</v>
      </c>
      <c r="F254" s="98">
        <v>4</v>
      </c>
      <c r="G254" s="99">
        <f>+IF(ISERROR(VLOOKUP(D254,[1]STS!$E$9:$AO$1503,37,0)=0),0,VLOOKUP(D254,[1]STS!$E$9:$AO$1503,37,0))</f>
        <v>3.8118517746913616</v>
      </c>
      <c r="H254" s="82" t="str">
        <f>+IF(ISERROR(VLOOKUP(D254,[1]STS!$E$9:$I$1503,5,0)=0),0,VLOOKUP(D254,[1]STS!$E$9:$I$1503,5,0))</f>
        <v>FC</v>
      </c>
      <c r="I254" s="65"/>
      <c r="J254" s="66" t="str">
        <f>VLOOKUP(D254,[1]STS!$E$9:$BC$1359,51,0)</f>
        <v>F18CK</v>
      </c>
      <c r="K254" s="67"/>
      <c r="L254" s="78" t="str">
        <f>+VLOOKUP(N254,'[1]MSTR AKT'!$C$4:$E$460,3,0)</f>
        <v>Etri 2</v>
      </c>
      <c r="M254" s="83">
        <f>+IF(ISERROR(VLOOKUP($N254,'[1]MSTR AKT'!$C$4:$D$460,2,0)=0),0,VLOOKUP($N254,'[1]MSTR AKT'!$C$4:$D$460,2,0))</f>
        <v>1315131513</v>
      </c>
      <c r="N254" s="63" t="s">
        <v>8</v>
      </c>
      <c r="O254" s="58"/>
      <c r="P254" s="59">
        <v>46001</v>
      </c>
      <c r="Q254" s="105">
        <v>4</v>
      </c>
      <c r="R254" s="106">
        <v>16</v>
      </c>
      <c r="S254" s="102">
        <f t="shared" si="11"/>
        <v>1604080</v>
      </c>
    </row>
    <row r="255" spans="1:19" x14ac:dyDescent="0.35">
      <c r="A255" s="55" t="s">
        <v>33</v>
      </c>
      <c r="B255" s="55" t="str">
        <f>+VLOOKUP($D255,[1]STS!$A$9:$E$1405,3,0)</f>
        <v>05</v>
      </c>
      <c r="C255" s="86">
        <f>+VLOOKUP($D255,[1]STS!$A$9:$E$1405,4,0)</f>
        <v>19</v>
      </c>
      <c r="D255" s="64" t="s">
        <v>266</v>
      </c>
      <c r="E255" s="104">
        <f>+IF(ISERROR(VLOOKUP($D255,[1]STS!$E$9:$G$1503,3,0)=0),0,VLOOKUP($D255,[1]STS!$E$9:$G$1503,3,0))</f>
        <v>7.97</v>
      </c>
      <c r="F255" s="98">
        <v>2</v>
      </c>
      <c r="G255" s="99">
        <f>+IF(ISERROR(VLOOKUP(D255,[1]STS!$E$9:$AO$1503,37,0)=0),0,VLOOKUP(D255,[1]STS!$E$9:$AO$1503,37,0))</f>
        <v>2.8118517746913616</v>
      </c>
      <c r="H255" s="82" t="str">
        <f>+IF(ISERROR(VLOOKUP(D255,[1]STS!$E$9:$I$1503,5,0)=0),0,VLOOKUP(D255,[1]STS!$E$9:$I$1503,5,0))</f>
        <v>FC</v>
      </c>
      <c r="I255" s="65"/>
      <c r="J255" s="66" t="str">
        <f>VLOOKUP(D255,[1]STS!$E$9:$BC$1359,51,0)</f>
        <v>F18CK</v>
      </c>
      <c r="K255" s="67"/>
      <c r="L255" s="78" t="str">
        <f>+VLOOKUP(N255,'[1]MSTR AKT'!$C$4:$E$460,3,0)</f>
        <v>Etri 2</v>
      </c>
      <c r="M255" s="83">
        <f>+IF(ISERROR(VLOOKUP($N255,'[1]MSTR AKT'!$C$4:$D$460,2,0)=0),0,VLOOKUP($N255,'[1]MSTR AKT'!$C$4:$D$460,2,0))</f>
        <v>1315131513</v>
      </c>
      <c r="N255" s="63" t="s">
        <v>8</v>
      </c>
      <c r="O255" s="58"/>
      <c r="P255" s="59">
        <v>46001</v>
      </c>
      <c r="Q255" s="105">
        <v>4</v>
      </c>
      <c r="R255" s="106">
        <v>8</v>
      </c>
      <c r="S255" s="102">
        <f t="shared" si="11"/>
        <v>802040</v>
      </c>
    </row>
    <row r="256" spans="1:19" x14ac:dyDescent="0.35">
      <c r="A256" s="55" t="s">
        <v>33</v>
      </c>
      <c r="B256" s="55" t="str">
        <f>+VLOOKUP($D256,[1]STS!$A$9:$E$1405,3,0)</f>
        <v>05</v>
      </c>
      <c r="C256" s="86">
        <f>+VLOOKUP($D256,[1]STS!$A$9:$E$1405,4,0)</f>
        <v>19</v>
      </c>
      <c r="D256" s="64" t="s">
        <v>186</v>
      </c>
      <c r="E256" s="104">
        <f>+IF(ISERROR(VLOOKUP($D256,[1]STS!$E$9:$G$1503,3,0)=0),0,VLOOKUP($D256,[1]STS!$E$9:$G$1503,3,0))</f>
        <v>10.83</v>
      </c>
      <c r="F256" s="98">
        <v>2</v>
      </c>
      <c r="G256" s="99">
        <f>+IF(ISERROR(VLOOKUP(D256,[1]STS!$E$9:$AO$1503,37,0)=0),0,VLOOKUP(D256,[1]STS!$E$9:$AO$1503,37,0))</f>
        <v>11.811851774691361</v>
      </c>
      <c r="H256" s="82" t="str">
        <f>+IF(ISERROR(VLOOKUP(D256,[1]STS!$E$9:$I$1503,5,0)=0),0,VLOOKUP(D256,[1]STS!$E$9:$I$1503,5,0))</f>
        <v>FC</v>
      </c>
      <c r="I256" s="65"/>
      <c r="J256" s="66" t="str">
        <f>VLOOKUP(D256,[1]STS!$E$9:$BC$1359,51,0)</f>
        <v>GP3CK</v>
      </c>
      <c r="K256" s="67"/>
      <c r="L256" s="78" t="str">
        <f>+VLOOKUP(N256,'[1]MSTR AKT'!$C$4:$E$460,3,0)</f>
        <v>Etri 2</v>
      </c>
      <c r="M256" s="83">
        <f>+IF(ISERROR(VLOOKUP($N256,'[1]MSTR AKT'!$C$4:$D$460,2,0)=0),0,VLOOKUP($N256,'[1]MSTR AKT'!$C$4:$D$460,2,0))</f>
        <v>1315131513</v>
      </c>
      <c r="N256" s="63" t="s">
        <v>8</v>
      </c>
      <c r="O256" s="58"/>
      <c r="P256" s="59">
        <v>46003</v>
      </c>
      <c r="Q256" s="105">
        <v>4</v>
      </c>
      <c r="R256" s="106">
        <v>12</v>
      </c>
      <c r="S256" s="102">
        <f t="shared" si="11"/>
        <v>1203060</v>
      </c>
    </row>
    <row r="257" spans="1:19" x14ac:dyDescent="0.35">
      <c r="A257" s="55" t="s">
        <v>33</v>
      </c>
      <c r="B257" s="55" t="str">
        <f>+VLOOKUP($D257,[1]STS!$A$9:$E$1405,3,0)</f>
        <v>05</v>
      </c>
      <c r="C257" s="86">
        <f>+VLOOKUP($D257,[1]STS!$A$9:$E$1405,4,0)</f>
        <v>19</v>
      </c>
      <c r="D257" s="64" t="s">
        <v>189</v>
      </c>
      <c r="E257" s="104">
        <f>+IF(ISERROR(VLOOKUP($D257,[1]STS!$E$9:$G$1503,3,0)=0),0,VLOOKUP($D257,[1]STS!$E$9:$G$1503,3,0))</f>
        <v>14.24</v>
      </c>
      <c r="F257" s="98">
        <v>2</v>
      </c>
      <c r="G257" s="99">
        <f>+IF(ISERROR(VLOOKUP(D257,[1]STS!$E$9:$AO$1503,37,0)=0),0,VLOOKUP(D257,[1]STS!$E$9:$AO$1503,37,0))</f>
        <v>4.378518441358028</v>
      </c>
      <c r="H257" s="82" t="str">
        <f>+IF(ISERROR(VLOOKUP(D257,[1]STS!$E$9:$I$1503,5,0)=0),0,VLOOKUP(D257,[1]STS!$E$9:$I$1503,5,0))</f>
        <v>FC</v>
      </c>
      <c r="I257" s="65"/>
      <c r="J257" s="66" t="str">
        <f>VLOOKUP(D257,[1]STS!$E$9:$BC$1359,51,0)</f>
        <v>GP3CK</v>
      </c>
      <c r="K257" s="67"/>
      <c r="L257" s="78" t="str">
        <f>+VLOOKUP(N257,'[1]MSTR AKT'!$C$4:$E$460,3,0)</f>
        <v>Etri 2</v>
      </c>
      <c r="M257" s="83">
        <f>+IF(ISERROR(VLOOKUP($N257,'[1]MSTR AKT'!$C$4:$D$460,2,0)=0),0,VLOOKUP($N257,'[1]MSTR AKT'!$C$4:$D$460,2,0))</f>
        <v>1315131513</v>
      </c>
      <c r="N257" s="63" t="s">
        <v>8</v>
      </c>
      <c r="O257" s="58"/>
      <c r="P257" s="59">
        <v>46003</v>
      </c>
      <c r="Q257" s="105">
        <v>4</v>
      </c>
      <c r="R257" s="106">
        <v>16</v>
      </c>
      <c r="S257" s="102">
        <f t="shared" si="11"/>
        <v>1604080</v>
      </c>
    </row>
    <row r="258" spans="1:19" x14ac:dyDescent="0.35">
      <c r="A258" s="55" t="s">
        <v>33</v>
      </c>
      <c r="B258" s="55" t="str">
        <f>+VLOOKUP($D258,[1]STS!$A$9:$E$1405,3,0)</f>
        <v>05</v>
      </c>
      <c r="C258" s="86">
        <f>+VLOOKUP($D258,[1]STS!$A$9:$E$1405,4,0)</f>
        <v>19</v>
      </c>
      <c r="D258" s="64" t="s">
        <v>273</v>
      </c>
      <c r="E258" s="104">
        <f>+IF(ISERROR(VLOOKUP($D258,[1]STS!$E$9:$G$1503,3,0)=0),0,VLOOKUP($D258,[1]STS!$E$9:$G$1503,3,0))</f>
        <v>8.2100000000000009</v>
      </c>
      <c r="F258" s="98">
        <v>3600</v>
      </c>
      <c r="G258" s="99">
        <f>+IF(ISERROR(VLOOKUP(D258,[1]STS!$E$9:$AO$1503,37,0)=0),0,VLOOKUP(D258,[1]STS!$E$9:$AO$1503,37,0))</f>
        <v>0.24518510802469487</v>
      </c>
      <c r="H258" s="82" t="str">
        <f>+IF(ISERROR(VLOOKUP(D258,[1]STS!$E$9:$I$1503,5,0)=0),0,VLOOKUP(D258,[1]STS!$E$9:$I$1503,5,0))</f>
        <v>FC</v>
      </c>
      <c r="I258" s="65"/>
      <c r="J258" s="66" t="str">
        <f>VLOOKUP(D258,[1]STS!$E$9:$BC$1359,51,0)</f>
        <v>GP3CK</v>
      </c>
      <c r="K258" s="67"/>
      <c r="L258" s="78" t="str">
        <f>+VLOOKUP(N258,'[1]MSTR AKT'!$C$4:$E$460,3,0)</f>
        <v>Widi</v>
      </c>
      <c r="M258" s="83">
        <f>+IF(ISERROR(VLOOKUP($N258,'[1]MSTR AKT'!$C$4:$D$460,2,0)=0),0,VLOOKUP($N258,'[1]MSTR AKT'!$C$4:$D$460,2,0))</f>
        <v>1317111113</v>
      </c>
      <c r="N258" s="63" t="s">
        <v>34</v>
      </c>
      <c r="O258" s="58"/>
      <c r="P258" s="59">
        <v>46001</v>
      </c>
      <c r="Q258" s="105">
        <v>8.0000000000000002E-3</v>
      </c>
      <c r="R258" s="106">
        <v>28.8</v>
      </c>
      <c r="S258" s="102">
        <f t="shared" si="11"/>
        <v>2887344</v>
      </c>
    </row>
    <row r="259" spans="1:19" x14ac:dyDescent="0.35">
      <c r="A259" s="55" t="s">
        <v>33</v>
      </c>
      <c r="B259" s="55" t="str">
        <f>+VLOOKUP($D259,[1]STS!$A$9:$E$1405,3,0)</f>
        <v>05</v>
      </c>
      <c r="C259" s="86">
        <f>+VLOOKUP($D259,[1]STS!$A$9:$E$1405,4,0)</f>
        <v>19</v>
      </c>
      <c r="D259" s="64" t="s">
        <v>274</v>
      </c>
      <c r="E259" s="104">
        <f>+IF(ISERROR(VLOOKUP($D259,[1]STS!$E$9:$G$1503,3,0)=0),0,VLOOKUP($D259,[1]STS!$E$9:$G$1503,3,0))</f>
        <v>7.91</v>
      </c>
      <c r="F259" s="98">
        <v>3600</v>
      </c>
      <c r="G259" s="99">
        <f>+IF(ISERROR(VLOOKUP(D259,[1]STS!$E$9:$AO$1503,37,0)=0),0,VLOOKUP(D259,[1]STS!$E$9:$AO$1503,37,0))</f>
        <v>1.6118517746913616</v>
      </c>
      <c r="H259" s="82" t="str">
        <f>+IF(ISERROR(VLOOKUP(D259,[1]STS!$E$9:$I$1503,5,0)=0),0,VLOOKUP(D259,[1]STS!$E$9:$I$1503,5,0))</f>
        <v>ST</v>
      </c>
      <c r="I259" s="65"/>
      <c r="J259" s="66" t="str">
        <f>VLOOKUP(D259,[1]STS!$E$9:$BC$1359,51,0)</f>
        <v>F18</v>
      </c>
      <c r="K259" s="67"/>
      <c r="L259" s="78" t="str">
        <f>+VLOOKUP(N259,'[1]MSTR AKT'!$C$4:$E$460,3,0)</f>
        <v>Widi</v>
      </c>
      <c r="M259" s="83">
        <f>+IF(ISERROR(VLOOKUP($N259,'[1]MSTR AKT'!$C$4:$D$460,2,0)=0),0,VLOOKUP($N259,'[1]MSTR AKT'!$C$4:$D$460,2,0))</f>
        <v>1317111113</v>
      </c>
      <c r="N259" s="63" t="s">
        <v>34</v>
      </c>
      <c r="O259" s="58"/>
      <c r="P259" s="59">
        <v>46002</v>
      </c>
      <c r="Q259" s="105">
        <v>8.0000000000000002E-3</v>
      </c>
      <c r="R259" s="106">
        <v>28.8</v>
      </c>
      <c r="S259" s="102">
        <f t="shared" si="11"/>
        <v>2887344</v>
      </c>
    </row>
    <row r="260" spans="1:19" x14ac:dyDescent="0.35">
      <c r="A260" s="55" t="s">
        <v>33</v>
      </c>
      <c r="B260" s="55" t="str">
        <f>+VLOOKUP($D260,[1]STS!$A$9:$E$1405,3,0)</f>
        <v>05</v>
      </c>
      <c r="C260" s="86">
        <f>+VLOOKUP($D260,[1]STS!$A$9:$E$1405,4,0)</f>
        <v>19</v>
      </c>
      <c r="D260" s="64" t="s">
        <v>275</v>
      </c>
      <c r="E260" s="104">
        <f>+IF(ISERROR(VLOOKUP($D260,[1]STS!$E$9:$G$1503,3,0)=0),0,VLOOKUP($D260,[1]STS!$E$9:$G$1503,3,0))</f>
        <v>13.55</v>
      </c>
      <c r="F260" s="98">
        <v>3600</v>
      </c>
      <c r="G260" s="99">
        <f>+IF(ISERROR(VLOOKUP(D260,[1]STS!$E$9:$AO$1503,37,0)=0),0,VLOOKUP(D260,[1]STS!$E$9:$AO$1503,37,0))</f>
        <v>2.3451851080246948</v>
      </c>
      <c r="H260" s="82" t="str">
        <f>+IF(ISERROR(VLOOKUP(D260,[1]STS!$E$9:$I$1503,5,0)=0),0,VLOOKUP(D260,[1]STS!$E$9:$I$1503,5,0))</f>
        <v>FC</v>
      </c>
      <c r="I260" s="65"/>
      <c r="J260" s="66" t="str">
        <f>VLOOKUP(D260,[1]STS!$E$9:$BC$1359,51,0)</f>
        <v>GP3CK</v>
      </c>
      <c r="K260" s="67"/>
      <c r="L260" s="78" t="str">
        <f>+VLOOKUP(N260,'[1]MSTR AKT'!$C$4:$E$460,3,0)</f>
        <v>Widi</v>
      </c>
      <c r="M260" s="83">
        <f>+IF(ISERROR(VLOOKUP($N260,'[1]MSTR AKT'!$C$4:$D$460,2,0)=0),0,VLOOKUP($N260,'[1]MSTR AKT'!$C$4:$D$460,2,0))</f>
        <v>1317111113</v>
      </c>
      <c r="N260" s="63" t="s">
        <v>34</v>
      </c>
      <c r="O260" s="58"/>
      <c r="P260" s="59">
        <v>46003</v>
      </c>
      <c r="Q260" s="105">
        <v>8.0000000000000002E-3</v>
      </c>
      <c r="R260" s="106">
        <v>28.8</v>
      </c>
      <c r="S260" s="102">
        <f t="shared" si="11"/>
        <v>2887344</v>
      </c>
    </row>
    <row r="261" spans="1:19" x14ac:dyDescent="0.35">
      <c r="A261" s="55" t="s">
        <v>33</v>
      </c>
      <c r="B261" s="55" t="str">
        <f>+VLOOKUP($D261,[1]STS!$A$9:$E$1405,3,0)</f>
        <v>05</v>
      </c>
      <c r="C261" s="86">
        <f>+VLOOKUP($D261,[1]STS!$A$9:$E$1405,4,0)</f>
        <v>19</v>
      </c>
      <c r="D261" s="64" t="s">
        <v>276</v>
      </c>
      <c r="E261" s="104">
        <f>+IF(ISERROR(VLOOKUP($D261,[1]STS!$E$9:$G$1503,3,0)=0),0,VLOOKUP($D261,[1]STS!$E$9:$G$1503,3,0))</f>
        <v>11.23</v>
      </c>
      <c r="F261" s="98">
        <v>3600</v>
      </c>
      <c r="G261" s="99">
        <f>+IF(ISERROR(VLOOKUP(D261,[1]STS!$E$9:$AO$1503,37,0)=0),0,VLOOKUP(D261,[1]STS!$E$9:$AO$1503,37,0))</f>
        <v>3.8118517746913616</v>
      </c>
      <c r="H261" s="82" t="str">
        <f>+IF(ISERROR(VLOOKUP(D261,[1]STS!$E$9:$I$1503,5,0)=0),0,VLOOKUP(D261,[1]STS!$E$9:$I$1503,5,0))</f>
        <v>FC</v>
      </c>
      <c r="I261" s="65"/>
      <c r="J261" s="66" t="str">
        <f>VLOOKUP(D261,[1]STS!$E$9:$BC$1359,51,0)</f>
        <v>F18CK</v>
      </c>
      <c r="K261" s="67"/>
      <c r="L261" s="78" t="str">
        <f>+VLOOKUP(N261,'[1]MSTR AKT'!$C$4:$E$460,3,0)</f>
        <v>Widi</v>
      </c>
      <c r="M261" s="83">
        <f>+IF(ISERROR(VLOOKUP($N261,'[1]MSTR AKT'!$C$4:$D$460,2,0)=0),0,VLOOKUP($N261,'[1]MSTR AKT'!$C$4:$D$460,2,0))</f>
        <v>1317111113</v>
      </c>
      <c r="N261" s="63" t="s">
        <v>34</v>
      </c>
      <c r="O261" s="58"/>
      <c r="P261" s="59">
        <v>46001</v>
      </c>
      <c r="Q261" s="105">
        <v>8.0000000000000002E-3</v>
      </c>
      <c r="R261" s="106">
        <v>28.8</v>
      </c>
      <c r="S261" s="102">
        <f t="shared" si="11"/>
        <v>2887344</v>
      </c>
    </row>
    <row r="262" spans="1:19" x14ac:dyDescent="0.35">
      <c r="A262" s="55" t="s">
        <v>33</v>
      </c>
      <c r="B262" s="55" t="str">
        <f>+VLOOKUP($D262,[1]STS!$A$9:$E$1405,3,0)</f>
        <v>05</v>
      </c>
      <c r="C262" s="86">
        <f>+VLOOKUP($D262,[1]STS!$A$9:$E$1405,4,0)</f>
        <v>19</v>
      </c>
      <c r="D262" s="64" t="s">
        <v>213</v>
      </c>
      <c r="E262" s="104">
        <f>+IF(ISERROR(VLOOKUP($D262,[1]STS!$E$9:$G$1503,3,0)=0),0,VLOOKUP($D262,[1]STS!$E$9:$G$1503,3,0))</f>
        <v>7.12</v>
      </c>
      <c r="F262" s="98">
        <v>3600</v>
      </c>
      <c r="G262" s="99">
        <f>+IF(ISERROR(VLOOKUP(D262,[1]STS!$E$9:$AO$1503,37,0)=0),0,VLOOKUP(D262,[1]STS!$E$9:$AO$1503,37,0))</f>
        <v>2.3451851080246948</v>
      </c>
      <c r="H262" s="82" t="str">
        <f>+IF(ISERROR(VLOOKUP(D262,[1]STS!$E$9:$I$1503,5,0)=0),0,VLOOKUP(D262,[1]STS!$E$9:$I$1503,5,0))</f>
        <v>FC</v>
      </c>
      <c r="I262" s="65"/>
      <c r="J262" s="66" t="str">
        <f>VLOOKUP(D262,[1]STS!$E$9:$BC$1359,51,0)</f>
        <v>GP3CK</v>
      </c>
      <c r="K262" s="67"/>
      <c r="L262" s="78" t="str">
        <f>+VLOOKUP(N262,'[1]MSTR AKT'!$C$4:$E$460,3,0)</f>
        <v>Widi</v>
      </c>
      <c r="M262" s="83">
        <f>+IF(ISERROR(VLOOKUP($N262,'[1]MSTR AKT'!$C$4:$D$460,2,0)=0),0,VLOOKUP($N262,'[1]MSTR AKT'!$C$4:$D$460,2,0))</f>
        <v>1317111113</v>
      </c>
      <c r="N262" s="63" t="s">
        <v>34</v>
      </c>
      <c r="O262" s="58"/>
      <c r="P262" s="59">
        <v>46001</v>
      </c>
      <c r="Q262" s="105">
        <v>8.0000000000000002E-3</v>
      </c>
      <c r="R262" s="106">
        <v>28.8</v>
      </c>
      <c r="S262" s="102">
        <f t="shared" si="11"/>
        <v>2887344</v>
      </c>
    </row>
    <row r="263" spans="1:19" x14ac:dyDescent="0.35">
      <c r="A263" s="55" t="s">
        <v>33</v>
      </c>
      <c r="B263" s="55" t="str">
        <f>+VLOOKUP($D263,[1]STS!$A$9:$E$1405,3,0)</f>
        <v>05</v>
      </c>
      <c r="C263" s="86">
        <f>+VLOOKUP($D263,[1]STS!$A$9:$E$1405,4,0)</f>
        <v>19</v>
      </c>
      <c r="D263" s="64" t="s">
        <v>279</v>
      </c>
      <c r="E263" s="104">
        <f>+IF(ISERROR(VLOOKUP($D263,[1]STS!$E$9:$G$1503,3,0)=0),0,VLOOKUP($D263,[1]STS!$E$9:$G$1503,3,0))</f>
        <v>7.94</v>
      </c>
      <c r="F263" s="98">
        <v>3600</v>
      </c>
      <c r="G263" s="99">
        <f>+IF(ISERROR(VLOOKUP(D263,[1]STS!$E$9:$AO$1503,37,0)=0),0,VLOOKUP(D263,[1]STS!$E$9:$AO$1503,37,0))</f>
        <v>2.5118517746913613</v>
      </c>
      <c r="H263" s="82" t="str">
        <f>+IF(ISERROR(VLOOKUP(D263,[1]STS!$E$9:$I$1503,5,0)=0),0,VLOOKUP(D263,[1]STS!$E$9:$I$1503,5,0))</f>
        <v>FC</v>
      </c>
      <c r="I263" s="65"/>
      <c r="J263" s="66" t="str">
        <f>VLOOKUP(D263,[1]STS!$E$9:$BC$1359,51,0)</f>
        <v>F18CK</v>
      </c>
      <c r="K263" s="67"/>
      <c r="L263" s="78" t="str">
        <f>+VLOOKUP(N263,'[1]MSTR AKT'!$C$4:$E$460,3,0)</f>
        <v>Widi</v>
      </c>
      <c r="M263" s="83">
        <f>+IF(ISERROR(VLOOKUP($N263,'[1]MSTR AKT'!$C$4:$D$460,2,0)=0),0,VLOOKUP($N263,'[1]MSTR AKT'!$C$4:$D$460,2,0))</f>
        <v>1317111113</v>
      </c>
      <c r="N263" s="63" t="s">
        <v>34</v>
      </c>
      <c r="O263" s="58"/>
      <c r="P263" s="59">
        <v>46001</v>
      </c>
      <c r="Q263" s="105">
        <v>8.0000000000000002E-3</v>
      </c>
      <c r="R263" s="106">
        <v>28.8</v>
      </c>
      <c r="S263" s="102">
        <f t="shared" si="11"/>
        <v>2887344</v>
      </c>
    </row>
    <row r="264" spans="1:19" x14ac:dyDescent="0.35">
      <c r="A264" s="55" t="s">
        <v>33</v>
      </c>
      <c r="B264" s="55" t="str">
        <f>+VLOOKUP($D264,[1]STS!$A$9:$E$1405,3,0)</f>
        <v>05</v>
      </c>
      <c r="C264" s="86">
        <f>+VLOOKUP($D264,[1]STS!$A$9:$E$1405,4,0)</f>
        <v>19</v>
      </c>
      <c r="D264" s="64" t="s">
        <v>266</v>
      </c>
      <c r="E264" s="104">
        <f>+IF(ISERROR(VLOOKUP($D264,[1]STS!$E$9:$G$1503,3,0)=0),0,VLOOKUP($D264,[1]STS!$E$9:$G$1503,3,0))</f>
        <v>7.97</v>
      </c>
      <c r="F264" s="98">
        <v>3600</v>
      </c>
      <c r="G264" s="99">
        <f>+IF(ISERROR(VLOOKUP(D264,[1]STS!$E$9:$AO$1503,37,0)=0),0,VLOOKUP(D264,[1]STS!$E$9:$AO$1503,37,0))</f>
        <v>2.8118517746913616</v>
      </c>
      <c r="H264" s="82" t="str">
        <f>+IF(ISERROR(VLOOKUP(D264,[1]STS!$E$9:$I$1503,5,0)=0),0,VLOOKUP(D264,[1]STS!$E$9:$I$1503,5,0))</f>
        <v>FC</v>
      </c>
      <c r="I264" s="65"/>
      <c r="J264" s="66" t="str">
        <f>VLOOKUP(D264,[1]STS!$E$9:$BC$1359,51,0)</f>
        <v>F18CK</v>
      </c>
      <c r="K264" s="67"/>
      <c r="L264" s="78" t="str">
        <f>+VLOOKUP(N264,'[1]MSTR AKT'!$C$4:$E$460,3,0)</f>
        <v>Widi</v>
      </c>
      <c r="M264" s="83">
        <f>+IF(ISERROR(VLOOKUP($N264,'[1]MSTR AKT'!$C$4:$D$460,2,0)=0),0,VLOOKUP($N264,'[1]MSTR AKT'!$C$4:$D$460,2,0))</f>
        <v>1317111113</v>
      </c>
      <c r="N264" s="63" t="s">
        <v>34</v>
      </c>
      <c r="O264" s="58"/>
      <c r="P264" s="59">
        <v>46003</v>
      </c>
      <c r="Q264" s="105">
        <v>8.0000000000000002E-3</v>
      </c>
      <c r="R264" s="106">
        <v>28.8</v>
      </c>
      <c r="S264" s="102">
        <f t="shared" si="11"/>
        <v>2887344</v>
      </c>
    </row>
    <row r="265" spans="1:19" x14ac:dyDescent="0.35">
      <c r="A265" s="55" t="s">
        <v>33</v>
      </c>
      <c r="B265" s="55" t="str">
        <f>+VLOOKUP($D265,[1]STS!$A$9:$E$1405,3,0)</f>
        <v>05</v>
      </c>
      <c r="C265" s="86">
        <f>+VLOOKUP($D265,[1]STS!$A$9:$E$1405,4,0)</f>
        <v>19</v>
      </c>
      <c r="D265" s="64" t="s">
        <v>269</v>
      </c>
      <c r="E265" s="104">
        <f>+IF(ISERROR(VLOOKUP($D265,[1]STS!$E$9:$G$1503,3,0)=0),0,VLOOKUP($D265,[1]STS!$E$9:$G$1503,3,0))</f>
        <v>8.14</v>
      </c>
      <c r="F265" s="98">
        <v>3600</v>
      </c>
      <c r="G265" s="99">
        <f>+IF(ISERROR(VLOOKUP(D265,[1]STS!$E$9:$AO$1503,37,0)=0),0,VLOOKUP(D265,[1]STS!$E$9:$AO$1503,37,0))</f>
        <v>2.7785184413580284</v>
      </c>
      <c r="H265" s="82" t="str">
        <f>+IF(ISERROR(VLOOKUP(D265,[1]STS!$E$9:$I$1503,5,0)=0),0,VLOOKUP(D265,[1]STS!$E$9:$I$1503,5,0))</f>
        <v>FC</v>
      </c>
      <c r="I265" s="65"/>
      <c r="J265" s="66" t="str">
        <f>VLOOKUP(D265,[1]STS!$E$9:$BC$1359,51,0)</f>
        <v>F18CK</v>
      </c>
      <c r="K265" s="67"/>
      <c r="L265" s="78" t="str">
        <f>+VLOOKUP(N265,'[1]MSTR AKT'!$C$4:$E$460,3,0)</f>
        <v>Widi</v>
      </c>
      <c r="M265" s="83">
        <f>+IF(ISERROR(VLOOKUP($N265,'[1]MSTR AKT'!$C$4:$D$460,2,0)=0),0,VLOOKUP($N265,'[1]MSTR AKT'!$C$4:$D$460,2,0))</f>
        <v>1317111113</v>
      </c>
      <c r="N265" s="63" t="s">
        <v>34</v>
      </c>
      <c r="O265" s="58"/>
      <c r="P265" s="59">
        <v>46002</v>
      </c>
      <c r="Q265" s="105">
        <v>8.0000000000000002E-3</v>
      </c>
      <c r="R265" s="106">
        <v>28.8</v>
      </c>
      <c r="S265" s="102">
        <f t="shared" si="11"/>
        <v>2887344</v>
      </c>
    </row>
    <row r="266" spans="1:19" x14ac:dyDescent="0.35">
      <c r="A266" s="55" t="s">
        <v>33</v>
      </c>
      <c r="B266" s="55" t="str">
        <f>+VLOOKUP($D266,[1]STS!$A$9:$E$1405,3,0)</f>
        <v>05</v>
      </c>
      <c r="C266" s="86">
        <f>+VLOOKUP($D266,[1]STS!$A$9:$E$1405,4,0)</f>
        <v>19</v>
      </c>
      <c r="D266" s="64" t="s">
        <v>266</v>
      </c>
      <c r="E266" s="104">
        <f>+IF(ISERROR(VLOOKUP($D266,[1]STS!$E$9:$G$1503,3,0)=0),0,VLOOKUP($D266,[1]STS!$E$9:$G$1503,3,0))</f>
        <v>7.97</v>
      </c>
      <c r="F266" s="98">
        <v>10.83</v>
      </c>
      <c r="G266" s="99">
        <f>+IF(ISERROR(VLOOKUP(D266,[1]STS!$E$9:$AO$1503,37,0)=0),0,VLOOKUP(D266,[1]STS!$E$9:$AO$1503,37,0))</f>
        <v>2.8118517746913616</v>
      </c>
      <c r="H266" s="82" t="str">
        <f>+IF(ISERROR(VLOOKUP(D266,[1]STS!$E$9:$I$1503,5,0)=0),0,VLOOKUP(D266,[1]STS!$E$9:$I$1503,5,0))</f>
        <v>FC</v>
      </c>
      <c r="I266" s="65"/>
      <c r="J266" s="66" t="str">
        <f>VLOOKUP(D266,[1]STS!$E$9:$BC$1359,51,0)</f>
        <v>F18CK</v>
      </c>
      <c r="K266" s="67"/>
      <c r="L266" s="78" t="str">
        <f>+VLOOKUP(N266,'[1]MSTR AKT'!$C$4:$E$460,3,0)</f>
        <v>Nugroho</v>
      </c>
      <c r="M266" s="83">
        <f>+IF(ISERROR(VLOOKUP($N266,'[1]MSTR AKT'!$C$4:$D$460,2,0)=0),0,VLOOKUP($N266,'[1]MSTR AKT'!$C$4:$D$460,2,0))</f>
        <v>1311131115</v>
      </c>
      <c r="N266" s="63" t="s">
        <v>37</v>
      </c>
      <c r="O266" s="58"/>
      <c r="P266" s="59">
        <v>46000</v>
      </c>
      <c r="Q266" s="105">
        <v>3.5</v>
      </c>
      <c r="R266" s="106">
        <v>26.215</v>
      </c>
      <c r="S266" s="102">
        <f t="shared" si="11"/>
        <v>2628184.8250000002</v>
      </c>
    </row>
    <row r="267" spans="1:19" x14ac:dyDescent="0.35">
      <c r="A267" s="55" t="s">
        <v>33</v>
      </c>
      <c r="B267" s="55" t="str">
        <f>+VLOOKUP($D267,[1]STS!$A$9:$E$1405,3,0)</f>
        <v>05</v>
      </c>
      <c r="C267" s="86">
        <f>+VLOOKUP($D267,[1]STS!$A$9:$E$1405,4,0)</f>
        <v>19</v>
      </c>
      <c r="D267" s="64" t="s">
        <v>42</v>
      </c>
      <c r="E267" s="104">
        <f>+IF(ISERROR(VLOOKUP($D267,[1]STS!$E$9:$G$1503,3,0)=0),0,VLOOKUP($D267,[1]STS!$E$9:$G$1503,3,0))</f>
        <v>7.01</v>
      </c>
      <c r="F267" s="98">
        <f>+E267</f>
        <v>7.01</v>
      </c>
      <c r="G267" s="99">
        <f>+IF(ISERROR(VLOOKUP(D267,[1]STS!$E$9:$AO$1503,37,0)=0),0,VLOOKUP(D267,[1]STS!$E$9:$AO$1503,37,0))</f>
        <v>13.311851774691361</v>
      </c>
      <c r="H267" s="82" t="str">
        <f>+IF(ISERROR(VLOOKUP(D267,[1]STS!$E$9:$I$1503,5,0)=0),0,VLOOKUP(D267,[1]STS!$E$9:$I$1503,5,0))</f>
        <v>FC</v>
      </c>
      <c r="I267" s="65"/>
      <c r="J267" s="66" t="str">
        <f>VLOOKUP(D267,[1]STS!$E$9:$BC$1359,51,0)</f>
        <v>GP3CK</v>
      </c>
      <c r="K267" s="67"/>
      <c r="L267" s="78" t="str">
        <f>+VLOOKUP(N267,'[1]MSTR AKT'!$C$4:$E$460,3,0)</f>
        <v>Etri 1</v>
      </c>
      <c r="M267" s="83">
        <f>+IF(ISERROR(VLOOKUP($N267,'[1]MSTR AKT'!$C$4:$D$460,2,0)=0),0,VLOOKUP($N267,'[1]MSTR AKT'!$C$4:$D$460,2,0))</f>
        <v>1315111111</v>
      </c>
      <c r="N267" s="63" t="s">
        <v>3</v>
      </c>
      <c r="O267" s="58" t="str">
        <f t="shared" ref="O267:O278" si="14">IF(Q267&lt;=2,"Bersih",IF(Q267&lt;=4,"Ringan",IF(Q267&lt;=8,"Sedang","Berat")))</f>
        <v>Ringan</v>
      </c>
      <c r="P267" s="59">
        <v>46003</v>
      </c>
      <c r="Q267" s="105">
        <v>3</v>
      </c>
      <c r="R267" s="106">
        <v>21.03</v>
      </c>
      <c r="S267" s="102">
        <f t="shared" si="11"/>
        <v>2108362.65</v>
      </c>
    </row>
    <row r="268" spans="1:19" x14ac:dyDescent="0.35">
      <c r="A268" s="55" t="s">
        <v>33</v>
      </c>
      <c r="B268" s="55" t="str">
        <f>+VLOOKUP($D268,[1]STS!$A$9:$E$1405,3,0)</f>
        <v>05</v>
      </c>
      <c r="C268" s="86">
        <f>+VLOOKUP($D268,[1]STS!$A$9:$E$1405,4,0)</f>
        <v>19</v>
      </c>
      <c r="D268" s="64" t="s">
        <v>55</v>
      </c>
      <c r="E268" s="104">
        <f>+IF(ISERROR(VLOOKUP($D268,[1]STS!$E$9:$G$1503,3,0)=0),0,VLOOKUP($D268,[1]STS!$E$9:$G$1503,3,0))</f>
        <v>6.82</v>
      </c>
      <c r="F268" s="98">
        <f t="shared" ref="F268:F278" si="15">+E268</f>
        <v>6.82</v>
      </c>
      <c r="G268" s="99">
        <f>+IF(ISERROR(VLOOKUP(D268,[1]STS!$E$9:$AO$1503,37,0)=0),0,VLOOKUP(D268,[1]STS!$E$9:$AO$1503,37,0))</f>
        <v>13.478518441358029</v>
      </c>
      <c r="H268" s="82" t="str">
        <f>+IF(ISERROR(VLOOKUP(D268,[1]STS!$E$9:$I$1503,5,0)=0),0,VLOOKUP(D268,[1]STS!$E$9:$I$1503,5,0))</f>
        <v>FC</v>
      </c>
      <c r="I268" s="65"/>
      <c r="J268" s="66" t="str">
        <f>VLOOKUP(D268,[1]STS!$E$9:$BC$1359,51,0)</f>
        <v>GP3CK</v>
      </c>
      <c r="K268" s="67"/>
      <c r="L268" s="78" t="str">
        <f>+VLOOKUP(N268,'[1]MSTR AKT'!$C$4:$E$460,3,0)</f>
        <v>Etri 1</v>
      </c>
      <c r="M268" s="83">
        <f>+IF(ISERROR(VLOOKUP($N268,'[1]MSTR AKT'!$C$4:$D$460,2,0)=0),0,VLOOKUP($N268,'[1]MSTR AKT'!$C$4:$D$460,2,0))</f>
        <v>1315111111</v>
      </c>
      <c r="N268" s="63" t="s">
        <v>3</v>
      </c>
      <c r="O268" s="58" t="str">
        <f t="shared" si="14"/>
        <v>Ringan</v>
      </c>
      <c r="P268" s="59">
        <v>46002</v>
      </c>
      <c r="Q268" s="105">
        <v>3</v>
      </c>
      <c r="R268" s="106">
        <v>20.46</v>
      </c>
      <c r="S268" s="102">
        <f t="shared" si="11"/>
        <v>2051217.3</v>
      </c>
    </row>
    <row r="269" spans="1:19" x14ac:dyDescent="0.35">
      <c r="A269" s="55" t="s">
        <v>33</v>
      </c>
      <c r="B269" s="55" t="str">
        <f>+VLOOKUP($D269,[1]STS!$A$9:$E$1405,3,0)</f>
        <v>05</v>
      </c>
      <c r="C269" s="86">
        <f>+VLOOKUP($D269,[1]STS!$A$9:$E$1405,4,0)</f>
        <v>19</v>
      </c>
      <c r="D269" s="64" t="s">
        <v>283</v>
      </c>
      <c r="E269" s="104">
        <f>+IF(ISERROR(VLOOKUP($D269,[1]STS!$E$9:$G$1503,3,0)=0),0,VLOOKUP($D269,[1]STS!$E$9:$G$1503,3,0))</f>
        <v>12.2</v>
      </c>
      <c r="F269" s="98">
        <f t="shared" si="15"/>
        <v>12.2</v>
      </c>
      <c r="G269" s="99">
        <f>+IF(ISERROR(VLOOKUP(D269,[1]STS!$E$9:$AO$1503,37,0)=0),0,VLOOKUP(D269,[1]STS!$E$9:$AO$1503,37,0))</f>
        <v>4.2451851080246952</v>
      </c>
      <c r="H269" s="82" t="str">
        <f>+IF(ISERROR(VLOOKUP(D269,[1]STS!$E$9:$I$1503,5,0)=0),0,VLOOKUP(D269,[1]STS!$E$9:$I$1503,5,0))</f>
        <v>SC</v>
      </c>
      <c r="I269" s="65"/>
      <c r="J269" s="66" t="str">
        <f>VLOOKUP(D269,[1]STS!$E$9:$BC$1359,51,0)</f>
        <v>F18</v>
      </c>
      <c r="K269" s="67"/>
      <c r="L269" s="78" t="str">
        <f>+VLOOKUP(N269,'[1]MSTR AKT'!$C$4:$E$460,3,0)</f>
        <v>Etri 1</v>
      </c>
      <c r="M269" s="83">
        <f>+IF(ISERROR(VLOOKUP($N269,'[1]MSTR AKT'!$C$4:$D$460,2,0)=0),0,VLOOKUP($N269,'[1]MSTR AKT'!$C$4:$D$460,2,0))</f>
        <v>1315111111</v>
      </c>
      <c r="N269" s="63" t="s">
        <v>3</v>
      </c>
      <c r="O269" s="58" t="str">
        <f t="shared" si="14"/>
        <v>Ringan</v>
      </c>
      <c r="P269" s="59">
        <v>46002</v>
      </c>
      <c r="Q269" s="105">
        <v>3</v>
      </c>
      <c r="R269" s="106">
        <v>36.599999999999994</v>
      </c>
      <c r="S269" s="102">
        <f t="shared" si="11"/>
        <v>3669332.9999999995</v>
      </c>
    </row>
    <row r="270" spans="1:19" x14ac:dyDescent="0.35">
      <c r="A270" s="55" t="s">
        <v>33</v>
      </c>
      <c r="B270" s="55" t="str">
        <f>+VLOOKUP($D270,[1]STS!$A$9:$E$1405,3,0)</f>
        <v>05</v>
      </c>
      <c r="C270" s="86">
        <f>+VLOOKUP($D270,[1]STS!$A$9:$E$1405,4,0)</f>
        <v>19</v>
      </c>
      <c r="D270" s="64" t="s">
        <v>284</v>
      </c>
      <c r="E270" s="104">
        <f>+IF(ISERROR(VLOOKUP($D270,[1]STS!$E$9:$G$1503,3,0)=0),0,VLOOKUP($D270,[1]STS!$E$9:$G$1503,3,0))</f>
        <v>4.5599999999999996</v>
      </c>
      <c r="F270" s="98">
        <f t="shared" si="15"/>
        <v>4.5599999999999996</v>
      </c>
      <c r="G270" s="99">
        <f>+IF(ISERROR(VLOOKUP(D270,[1]STS!$E$9:$AO$1503,37,0)=0),0,VLOOKUP(D270,[1]STS!$E$9:$AO$1503,37,0))</f>
        <v>13.111851774691361</v>
      </c>
      <c r="H270" s="82" t="str">
        <f>+IF(ISERROR(VLOOKUP(D270,[1]STS!$E$9:$I$1503,5,0)=0),0,VLOOKUP(D270,[1]STS!$E$9:$I$1503,5,0))</f>
        <v>FC</v>
      </c>
      <c r="I270" s="65"/>
      <c r="J270" s="66" t="str">
        <f>VLOOKUP(D270,[1]STS!$E$9:$BC$1359,51,0)</f>
        <v>GP3CK</v>
      </c>
      <c r="K270" s="67"/>
      <c r="L270" s="78" t="str">
        <f>+VLOOKUP(N270,'[1]MSTR AKT'!$C$4:$E$460,3,0)</f>
        <v>Etri 1</v>
      </c>
      <c r="M270" s="83">
        <f>+IF(ISERROR(VLOOKUP($N270,'[1]MSTR AKT'!$C$4:$D$460,2,0)=0),0,VLOOKUP($N270,'[1]MSTR AKT'!$C$4:$D$460,2,0))</f>
        <v>1315111111</v>
      </c>
      <c r="N270" s="63" t="s">
        <v>3</v>
      </c>
      <c r="O270" s="58" t="str">
        <f t="shared" si="14"/>
        <v>Ringan</v>
      </c>
      <c r="P270" s="59">
        <v>46001</v>
      </c>
      <c r="Q270" s="105">
        <v>3</v>
      </c>
      <c r="R270" s="106">
        <v>13.68</v>
      </c>
      <c r="S270" s="102">
        <f t="shared" si="11"/>
        <v>1371488.4</v>
      </c>
    </row>
    <row r="271" spans="1:19" x14ac:dyDescent="0.35">
      <c r="A271" s="55" t="s">
        <v>33</v>
      </c>
      <c r="B271" s="55" t="str">
        <f>+VLOOKUP($D271,[1]STS!$A$9:$E$1405,3,0)</f>
        <v>05</v>
      </c>
      <c r="C271" s="86">
        <f>+VLOOKUP($D271,[1]STS!$A$9:$E$1405,4,0)</f>
        <v>19</v>
      </c>
      <c r="D271" s="64" t="s">
        <v>62</v>
      </c>
      <c r="E271" s="104">
        <f>+IF(ISERROR(VLOOKUP($D271,[1]STS!$E$9:$G$1503,3,0)=0),0,VLOOKUP($D271,[1]STS!$E$9:$G$1503,3,0))</f>
        <v>5.87</v>
      </c>
      <c r="F271" s="98">
        <f t="shared" si="15"/>
        <v>5.87</v>
      </c>
      <c r="G271" s="99">
        <f>+IF(ISERROR(VLOOKUP(D271,[1]STS!$E$9:$AO$1503,37,0)=0),0,VLOOKUP(D271,[1]STS!$E$9:$AO$1503,37,0))</f>
        <v>11.278518441358028</v>
      </c>
      <c r="H271" s="82" t="str">
        <f>+IF(ISERROR(VLOOKUP(D271,[1]STS!$E$9:$I$1503,5,0)=0),0,VLOOKUP(D271,[1]STS!$E$9:$I$1503,5,0))</f>
        <v>FC</v>
      </c>
      <c r="I271" s="65"/>
      <c r="J271" s="66" t="str">
        <f>VLOOKUP(D271,[1]STS!$E$9:$BC$1359,51,0)</f>
        <v>GP3SS</v>
      </c>
      <c r="K271" s="67"/>
      <c r="L271" s="78" t="str">
        <f>+VLOOKUP(N271,'[1]MSTR AKT'!$C$4:$E$460,3,0)</f>
        <v>Etri 1</v>
      </c>
      <c r="M271" s="83">
        <f>+IF(ISERROR(VLOOKUP($N271,'[1]MSTR AKT'!$C$4:$D$460,2,0)=0),0,VLOOKUP($N271,'[1]MSTR AKT'!$C$4:$D$460,2,0))</f>
        <v>1315111111</v>
      </c>
      <c r="N271" s="63" t="s">
        <v>3</v>
      </c>
      <c r="O271" s="58" t="str">
        <f t="shared" si="14"/>
        <v>Ringan</v>
      </c>
      <c r="P271" s="59">
        <v>46003</v>
      </c>
      <c r="Q271" s="105">
        <v>3</v>
      </c>
      <c r="R271" s="106">
        <v>17.61</v>
      </c>
      <c r="S271" s="102">
        <f t="shared" si="11"/>
        <v>1765490.55</v>
      </c>
    </row>
    <row r="272" spans="1:19" x14ac:dyDescent="0.35">
      <c r="A272" s="55" t="s">
        <v>33</v>
      </c>
      <c r="B272" s="55" t="str">
        <f>+VLOOKUP($D272,[1]STS!$A$9:$E$1405,3,0)</f>
        <v>05</v>
      </c>
      <c r="C272" s="86">
        <f>+VLOOKUP($D272,[1]STS!$A$9:$E$1405,4,0)</f>
        <v>19</v>
      </c>
      <c r="D272" s="64" t="s">
        <v>282</v>
      </c>
      <c r="E272" s="104">
        <f>+IF(ISERROR(VLOOKUP($D272,[1]STS!$E$9:$G$1503,3,0)=0),0,VLOOKUP($D272,[1]STS!$E$9:$G$1503,3,0))</f>
        <v>3.85</v>
      </c>
      <c r="F272" s="98">
        <f t="shared" si="15"/>
        <v>3.85</v>
      </c>
      <c r="G272" s="99">
        <f>+IF(ISERROR(VLOOKUP(D272,[1]STS!$E$9:$AO$1503,37,0)=0),0,VLOOKUP(D272,[1]STS!$E$9:$AO$1503,37,0))</f>
        <v>5.3451851080246948</v>
      </c>
      <c r="H272" s="82" t="str">
        <f>+IF(ISERROR(VLOOKUP(D272,[1]STS!$E$9:$I$1503,5,0)=0),0,VLOOKUP(D272,[1]STS!$E$9:$I$1503,5,0))</f>
        <v>FC</v>
      </c>
      <c r="I272" s="65"/>
      <c r="J272" s="66" t="str">
        <f>VLOOKUP(D272,[1]STS!$E$9:$BC$1359,51,0)</f>
        <v>F18SB</v>
      </c>
      <c r="K272" s="67"/>
      <c r="L272" s="78" t="str">
        <f>+VLOOKUP(N272,'[1]MSTR AKT'!$C$4:$E$460,3,0)</f>
        <v>Etri 1</v>
      </c>
      <c r="M272" s="83">
        <f>+IF(ISERROR(VLOOKUP($N272,'[1]MSTR AKT'!$C$4:$D$460,2,0)=0),0,VLOOKUP($N272,'[1]MSTR AKT'!$C$4:$D$460,2,0))</f>
        <v>1315111111</v>
      </c>
      <c r="N272" s="63" t="s">
        <v>3</v>
      </c>
      <c r="O272" s="58" t="str">
        <f t="shared" si="14"/>
        <v>Sedang</v>
      </c>
      <c r="P272" s="59">
        <v>46001</v>
      </c>
      <c r="Q272" s="105">
        <v>5</v>
      </c>
      <c r="R272" s="106">
        <f>+Q272*F272</f>
        <v>19.25</v>
      </c>
      <c r="S272" s="102">
        <f t="shared" si="11"/>
        <v>1929908.75</v>
      </c>
    </row>
    <row r="273" spans="1:19" x14ac:dyDescent="0.35">
      <c r="A273" s="55" t="s">
        <v>33</v>
      </c>
      <c r="B273" s="55" t="str">
        <f>+VLOOKUP($D273,[1]STS!$A$9:$E$1405,3,0)</f>
        <v>05</v>
      </c>
      <c r="C273" s="86">
        <f>+VLOOKUP($D273,[1]STS!$A$9:$E$1405,4,0)</f>
        <v>19</v>
      </c>
      <c r="D273" s="64" t="s">
        <v>279</v>
      </c>
      <c r="E273" s="104">
        <f>+IF(ISERROR(VLOOKUP($D273,[1]STS!$E$9:$G$1503,3,0)=0),0,VLOOKUP($D273,[1]STS!$E$9:$G$1503,3,0))</f>
        <v>7.94</v>
      </c>
      <c r="F273" s="98">
        <f t="shared" si="15"/>
        <v>7.94</v>
      </c>
      <c r="G273" s="99">
        <f>+IF(ISERROR(VLOOKUP(D273,[1]STS!$E$9:$AO$1503,37,0)=0),0,VLOOKUP(D273,[1]STS!$E$9:$AO$1503,37,0))</f>
        <v>2.5118517746913613</v>
      </c>
      <c r="H273" s="82" t="str">
        <f>+IF(ISERROR(VLOOKUP(D273,[1]STS!$E$9:$I$1503,5,0)=0),0,VLOOKUP(D273,[1]STS!$E$9:$I$1503,5,0))</f>
        <v>FC</v>
      </c>
      <c r="I273" s="65"/>
      <c r="J273" s="66" t="str">
        <f>VLOOKUP(D273,[1]STS!$E$9:$BC$1359,51,0)</f>
        <v>F18CK</v>
      </c>
      <c r="K273" s="67"/>
      <c r="L273" s="78" t="str">
        <f>+VLOOKUP(N273,'[1]MSTR AKT'!$C$4:$E$460,3,0)</f>
        <v>Etri 1</v>
      </c>
      <c r="M273" s="83">
        <f>+IF(ISERROR(VLOOKUP($N273,'[1]MSTR AKT'!$C$4:$D$460,2,0)=0),0,VLOOKUP($N273,'[1]MSTR AKT'!$C$4:$D$460,2,0))</f>
        <v>1315111111</v>
      </c>
      <c r="N273" s="63" t="s">
        <v>3</v>
      </c>
      <c r="O273" s="58" t="str">
        <f t="shared" si="14"/>
        <v>Ringan</v>
      </c>
      <c r="P273" s="59">
        <v>46002</v>
      </c>
      <c r="Q273" s="105">
        <v>3</v>
      </c>
      <c r="R273" s="106">
        <v>22.77</v>
      </c>
      <c r="S273" s="102">
        <f t="shared" si="11"/>
        <v>2282806.35</v>
      </c>
    </row>
    <row r="274" spans="1:19" x14ac:dyDescent="0.35">
      <c r="A274" s="55" t="s">
        <v>33</v>
      </c>
      <c r="B274" s="55" t="str">
        <f>+VLOOKUP($D274,[1]STS!$A$9:$E$1405,3,0)</f>
        <v>05</v>
      </c>
      <c r="C274" s="86">
        <f>+VLOOKUP($D274,[1]STS!$A$9:$E$1405,4,0)</f>
        <v>19</v>
      </c>
      <c r="D274" s="64" t="s">
        <v>280</v>
      </c>
      <c r="E274" s="104">
        <f>+IF(ISERROR(VLOOKUP($D274,[1]STS!$E$9:$G$1503,3,0)=0),0,VLOOKUP($D274,[1]STS!$E$9:$G$1503,3,0))</f>
        <v>3.91</v>
      </c>
      <c r="F274" s="98">
        <f t="shared" si="15"/>
        <v>3.91</v>
      </c>
      <c r="G274" s="99">
        <f>+IF(ISERROR(VLOOKUP(D274,[1]STS!$E$9:$AO$1503,37,0)=0),0,VLOOKUP(D274,[1]STS!$E$9:$AO$1503,37,0))</f>
        <v>2.4118517746913617</v>
      </c>
      <c r="H274" s="82" t="str">
        <f>+IF(ISERROR(VLOOKUP(D274,[1]STS!$E$9:$I$1503,5,0)=0),0,VLOOKUP(D274,[1]STS!$E$9:$I$1503,5,0))</f>
        <v>FC</v>
      </c>
      <c r="I274" s="65"/>
      <c r="J274" s="66" t="str">
        <f>VLOOKUP(D274,[1]STS!$E$9:$BC$1359,51,0)</f>
        <v>F18CK</v>
      </c>
      <c r="K274" s="67"/>
      <c r="L274" s="78" t="str">
        <f>+VLOOKUP(N274,'[1]MSTR AKT'!$C$4:$E$460,3,0)</f>
        <v>Etri 1</v>
      </c>
      <c r="M274" s="83">
        <f>+IF(ISERROR(VLOOKUP($N274,'[1]MSTR AKT'!$C$4:$D$460,2,0)=0),0,VLOOKUP($N274,'[1]MSTR AKT'!$C$4:$D$460,2,0))</f>
        <v>1315111111</v>
      </c>
      <c r="N274" s="63" t="s">
        <v>3</v>
      </c>
      <c r="O274" s="58" t="str">
        <f t="shared" si="14"/>
        <v>Ringan</v>
      </c>
      <c r="P274" s="59">
        <v>46002</v>
      </c>
      <c r="Q274" s="105">
        <v>3</v>
      </c>
      <c r="R274" s="106">
        <v>11.25</v>
      </c>
      <c r="S274" s="102">
        <f t="shared" si="11"/>
        <v>1127868.75</v>
      </c>
    </row>
    <row r="275" spans="1:19" x14ac:dyDescent="0.35">
      <c r="A275" s="55" t="s">
        <v>33</v>
      </c>
      <c r="B275" s="55" t="str">
        <f>+VLOOKUP($D275,[1]STS!$A$9:$E$1405,3,0)</f>
        <v>05</v>
      </c>
      <c r="C275" s="86">
        <f>+VLOOKUP($D275,[1]STS!$A$9:$E$1405,4,0)</f>
        <v>19</v>
      </c>
      <c r="D275" s="64" t="s">
        <v>183</v>
      </c>
      <c r="E275" s="104">
        <f>+IF(ISERROR(VLOOKUP($D275,[1]STS!$E$9:$G$1503,3,0)=0),0,VLOOKUP($D275,[1]STS!$E$9:$G$1503,3,0))</f>
        <v>13.9</v>
      </c>
      <c r="F275" s="98">
        <f t="shared" si="15"/>
        <v>13.9</v>
      </c>
      <c r="G275" s="99">
        <f>+IF(ISERROR(VLOOKUP(D275,[1]STS!$E$9:$AO$1503,37,0)=0),0,VLOOKUP(D275,[1]STS!$E$9:$AO$1503,37,0))</f>
        <v>16.011851774691362</v>
      </c>
      <c r="H275" s="82" t="str">
        <f>+IF(ISERROR(VLOOKUP(D275,[1]STS!$E$9:$I$1503,5,0)=0),0,VLOOKUP(D275,[1]STS!$E$9:$I$1503,5,0))</f>
        <v>FC</v>
      </c>
      <c r="I275" s="65"/>
      <c r="J275" s="66" t="str">
        <f>VLOOKUP(D275,[1]STS!$E$9:$BC$1359,51,0)</f>
        <v>GP3CK</v>
      </c>
      <c r="K275" s="67"/>
      <c r="L275" s="78" t="str">
        <f>+VLOOKUP(N275,'[1]MSTR AKT'!$C$4:$E$460,3,0)</f>
        <v>Etri 1</v>
      </c>
      <c r="M275" s="83">
        <f>+IF(ISERROR(VLOOKUP($N275,'[1]MSTR AKT'!$C$4:$D$460,2,0)=0),0,VLOOKUP($N275,'[1]MSTR AKT'!$C$4:$D$460,2,0))</f>
        <v>1315111111</v>
      </c>
      <c r="N275" s="63" t="s">
        <v>3</v>
      </c>
      <c r="O275" s="58" t="str">
        <f t="shared" si="14"/>
        <v>Ringan</v>
      </c>
      <c r="P275" s="59">
        <v>46001</v>
      </c>
      <c r="Q275" s="105">
        <v>3</v>
      </c>
      <c r="R275" s="106">
        <v>41.7</v>
      </c>
      <c r="S275" s="102">
        <f t="shared" si="11"/>
        <v>4180633.5000000005</v>
      </c>
    </row>
    <row r="276" spans="1:19" x14ac:dyDescent="0.35">
      <c r="A276" s="55" t="s">
        <v>33</v>
      </c>
      <c r="B276" s="55" t="str">
        <f>+VLOOKUP($D276,[1]STS!$A$9:$E$1405,3,0)</f>
        <v>05</v>
      </c>
      <c r="C276" s="86">
        <f>+VLOOKUP($D276,[1]STS!$A$9:$E$1405,4,0)</f>
        <v>19</v>
      </c>
      <c r="D276" s="64" t="s">
        <v>268</v>
      </c>
      <c r="E276" s="104">
        <f>+IF(ISERROR(VLOOKUP($D276,[1]STS!$E$9:$G$1503,3,0)=0),0,VLOOKUP($D276,[1]STS!$E$9:$G$1503,3,0))</f>
        <v>14.7</v>
      </c>
      <c r="F276" s="98">
        <f t="shared" si="15"/>
        <v>14.7</v>
      </c>
      <c r="G276" s="99">
        <f>+IF(ISERROR(VLOOKUP(D276,[1]STS!$E$9:$AO$1503,37,0)=0),0,VLOOKUP(D276,[1]STS!$E$9:$AO$1503,37,0))</f>
        <v>4.3118517746913616</v>
      </c>
      <c r="H276" s="82" t="str">
        <f>+IF(ISERROR(VLOOKUP(D276,[1]STS!$E$9:$I$1503,5,0)=0),0,VLOOKUP(D276,[1]STS!$E$9:$I$1503,5,0))</f>
        <v>SC</v>
      </c>
      <c r="I276" s="65"/>
      <c r="J276" s="66" t="str">
        <f>VLOOKUP(D276,[1]STS!$E$9:$BC$1359,51,0)</f>
        <v>F18</v>
      </c>
      <c r="K276" s="67"/>
      <c r="L276" s="78" t="str">
        <f>+VLOOKUP(N276,'[1]MSTR AKT'!$C$4:$E$460,3,0)</f>
        <v>Etri 1</v>
      </c>
      <c r="M276" s="83">
        <f>+IF(ISERROR(VLOOKUP($N276,'[1]MSTR AKT'!$C$4:$D$460,2,0)=0),0,VLOOKUP($N276,'[1]MSTR AKT'!$C$4:$D$460,2,0))</f>
        <v>1315111111</v>
      </c>
      <c r="N276" s="63" t="s">
        <v>3</v>
      </c>
      <c r="O276" s="58" t="str">
        <f t="shared" si="14"/>
        <v>Ringan</v>
      </c>
      <c r="P276" s="59">
        <v>46001</v>
      </c>
      <c r="Q276" s="105">
        <v>3</v>
      </c>
      <c r="R276" s="106">
        <v>44.099999999999994</v>
      </c>
      <c r="S276" s="102">
        <f t="shared" si="11"/>
        <v>4421245.4999999991</v>
      </c>
    </row>
    <row r="277" spans="1:19" x14ac:dyDescent="0.35">
      <c r="A277" s="55" t="s">
        <v>33</v>
      </c>
      <c r="B277" s="55" t="str">
        <f>+VLOOKUP($D277,[1]STS!$A$9:$E$1405,3,0)</f>
        <v>05</v>
      </c>
      <c r="C277" s="86">
        <f>+VLOOKUP($D277,[1]STS!$A$9:$E$1405,4,0)</f>
        <v>19</v>
      </c>
      <c r="D277" s="64" t="s">
        <v>188</v>
      </c>
      <c r="E277" s="104">
        <f>+IF(ISERROR(VLOOKUP($D277,[1]STS!$E$9:$G$1503,3,0)=0),0,VLOOKUP($D277,[1]STS!$E$9:$G$1503,3,0))</f>
        <v>8.9</v>
      </c>
      <c r="F277" s="98">
        <f t="shared" si="15"/>
        <v>8.9</v>
      </c>
      <c r="G277" s="99">
        <f>+IF(ISERROR(VLOOKUP(D277,[1]STS!$E$9:$AO$1503,37,0)=0),0,VLOOKUP(D277,[1]STS!$E$9:$AO$1503,37,0))</f>
        <v>3.6785184413580283</v>
      </c>
      <c r="H277" s="82" t="str">
        <f>+IF(ISERROR(VLOOKUP(D277,[1]STS!$E$9:$I$1503,5,0)=0),0,VLOOKUP(D277,[1]STS!$E$9:$I$1503,5,0))</f>
        <v>SC</v>
      </c>
      <c r="I277" s="65"/>
      <c r="J277" s="66" t="str">
        <f>VLOOKUP(D277,[1]STS!$E$9:$BC$1359,51,0)</f>
        <v>F18</v>
      </c>
      <c r="K277" s="67"/>
      <c r="L277" s="78" t="str">
        <f>+VLOOKUP(N277,'[1]MSTR AKT'!$C$4:$E$460,3,0)</f>
        <v>Etri 1</v>
      </c>
      <c r="M277" s="83">
        <f>+IF(ISERROR(VLOOKUP($N277,'[1]MSTR AKT'!$C$4:$D$460,2,0)=0),0,VLOOKUP($N277,'[1]MSTR AKT'!$C$4:$D$460,2,0))</f>
        <v>1315111111</v>
      </c>
      <c r="N277" s="63" t="s">
        <v>3</v>
      </c>
      <c r="O277" s="58" t="str">
        <f t="shared" si="14"/>
        <v>Ringan</v>
      </c>
      <c r="P277" s="59">
        <v>46001</v>
      </c>
      <c r="Q277" s="105">
        <v>3</v>
      </c>
      <c r="R277" s="106">
        <v>26.700000000000003</v>
      </c>
      <c r="S277" s="102">
        <f t="shared" si="11"/>
        <v>2676808.5000000005</v>
      </c>
    </row>
    <row r="278" spans="1:19" x14ac:dyDescent="0.35">
      <c r="A278" s="55" t="s">
        <v>33</v>
      </c>
      <c r="B278" s="55" t="str">
        <f>+VLOOKUP($D278,[1]STS!$A$9:$E$1405,3,0)</f>
        <v>05</v>
      </c>
      <c r="C278" s="86">
        <f>+VLOOKUP($D278,[1]STS!$A$9:$E$1405,4,0)</f>
        <v>19</v>
      </c>
      <c r="D278" s="64" t="s">
        <v>267</v>
      </c>
      <c r="E278" s="104">
        <f>+IF(ISERROR(VLOOKUP($D278,[1]STS!$E$9:$G$1503,3,0)=0),0,VLOOKUP($D278,[1]STS!$E$9:$G$1503,3,0))</f>
        <v>7.81</v>
      </c>
      <c r="F278" s="98">
        <f t="shared" si="15"/>
        <v>7.81</v>
      </c>
      <c r="G278" s="99">
        <f>+IF(ISERROR(VLOOKUP(D278,[1]STS!$E$9:$AO$1503,37,0)=0),0,VLOOKUP(D278,[1]STS!$E$9:$AO$1503,37,0))</f>
        <v>8.4785184413580286</v>
      </c>
      <c r="H278" s="82" t="str">
        <f>+IF(ISERROR(VLOOKUP(D278,[1]STS!$E$9:$I$1503,5,0)=0),0,VLOOKUP(D278,[1]STS!$E$9:$I$1503,5,0))</f>
        <v>SC</v>
      </c>
      <c r="I278" s="65"/>
      <c r="J278" s="66" t="str">
        <f>VLOOKUP(D278,[1]STS!$E$9:$BC$1359,51,0)</f>
        <v>F18</v>
      </c>
      <c r="K278" s="67"/>
      <c r="L278" s="78" t="str">
        <f>+VLOOKUP(N278,'[1]MSTR AKT'!$C$4:$E$460,3,0)</f>
        <v>Etri 1</v>
      </c>
      <c r="M278" s="83">
        <f>+IF(ISERROR(VLOOKUP($N278,'[1]MSTR AKT'!$C$4:$D$460,2,0)=0),0,VLOOKUP($N278,'[1]MSTR AKT'!$C$4:$D$460,2,0))</f>
        <v>1315111111</v>
      </c>
      <c r="N278" s="63" t="s">
        <v>3</v>
      </c>
      <c r="O278" s="58" t="str">
        <f t="shared" si="14"/>
        <v>Ringan</v>
      </c>
      <c r="P278" s="59">
        <v>45998</v>
      </c>
      <c r="Q278" s="105">
        <v>3</v>
      </c>
      <c r="R278" s="106">
        <v>23.43</v>
      </c>
      <c r="S278" s="102">
        <f t="shared" si="11"/>
        <v>2348974.65</v>
      </c>
    </row>
    <row r="279" spans="1:19" x14ac:dyDescent="0.35">
      <c r="A279" s="55" t="s">
        <v>33</v>
      </c>
      <c r="B279" s="55" t="str">
        <f>+VLOOKUP($D279,[1]STS!$A$9:$E$1405,3,0)</f>
        <v>06</v>
      </c>
      <c r="C279" s="86">
        <f>+VLOOKUP($D279,[1]STS!$A$9:$E$1405,4,0)</f>
        <v>20</v>
      </c>
      <c r="D279" s="69" t="s">
        <v>100</v>
      </c>
      <c r="E279" s="97">
        <f>+IF(ISERROR(VLOOKUP($D279,[1]STS!$E$9:$G$1503,3,0)=0),0,VLOOKUP($D279,[1]STS!$E$9:$G$1503,3,0))</f>
        <v>7.81</v>
      </c>
      <c r="F279" s="98">
        <v>8.4700000000000006</v>
      </c>
      <c r="G279" s="99">
        <f>+IF(ISERROR(VLOOKUP(D279,[1]STS!$E$9:$AO$1503,37,0)=0),0,VLOOKUP(D279,[1]STS!$E$9:$AO$1503,37,0))</f>
        <v>5.4785184413580286</v>
      </c>
      <c r="H279" s="77" t="str">
        <f>+IF(ISERROR(VLOOKUP(D279,[1]STS!$E$9:$I$1503,5,0)=0),0,VLOOKUP(D279,[1]STS!$E$9:$I$1503,5,0))</f>
        <v>FC</v>
      </c>
      <c r="I279" s="56"/>
      <c r="J279" s="66" t="str">
        <f>VLOOKUP(D279,[1]STS!$E$9:$BC$1359,51,0)</f>
        <v>F18CK</v>
      </c>
      <c r="K279" s="57"/>
      <c r="L279" s="78" t="str">
        <f>+VLOOKUP(N279,'[1]MSTR AKT'!$C$4:$E$460,3,0)</f>
        <v>Etri 1</v>
      </c>
      <c r="M279" s="79">
        <f>+IF(ISERROR(VLOOKUP($N279,'[1]MSTR AKT'!$C$4:$D$460,2,0)=0),0,VLOOKUP($N279,'[1]MSTR AKT'!$C$4:$D$460,2,0))</f>
        <v>1315111111</v>
      </c>
      <c r="N279" s="70" t="s">
        <v>3</v>
      </c>
      <c r="O279" s="58" t="str">
        <f t="shared" ref="O279:O295" si="16">IF(Q279&lt;=2,"Bersih",IF(Q279&lt;=4,"Ringan",IF(Q279&lt;=8,"Sedang","Berat")))</f>
        <v>Ringan</v>
      </c>
      <c r="P279" s="59">
        <v>45998</v>
      </c>
      <c r="Q279" s="100">
        <v>4</v>
      </c>
      <c r="R279" s="101">
        <v>33.880000000000003</v>
      </c>
      <c r="S279" s="102">
        <f>+R279*100255</f>
        <v>3396639.4000000004</v>
      </c>
    </row>
    <row r="280" spans="1:19" x14ac:dyDescent="0.35">
      <c r="A280" s="55" t="s">
        <v>33</v>
      </c>
      <c r="B280" s="55" t="str">
        <f>+VLOOKUP($D280,[1]STS!$A$9:$E$1405,3,0)</f>
        <v>06</v>
      </c>
      <c r="C280" s="86">
        <f>+VLOOKUP($D280,[1]STS!$A$9:$E$1405,4,0)</f>
        <v>20</v>
      </c>
      <c r="D280" s="69" t="s">
        <v>89</v>
      </c>
      <c r="E280" s="97">
        <f>+IF(ISERROR(VLOOKUP($D280,[1]STS!$E$9:$G$1503,3,0)=0),0,VLOOKUP($D280,[1]STS!$E$9:$G$1503,3,0))</f>
        <v>11.55</v>
      </c>
      <c r="F280" s="98">
        <v>11.55</v>
      </c>
      <c r="G280" s="99">
        <f>+IF(ISERROR(VLOOKUP(D280,[1]STS!$E$9:$AO$1503,37,0)=0),0,VLOOKUP(D280,[1]STS!$E$9:$AO$1503,37,0))</f>
        <v>1.1118517746913616</v>
      </c>
      <c r="H280" s="77" t="str">
        <f>+IF(ISERROR(VLOOKUP(D280,[1]STS!$E$9:$I$1503,5,0)=0),0,VLOOKUP(D280,[1]STS!$E$9:$I$1503,5,0))</f>
        <v>SC</v>
      </c>
      <c r="I280" s="56"/>
      <c r="J280" s="66" t="str">
        <f>VLOOKUP(D280,[1]STS!$E$9:$BC$1359,51,0)</f>
        <v>F18</v>
      </c>
      <c r="K280" s="57"/>
      <c r="L280" s="78" t="str">
        <f>+VLOOKUP(N280,'[1]MSTR AKT'!$C$4:$E$460,3,0)</f>
        <v>Etri 1</v>
      </c>
      <c r="M280" s="79">
        <f>+IF(ISERROR(VLOOKUP($N280,'[1]MSTR AKT'!$C$4:$D$460,2,0)=0),0,VLOOKUP($N280,'[1]MSTR AKT'!$C$4:$D$460,2,0))</f>
        <v>1315111111</v>
      </c>
      <c r="N280" s="70" t="s">
        <v>3</v>
      </c>
      <c r="O280" s="58" t="str">
        <f t="shared" si="16"/>
        <v>Sedang</v>
      </c>
      <c r="P280" s="59">
        <v>46002</v>
      </c>
      <c r="Q280" s="100">
        <v>5</v>
      </c>
      <c r="R280" s="101">
        <v>57.75</v>
      </c>
      <c r="S280" s="102">
        <f>+R280*100255</f>
        <v>5789726.25</v>
      </c>
    </row>
    <row r="281" spans="1:19" x14ac:dyDescent="0.35">
      <c r="A281" s="55" t="s">
        <v>33</v>
      </c>
      <c r="B281" s="55" t="str">
        <f>+VLOOKUP($D281,[1]STS!$A$9:$E$1405,3,0)</f>
        <v>06</v>
      </c>
      <c r="C281" s="86">
        <f>+VLOOKUP($D281,[1]STS!$A$9:$E$1405,4,0)</f>
        <v>20</v>
      </c>
      <c r="D281" s="69" t="s">
        <v>201</v>
      </c>
      <c r="E281" s="97">
        <f>+IF(ISERROR(VLOOKUP($D281,[1]STS!$E$9:$G$1503,3,0)=0),0,VLOOKUP($D281,[1]STS!$E$9:$G$1503,3,0))</f>
        <v>6.03</v>
      </c>
      <c r="F281" s="98">
        <v>6.03</v>
      </c>
      <c r="G281" s="99">
        <f>+IF(ISERROR(VLOOKUP(D281,[1]STS!$E$9:$AO$1503,37,0)=0),0,VLOOKUP(D281,[1]STS!$E$9:$AO$1503,37,0))</f>
        <v>11.978518441358029</v>
      </c>
      <c r="H281" s="77" t="str">
        <f>+IF(ISERROR(VLOOKUP(D281,[1]STS!$E$9:$I$1503,5,0)=0),0,VLOOKUP(D281,[1]STS!$E$9:$I$1503,5,0))</f>
        <v>SC</v>
      </c>
      <c r="I281" s="56"/>
      <c r="J281" s="66" t="str">
        <f>VLOOKUP(D281,[1]STS!$E$9:$BC$1359,51,0)</f>
        <v>F18</v>
      </c>
      <c r="K281" s="57"/>
      <c r="L281" s="78" t="str">
        <f>+VLOOKUP(N281,'[1]MSTR AKT'!$C$4:$E$460,3,0)</f>
        <v>Etri 1</v>
      </c>
      <c r="M281" s="79">
        <f>+IF(ISERROR(VLOOKUP($N281,'[1]MSTR AKT'!$C$4:$D$460,2,0)=0),0,VLOOKUP($N281,'[1]MSTR AKT'!$C$4:$D$460,2,0))</f>
        <v>1315111111</v>
      </c>
      <c r="N281" s="70" t="s">
        <v>3</v>
      </c>
      <c r="O281" s="58" t="str">
        <f t="shared" si="16"/>
        <v>Ringan</v>
      </c>
      <c r="P281" s="59">
        <v>45998</v>
      </c>
      <c r="Q281" s="100">
        <v>4</v>
      </c>
      <c r="R281" s="101">
        <v>24.12</v>
      </c>
      <c r="S281" s="102">
        <f t="shared" ref="S281:S315" si="17">+R281*100255</f>
        <v>2418150.6</v>
      </c>
    </row>
    <row r="282" spans="1:19" x14ac:dyDescent="0.35">
      <c r="A282" s="55" t="s">
        <v>33</v>
      </c>
      <c r="B282" s="55" t="str">
        <f>+VLOOKUP($D282,[1]STS!$A$9:$E$1405,3,0)</f>
        <v>06</v>
      </c>
      <c r="C282" s="86">
        <f>+VLOOKUP($D282,[1]STS!$A$9:$E$1405,4,0)</f>
        <v>20</v>
      </c>
      <c r="D282" s="69" t="s">
        <v>378</v>
      </c>
      <c r="E282" s="97">
        <f>+IF(ISERROR(VLOOKUP($D282,[1]STS!$E$9:$G$1503,3,0)=0),0,VLOOKUP($D282,[1]STS!$E$9:$G$1503,3,0))</f>
        <v>3.51</v>
      </c>
      <c r="F282" s="98">
        <v>3.51</v>
      </c>
      <c r="G282" s="99">
        <f>+IF(ISERROR(VLOOKUP(D282,[1]STS!$E$9:$AO$1503,37,0)=0),0,VLOOKUP(D282,[1]STS!$E$9:$AO$1503,37,0))</f>
        <v>1.3118517746913616</v>
      </c>
      <c r="H282" s="77" t="str">
        <f>+IF(ISERROR(VLOOKUP(D282,[1]STS!$E$9:$I$1503,5,0)=0),0,VLOOKUP(D282,[1]STS!$E$9:$I$1503,5,0))</f>
        <v>SC</v>
      </c>
      <c r="I282" s="56"/>
      <c r="J282" s="66" t="str">
        <f>VLOOKUP(D282,[1]STS!$E$9:$BC$1359,51,0)</f>
        <v>F18</v>
      </c>
      <c r="K282" s="57"/>
      <c r="L282" s="78" t="str">
        <f>+VLOOKUP(N282,'[1]MSTR AKT'!$C$4:$E$460,3,0)</f>
        <v>Etri 1</v>
      </c>
      <c r="M282" s="79">
        <f>+IF(ISERROR(VLOOKUP($N282,'[1]MSTR AKT'!$C$4:$D$460,2,0)=0),0,VLOOKUP($N282,'[1]MSTR AKT'!$C$4:$D$460,2,0))</f>
        <v>1315111111</v>
      </c>
      <c r="N282" s="70" t="s">
        <v>3</v>
      </c>
      <c r="O282" s="58" t="str">
        <f t="shared" si="16"/>
        <v>Ringan</v>
      </c>
      <c r="P282" s="59">
        <v>46001</v>
      </c>
      <c r="Q282" s="100">
        <v>3</v>
      </c>
      <c r="R282" s="101">
        <v>10.53</v>
      </c>
      <c r="S282" s="102">
        <f t="shared" si="17"/>
        <v>1055685.1499999999</v>
      </c>
    </row>
    <row r="283" spans="1:19" x14ac:dyDescent="0.35">
      <c r="A283" s="55" t="s">
        <v>33</v>
      </c>
      <c r="B283" s="55" t="str">
        <f>+VLOOKUP($D283,[1]STS!$A$9:$E$1405,3,0)</f>
        <v>06</v>
      </c>
      <c r="C283" s="86">
        <f>+VLOOKUP($D283,[1]STS!$A$9:$E$1405,4,0)</f>
        <v>20</v>
      </c>
      <c r="D283" s="69" t="s">
        <v>125</v>
      </c>
      <c r="E283" s="97">
        <f>+IF(ISERROR(VLOOKUP($D283,[1]STS!$E$9:$G$1503,3,0)=0),0,VLOOKUP($D283,[1]STS!$E$9:$G$1503,3,0))</f>
        <v>6.65</v>
      </c>
      <c r="F283" s="98">
        <v>4.5</v>
      </c>
      <c r="G283" s="99">
        <f>+IF(ISERROR(VLOOKUP(D283,[1]STS!$E$9:$AO$1503,37,0)=0),0,VLOOKUP(D283,[1]STS!$E$9:$AO$1503,37,0))</f>
        <v>4.4118517746913612</v>
      </c>
      <c r="H283" s="77" t="str">
        <f>+IF(ISERROR(VLOOKUP(D283,[1]STS!$E$9:$I$1503,5,0)=0),0,VLOOKUP(D283,[1]STS!$E$9:$I$1503,5,0))</f>
        <v>FC</v>
      </c>
      <c r="I283" s="56"/>
      <c r="J283" s="66" t="str">
        <f>VLOOKUP(D283,[1]STS!$E$9:$BC$1359,51,0)</f>
        <v>GP3SB</v>
      </c>
      <c r="K283" s="57"/>
      <c r="L283" s="78" t="str">
        <f>+VLOOKUP(N283,'[1]MSTR AKT'!$C$4:$E$460,3,0)</f>
        <v>Etri 1</v>
      </c>
      <c r="M283" s="79">
        <f>+IF(ISERROR(VLOOKUP($N283,'[1]MSTR AKT'!$C$4:$D$460,2,0)=0),0,VLOOKUP($N283,'[1]MSTR AKT'!$C$4:$D$460,2,0))</f>
        <v>1315111111</v>
      </c>
      <c r="N283" s="70" t="s">
        <v>3</v>
      </c>
      <c r="O283" s="58" t="str">
        <f t="shared" si="16"/>
        <v>Ringan</v>
      </c>
      <c r="P283" s="59">
        <v>46002</v>
      </c>
      <c r="Q283" s="100">
        <v>3</v>
      </c>
      <c r="R283" s="101">
        <v>13.5</v>
      </c>
      <c r="S283" s="102">
        <f t="shared" si="17"/>
        <v>1353442.5</v>
      </c>
    </row>
    <row r="284" spans="1:19" x14ac:dyDescent="0.35">
      <c r="A284" s="55" t="s">
        <v>33</v>
      </c>
      <c r="B284" s="55" t="str">
        <f>+VLOOKUP($D284,[1]STS!$A$9:$E$1405,3,0)</f>
        <v>06</v>
      </c>
      <c r="C284" s="86">
        <f>+VLOOKUP($D284,[1]STS!$A$9:$E$1405,4,0)</f>
        <v>20</v>
      </c>
      <c r="D284" s="69" t="s">
        <v>190</v>
      </c>
      <c r="E284" s="97">
        <f>+IF(ISERROR(VLOOKUP($D284,[1]STS!$E$9:$G$1503,3,0)=0),0,VLOOKUP($D284,[1]STS!$E$9:$G$1503,3,0))</f>
        <v>5.48</v>
      </c>
      <c r="F284" s="98">
        <v>5.48</v>
      </c>
      <c r="G284" s="99">
        <f>+IF(ISERROR(VLOOKUP(D284,[1]STS!$E$9:$AO$1503,37,0)=0),0,VLOOKUP(D284,[1]STS!$E$9:$AO$1503,37,0))</f>
        <v>11.878518441358029</v>
      </c>
      <c r="H284" s="77" t="str">
        <f>+IF(ISERROR(VLOOKUP(D284,[1]STS!$E$9:$I$1503,5,0)=0),0,VLOOKUP(D284,[1]STS!$E$9:$I$1503,5,0))</f>
        <v>SC</v>
      </c>
      <c r="I284" s="56"/>
      <c r="J284" s="66" t="str">
        <f>VLOOKUP(D284,[1]STS!$E$9:$BC$1359,51,0)</f>
        <v>F18</v>
      </c>
      <c r="K284" s="57"/>
      <c r="L284" s="78" t="str">
        <f>+VLOOKUP(N284,'[1]MSTR AKT'!$C$4:$E$460,3,0)</f>
        <v>Etri 1</v>
      </c>
      <c r="M284" s="79">
        <f>+IF(ISERROR(VLOOKUP($N284,'[1]MSTR AKT'!$C$4:$D$460,2,0)=0),0,VLOOKUP($N284,'[1]MSTR AKT'!$C$4:$D$460,2,0))</f>
        <v>1315111111</v>
      </c>
      <c r="N284" s="70" t="s">
        <v>3</v>
      </c>
      <c r="O284" s="58" t="str">
        <f t="shared" si="16"/>
        <v>Sedang</v>
      </c>
      <c r="P284" s="59">
        <v>46002</v>
      </c>
      <c r="Q284" s="100">
        <v>5</v>
      </c>
      <c r="R284" s="101">
        <v>27.400000000000002</v>
      </c>
      <c r="S284" s="102">
        <f t="shared" si="17"/>
        <v>2746987</v>
      </c>
    </row>
    <row r="285" spans="1:19" x14ac:dyDescent="0.35">
      <c r="A285" s="55" t="s">
        <v>33</v>
      </c>
      <c r="B285" s="55" t="str">
        <f>+VLOOKUP($D285,[1]STS!$A$9:$E$1405,3,0)</f>
        <v>06</v>
      </c>
      <c r="C285" s="86">
        <f>+VLOOKUP($D285,[1]STS!$A$9:$E$1405,4,0)</f>
        <v>20</v>
      </c>
      <c r="D285" s="69" t="s">
        <v>52</v>
      </c>
      <c r="E285" s="97">
        <f>+IF(ISERROR(VLOOKUP($D285,[1]STS!$E$9:$G$1503,3,0)=0),0,VLOOKUP($D285,[1]STS!$E$9:$G$1503,3,0))</f>
        <v>4.2699999999999996</v>
      </c>
      <c r="F285" s="98">
        <v>4.2699999999999996</v>
      </c>
      <c r="G285" s="99">
        <f>+IF(ISERROR(VLOOKUP(D285,[1]STS!$E$9:$AO$1503,37,0)=0),0,VLOOKUP(D285,[1]STS!$E$9:$AO$1503,37,0))</f>
        <v>12.078518441358028</v>
      </c>
      <c r="H285" s="77" t="str">
        <f>+IF(ISERROR(VLOOKUP(D285,[1]STS!$E$9:$I$1503,5,0)=0),0,VLOOKUP(D285,[1]STS!$E$9:$I$1503,5,0))</f>
        <v>FC</v>
      </c>
      <c r="I285" s="56"/>
      <c r="J285" s="66" t="str">
        <f>VLOOKUP(D285,[1]STS!$E$9:$BC$1359,51,0)</f>
        <v>GP3SB</v>
      </c>
      <c r="K285" s="57"/>
      <c r="L285" s="78" t="str">
        <f>+VLOOKUP(N285,'[1]MSTR AKT'!$C$4:$E$460,3,0)</f>
        <v>Etri 1</v>
      </c>
      <c r="M285" s="79">
        <f>+IF(ISERROR(VLOOKUP($N285,'[1]MSTR AKT'!$C$4:$D$460,2,0)=0),0,VLOOKUP($N285,'[1]MSTR AKT'!$C$4:$D$460,2,0))</f>
        <v>1315111111</v>
      </c>
      <c r="N285" s="70" t="s">
        <v>3</v>
      </c>
      <c r="O285" s="58" t="str">
        <f t="shared" si="16"/>
        <v>Ringan</v>
      </c>
      <c r="P285" s="59">
        <v>46002</v>
      </c>
      <c r="Q285" s="100">
        <v>4</v>
      </c>
      <c r="R285" s="101">
        <v>17.079999999999998</v>
      </c>
      <c r="S285" s="102">
        <f t="shared" si="17"/>
        <v>1712355.4</v>
      </c>
    </row>
    <row r="286" spans="1:19" x14ac:dyDescent="0.35">
      <c r="A286" s="55" t="s">
        <v>33</v>
      </c>
      <c r="B286" s="55" t="str">
        <f>+VLOOKUP($D286,[1]STS!$A$9:$E$1405,3,0)</f>
        <v>06</v>
      </c>
      <c r="C286" s="86">
        <f>+VLOOKUP($D286,[1]STS!$A$9:$E$1405,4,0)</f>
        <v>20</v>
      </c>
      <c r="D286" s="69" t="s">
        <v>172</v>
      </c>
      <c r="E286" s="97">
        <f>+IF(ISERROR(VLOOKUP($D286,[1]STS!$E$9:$G$1503,3,0)=0),0,VLOOKUP($D286,[1]STS!$E$9:$G$1503,3,0))</f>
        <v>8.6</v>
      </c>
      <c r="F286" s="98">
        <v>10.16</v>
      </c>
      <c r="G286" s="99">
        <f>+IF(ISERROR(VLOOKUP(D286,[1]STS!$E$9:$AO$1503,37,0)=0),0,VLOOKUP(D286,[1]STS!$E$9:$AO$1503,37,0))</f>
        <v>5.878518441358028</v>
      </c>
      <c r="H286" s="77" t="str">
        <f>+IF(ISERROR(VLOOKUP(D286,[1]STS!$E$9:$I$1503,5,0)=0),0,VLOOKUP(D286,[1]STS!$E$9:$I$1503,5,0))</f>
        <v>FC</v>
      </c>
      <c r="I286" s="56"/>
      <c r="J286" s="66" t="str">
        <f>VLOOKUP(D286,[1]STS!$E$9:$BC$1359,51,0)</f>
        <v>F18CK</v>
      </c>
      <c r="K286" s="57"/>
      <c r="L286" s="78" t="str">
        <f>+VLOOKUP(N286,'[1]MSTR AKT'!$C$4:$E$460,3,0)</f>
        <v>Etri 1</v>
      </c>
      <c r="M286" s="79">
        <f>+IF(ISERROR(VLOOKUP($N286,'[1]MSTR AKT'!$C$4:$D$460,2,0)=0),0,VLOOKUP($N286,'[1]MSTR AKT'!$C$4:$D$460,2,0))</f>
        <v>1315111111</v>
      </c>
      <c r="N286" s="70" t="s">
        <v>3</v>
      </c>
      <c r="O286" s="58" t="str">
        <f t="shared" si="16"/>
        <v>Ringan</v>
      </c>
      <c r="P286" s="59">
        <v>46001</v>
      </c>
      <c r="Q286" s="100">
        <v>4</v>
      </c>
      <c r="R286" s="101">
        <v>40.64</v>
      </c>
      <c r="S286" s="102">
        <f t="shared" si="17"/>
        <v>4074363.2</v>
      </c>
    </row>
    <row r="287" spans="1:19" x14ac:dyDescent="0.35">
      <c r="A287" s="55" t="s">
        <v>33</v>
      </c>
      <c r="B287" s="55" t="str">
        <f>+VLOOKUP($D287,[1]STS!$A$9:$E$1405,3,0)</f>
        <v>06</v>
      </c>
      <c r="C287" s="86">
        <f>+VLOOKUP($D287,[1]STS!$A$9:$E$1405,4,0)</f>
        <v>20</v>
      </c>
      <c r="D287" s="71" t="s">
        <v>124</v>
      </c>
      <c r="E287" s="97">
        <f>+IF(ISERROR(VLOOKUP($D287,[1]STS!$E$9:$G$1503,3,0)=0),0,VLOOKUP($D287,[1]STS!$E$9:$G$1503,3,0))</f>
        <v>2.42</v>
      </c>
      <c r="F287" s="98">
        <v>2.0699999999999998</v>
      </c>
      <c r="G287" s="99">
        <f>+IF(ISERROR(VLOOKUP(D287,[1]STS!$E$9:$AO$1503,37,0)=0),0,VLOOKUP(D287,[1]STS!$E$9:$AO$1503,37,0))</f>
        <v>5.8118517746913616</v>
      </c>
      <c r="H287" s="77" t="str">
        <f>+IF(ISERROR(VLOOKUP(D287,[1]STS!$E$9:$I$1503,5,0)=0),0,VLOOKUP(D287,[1]STS!$E$9:$I$1503,5,0))</f>
        <v>FC</v>
      </c>
      <c r="I287" s="56"/>
      <c r="J287" s="66" t="str">
        <f>VLOOKUP(D287,[1]STS!$E$9:$BC$1359,51,0)</f>
        <v>F18SB</v>
      </c>
      <c r="K287" s="57"/>
      <c r="L287" s="78" t="str">
        <f>+VLOOKUP(N287,'[1]MSTR AKT'!$C$4:$E$460,3,0)</f>
        <v>Etri 1</v>
      </c>
      <c r="M287" s="79">
        <f>+IF(ISERROR(VLOOKUP($N287,'[1]MSTR AKT'!$C$4:$D$460,2,0)=0),0,VLOOKUP($N287,'[1]MSTR AKT'!$C$4:$D$460,2,0))</f>
        <v>1315111111</v>
      </c>
      <c r="N287" s="70" t="s">
        <v>3</v>
      </c>
      <c r="O287" s="58" t="str">
        <f t="shared" si="16"/>
        <v>Ringan</v>
      </c>
      <c r="P287" s="59">
        <v>46002</v>
      </c>
      <c r="Q287" s="100">
        <v>3</v>
      </c>
      <c r="R287" s="101">
        <v>6.2099999999999991</v>
      </c>
      <c r="S287" s="102">
        <f t="shared" si="17"/>
        <v>622583.54999999993</v>
      </c>
    </row>
    <row r="288" spans="1:19" x14ac:dyDescent="0.35">
      <c r="A288" s="55" t="s">
        <v>33</v>
      </c>
      <c r="B288" s="55" t="str">
        <f>+VLOOKUP($D288,[1]STS!$A$9:$E$1405,3,0)</f>
        <v>06</v>
      </c>
      <c r="C288" s="86">
        <f>+VLOOKUP($D288,[1]STS!$A$9:$E$1405,4,0)</f>
        <v>20</v>
      </c>
      <c r="D288" s="69" t="s">
        <v>136</v>
      </c>
      <c r="E288" s="97">
        <f>+IF(ISERROR(VLOOKUP($D288,[1]STS!$E$9:$G$1503,3,0)=0),0,VLOOKUP($D288,[1]STS!$E$9:$G$1503,3,0))</f>
        <v>8.15</v>
      </c>
      <c r="F288" s="98">
        <v>7.35</v>
      </c>
      <c r="G288" s="99">
        <f>+IF(ISERROR(VLOOKUP(D288,[1]STS!$E$9:$AO$1503,37,0)=0),0,VLOOKUP(D288,[1]STS!$E$9:$AO$1503,37,0))</f>
        <v>5.0785184413580282</v>
      </c>
      <c r="H288" s="77" t="str">
        <f>+IF(ISERROR(VLOOKUP(D288,[1]STS!$E$9:$I$1503,5,0)=0),0,VLOOKUP(D288,[1]STS!$E$9:$I$1503,5,0))</f>
        <v>FC</v>
      </c>
      <c r="I288" s="56"/>
      <c r="J288" s="66" t="str">
        <f>VLOOKUP(D288,[1]STS!$E$9:$BC$1359,51,0)</f>
        <v>GP3CK</v>
      </c>
      <c r="K288" s="57"/>
      <c r="L288" s="78" t="str">
        <f>+VLOOKUP(N288,'[1]MSTR AKT'!$C$4:$E$460,3,0)</f>
        <v>Etri 1</v>
      </c>
      <c r="M288" s="79">
        <f>+IF(ISERROR(VLOOKUP($N288,'[1]MSTR AKT'!$C$4:$D$460,2,0)=0),0,VLOOKUP($N288,'[1]MSTR AKT'!$C$4:$D$460,2,0))</f>
        <v>1315111111</v>
      </c>
      <c r="N288" s="70" t="s">
        <v>3</v>
      </c>
      <c r="O288" s="58" t="str">
        <f t="shared" si="16"/>
        <v>Ringan</v>
      </c>
      <c r="P288" s="59">
        <v>46001</v>
      </c>
      <c r="Q288" s="100">
        <v>4</v>
      </c>
      <c r="R288" s="101">
        <v>29.4</v>
      </c>
      <c r="S288" s="102">
        <f t="shared" si="17"/>
        <v>2947497</v>
      </c>
    </row>
    <row r="289" spans="1:19" x14ac:dyDescent="0.35">
      <c r="A289" s="55" t="s">
        <v>33</v>
      </c>
      <c r="B289" s="55" t="str">
        <f>+VLOOKUP($D289,[1]STS!$A$9:$E$1405,3,0)</f>
        <v>06</v>
      </c>
      <c r="C289" s="86">
        <f>+VLOOKUP($D289,[1]STS!$A$9:$E$1405,4,0)</f>
        <v>20</v>
      </c>
      <c r="D289" s="71" t="s">
        <v>335</v>
      </c>
      <c r="E289" s="97">
        <f>+IF(ISERROR(VLOOKUP($D289,[1]STS!$E$9:$G$1503,3,0)=0),0,VLOOKUP($D289,[1]STS!$E$9:$G$1503,3,0))</f>
        <v>9.4499999999999993</v>
      </c>
      <c r="F289" s="98">
        <v>8.64</v>
      </c>
      <c r="G289" s="99">
        <f>+IF(ISERROR(VLOOKUP(D289,[1]STS!$E$9:$AO$1503,37,0)=0),0,VLOOKUP(D289,[1]STS!$E$9:$AO$1503,37,0))</f>
        <v>1.9451851080246949</v>
      </c>
      <c r="H289" s="77" t="str">
        <f>+IF(ISERROR(VLOOKUP(D289,[1]STS!$E$9:$I$1503,5,0)=0),0,VLOOKUP(D289,[1]STS!$E$9:$I$1503,5,0))</f>
        <v>FC</v>
      </c>
      <c r="I289" s="56"/>
      <c r="J289" s="66" t="str">
        <f>VLOOKUP(D289,[1]STS!$E$9:$BC$1359,51,0)</f>
        <v>GP3CK</v>
      </c>
      <c r="K289" s="57"/>
      <c r="L289" s="78" t="str">
        <f>+VLOOKUP(N289,'[1]MSTR AKT'!$C$4:$E$460,3,0)</f>
        <v>Etri 1</v>
      </c>
      <c r="M289" s="79">
        <f>+IF(ISERROR(VLOOKUP($N289,'[1]MSTR AKT'!$C$4:$D$460,2,0)=0),0,VLOOKUP($N289,'[1]MSTR AKT'!$C$4:$D$460,2,0))</f>
        <v>1315111111</v>
      </c>
      <c r="N289" s="70" t="s">
        <v>3</v>
      </c>
      <c r="O289" s="58" t="str">
        <f t="shared" si="16"/>
        <v>Ringan</v>
      </c>
      <c r="P289" s="59">
        <v>46002</v>
      </c>
      <c r="Q289" s="100">
        <v>3</v>
      </c>
      <c r="R289" s="101">
        <v>25.92</v>
      </c>
      <c r="S289" s="102">
        <f t="shared" si="17"/>
        <v>2598609.6</v>
      </c>
    </row>
    <row r="290" spans="1:19" x14ac:dyDescent="0.35">
      <c r="A290" s="55" t="s">
        <v>33</v>
      </c>
      <c r="B290" s="55" t="str">
        <f>+VLOOKUP($D290,[1]STS!$A$9:$E$1405,3,0)</f>
        <v>06</v>
      </c>
      <c r="C290" s="86">
        <f>+VLOOKUP($D290,[1]STS!$A$9:$E$1405,4,0)</f>
        <v>20</v>
      </c>
      <c r="D290" s="69" t="s">
        <v>168</v>
      </c>
      <c r="E290" s="97">
        <f>+IF(ISERROR(VLOOKUP($D290,[1]STS!$E$9:$G$1503,3,0)=0),0,VLOOKUP($D290,[1]STS!$E$9:$G$1503,3,0))</f>
        <v>10.27</v>
      </c>
      <c r="F290" s="98">
        <v>4.28</v>
      </c>
      <c r="G290" s="99">
        <f>+IF(ISERROR(VLOOKUP(D290,[1]STS!$E$9:$AO$1503,37,0)=0),0,VLOOKUP(D290,[1]STS!$E$9:$AO$1503,37,0))</f>
        <v>4.0785184413580282</v>
      </c>
      <c r="H290" s="77" t="str">
        <f>+IF(ISERROR(VLOOKUP(D290,[1]STS!$E$9:$I$1503,5,0)=0),0,VLOOKUP(D290,[1]STS!$E$9:$I$1503,5,0))</f>
        <v>FC</v>
      </c>
      <c r="I290" s="56"/>
      <c r="J290" s="66" t="str">
        <f>VLOOKUP(D290,[1]STS!$E$9:$BC$1359,51,0)</f>
        <v>GP3SS</v>
      </c>
      <c r="K290" s="57"/>
      <c r="L290" s="78" t="str">
        <f>+VLOOKUP(N290,'[1]MSTR AKT'!$C$4:$E$460,3,0)</f>
        <v>Etri 1</v>
      </c>
      <c r="M290" s="79">
        <f>+IF(ISERROR(VLOOKUP($N290,'[1]MSTR AKT'!$C$4:$D$460,2,0)=0),0,VLOOKUP($N290,'[1]MSTR AKT'!$C$4:$D$460,2,0))</f>
        <v>1315111111</v>
      </c>
      <c r="N290" s="70" t="s">
        <v>3</v>
      </c>
      <c r="O290" s="58" t="str">
        <f t="shared" si="16"/>
        <v>Ringan</v>
      </c>
      <c r="P290" s="59">
        <v>46001</v>
      </c>
      <c r="Q290" s="100">
        <v>4</v>
      </c>
      <c r="R290" s="101">
        <v>17.12</v>
      </c>
      <c r="S290" s="102">
        <f t="shared" si="17"/>
        <v>1716365.6</v>
      </c>
    </row>
    <row r="291" spans="1:19" x14ac:dyDescent="0.35">
      <c r="A291" s="55" t="s">
        <v>33</v>
      </c>
      <c r="B291" s="55" t="str">
        <f>+VLOOKUP($D291,[1]STS!$A$9:$E$1405,3,0)</f>
        <v>06</v>
      </c>
      <c r="C291" s="86">
        <f>+VLOOKUP($D291,[1]STS!$A$9:$E$1405,4,0)</f>
        <v>20</v>
      </c>
      <c r="D291" s="71" t="s">
        <v>217</v>
      </c>
      <c r="E291" s="97">
        <f>+IF(ISERROR(VLOOKUP($D291,[1]STS!$E$9:$G$1503,3,0)=0),0,VLOOKUP($D291,[1]STS!$E$9:$G$1503,3,0))</f>
        <v>11.23</v>
      </c>
      <c r="F291" s="98">
        <v>10.15</v>
      </c>
      <c r="G291" s="99">
        <f>+IF(ISERROR(VLOOKUP(D291,[1]STS!$E$9:$AO$1503,37,0)=0),0,VLOOKUP(D291,[1]STS!$E$9:$AO$1503,37,0))</f>
        <v>2.878518441358028</v>
      </c>
      <c r="H291" s="77" t="str">
        <f>+IF(ISERROR(VLOOKUP(D291,[1]STS!$E$9:$I$1503,5,0)=0),0,VLOOKUP(D291,[1]STS!$E$9:$I$1503,5,0))</f>
        <v>FC</v>
      </c>
      <c r="I291" s="56"/>
      <c r="J291" s="66" t="str">
        <f>VLOOKUP(D291,[1]STS!$E$9:$BC$1359,51,0)</f>
        <v>F18CK</v>
      </c>
      <c r="K291" s="57"/>
      <c r="L291" s="78" t="str">
        <f>+VLOOKUP(N291,'[1]MSTR AKT'!$C$4:$E$460,3,0)</f>
        <v>Etri 1</v>
      </c>
      <c r="M291" s="79">
        <f>+IF(ISERROR(VLOOKUP($N291,'[1]MSTR AKT'!$C$4:$D$460,2,0)=0),0,VLOOKUP($N291,'[1]MSTR AKT'!$C$4:$D$460,2,0))</f>
        <v>1315111111</v>
      </c>
      <c r="N291" s="70" t="s">
        <v>3</v>
      </c>
      <c r="O291" s="58" t="str">
        <f t="shared" si="16"/>
        <v>Ringan</v>
      </c>
      <c r="P291" s="59">
        <v>46002</v>
      </c>
      <c r="Q291" s="100">
        <v>3</v>
      </c>
      <c r="R291" s="101">
        <v>30.450000000000003</v>
      </c>
      <c r="S291" s="102">
        <f t="shared" si="17"/>
        <v>3052764.7500000005</v>
      </c>
    </row>
    <row r="292" spans="1:19" x14ac:dyDescent="0.35">
      <c r="A292" s="55" t="s">
        <v>33</v>
      </c>
      <c r="B292" s="55" t="str">
        <f>+VLOOKUP($D292,[1]STS!$A$9:$E$1405,3,0)</f>
        <v>06</v>
      </c>
      <c r="C292" s="86">
        <f>+VLOOKUP($D292,[1]STS!$A$9:$E$1405,4,0)</f>
        <v>20</v>
      </c>
      <c r="D292" s="71" t="s">
        <v>286</v>
      </c>
      <c r="E292" s="97">
        <f>+IF(ISERROR(VLOOKUP($D292,[1]STS!$E$9:$G$1503,3,0)=0),0,VLOOKUP($D292,[1]STS!$E$9:$G$1503,3,0))</f>
        <v>6.21</v>
      </c>
      <c r="F292" s="98">
        <v>5.89</v>
      </c>
      <c r="G292" s="99">
        <f>+IF(ISERROR(VLOOKUP(D292,[1]STS!$E$9:$AO$1503,37,0)=0),0,VLOOKUP(D292,[1]STS!$E$9:$AO$1503,37,0))</f>
        <v>0.71185177469136152</v>
      </c>
      <c r="H292" s="77" t="str">
        <f>+IF(ISERROR(VLOOKUP(D292,[1]STS!$E$9:$I$1503,5,0)=0),0,VLOOKUP(D292,[1]STS!$E$9:$I$1503,5,0))</f>
        <v>FC</v>
      </c>
      <c r="I292" s="56"/>
      <c r="J292" s="66" t="str">
        <f>VLOOKUP(D292,[1]STS!$E$9:$BC$1359,51,0)</f>
        <v>GP3CK</v>
      </c>
      <c r="K292" s="57"/>
      <c r="L292" s="78" t="str">
        <f>+VLOOKUP(N292,'[1]MSTR AKT'!$C$4:$E$460,3,0)</f>
        <v>Etri 1</v>
      </c>
      <c r="M292" s="79">
        <f>+IF(ISERROR(VLOOKUP($N292,'[1]MSTR AKT'!$C$4:$D$460,2,0)=0),0,VLOOKUP($N292,'[1]MSTR AKT'!$C$4:$D$460,2,0))</f>
        <v>1315111111</v>
      </c>
      <c r="N292" s="70" t="s">
        <v>3</v>
      </c>
      <c r="O292" s="58" t="str">
        <f t="shared" si="16"/>
        <v>Ringan</v>
      </c>
      <c r="P292" s="59">
        <v>46001</v>
      </c>
      <c r="Q292" s="100">
        <v>3</v>
      </c>
      <c r="R292" s="101">
        <v>17.669999999999998</v>
      </c>
      <c r="S292" s="102">
        <f t="shared" si="17"/>
        <v>1771505.8499999999</v>
      </c>
    </row>
    <row r="293" spans="1:19" x14ac:dyDescent="0.35">
      <c r="A293" s="55" t="s">
        <v>33</v>
      </c>
      <c r="B293" s="55" t="str">
        <f>+VLOOKUP($D293,[1]STS!$A$9:$E$1405,3,0)</f>
        <v>06</v>
      </c>
      <c r="C293" s="86">
        <f>+VLOOKUP($D293,[1]STS!$A$9:$E$1405,4,0)</f>
        <v>20</v>
      </c>
      <c r="D293" s="69" t="s">
        <v>287</v>
      </c>
      <c r="E293" s="97">
        <f>+IF(ISERROR(VLOOKUP($D293,[1]STS!$E$9:$G$1503,3,0)=0),0,VLOOKUP($D293,[1]STS!$E$9:$G$1503,3,0))</f>
        <v>5.53</v>
      </c>
      <c r="F293" s="98">
        <v>5.39</v>
      </c>
      <c r="G293" s="99">
        <f>+IF(ISERROR(VLOOKUP(D293,[1]STS!$E$9:$AO$1503,37,0)=0),0,VLOOKUP(D293,[1]STS!$E$9:$AO$1503,37,0))</f>
        <v>0.67851844135802819</v>
      </c>
      <c r="H293" s="77" t="str">
        <f>+IF(ISERROR(VLOOKUP(D293,[1]STS!$E$9:$I$1503,5,0)=0),0,VLOOKUP(D293,[1]STS!$E$9:$I$1503,5,0))</f>
        <v>FC</v>
      </c>
      <c r="I293" s="56"/>
      <c r="J293" s="66" t="str">
        <f>VLOOKUP(D293,[1]STS!$E$9:$BC$1359,51,0)</f>
        <v>GP3CK</v>
      </c>
      <c r="K293" s="57"/>
      <c r="L293" s="78" t="str">
        <f>+VLOOKUP(N293,'[1]MSTR AKT'!$C$4:$E$460,3,0)</f>
        <v>Etri 1</v>
      </c>
      <c r="M293" s="79">
        <f>+IF(ISERROR(VLOOKUP($N293,'[1]MSTR AKT'!$C$4:$D$460,2,0)=0),0,VLOOKUP($N293,'[1]MSTR AKT'!$C$4:$D$460,2,0))</f>
        <v>1315111111</v>
      </c>
      <c r="N293" s="70" t="s">
        <v>3</v>
      </c>
      <c r="O293" s="58" t="str">
        <f t="shared" si="16"/>
        <v>Ringan</v>
      </c>
      <c r="P293" s="59">
        <v>46002</v>
      </c>
      <c r="Q293" s="100">
        <v>3</v>
      </c>
      <c r="R293" s="101">
        <v>16.169999999999998</v>
      </c>
      <c r="S293" s="102">
        <f t="shared" si="17"/>
        <v>1621123.3499999999</v>
      </c>
    </row>
    <row r="294" spans="1:19" x14ac:dyDescent="0.35">
      <c r="A294" s="55" t="s">
        <v>33</v>
      </c>
      <c r="B294" s="55" t="str">
        <f>+VLOOKUP($D294,[1]STS!$A$9:$E$1405,3,0)</f>
        <v>06</v>
      </c>
      <c r="C294" s="86">
        <f>+VLOOKUP($D294,[1]STS!$A$9:$E$1405,4,0)</f>
        <v>20</v>
      </c>
      <c r="D294" s="71" t="s">
        <v>68</v>
      </c>
      <c r="E294" s="97">
        <f>+IF(ISERROR(VLOOKUP($D294,[1]STS!$E$9:$G$1503,3,0)=0),0,VLOOKUP($D294,[1]STS!$E$9:$G$1503,3,0))</f>
        <v>8.85</v>
      </c>
      <c r="F294" s="98">
        <v>8.85</v>
      </c>
      <c r="G294" s="99">
        <f>+IF(ISERROR(VLOOKUP(D294,[1]STS!$E$9:$AO$1503,37,0)=0),0,VLOOKUP(D294,[1]STS!$E$9:$AO$1503,37,0))</f>
        <v>10.745185108024694</v>
      </c>
      <c r="H294" s="77" t="str">
        <f>+IF(ISERROR(VLOOKUP(D294,[1]STS!$E$9:$I$1503,5,0)=0),0,VLOOKUP(D294,[1]STS!$E$9:$I$1503,5,0))</f>
        <v>FC</v>
      </c>
      <c r="I294" s="56"/>
      <c r="J294" s="66" t="str">
        <f>VLOOKUP(D294,[1]STS!$E$9:$BC$1359,51,0)</f>
        <v>GP3SS</v>
      </c>
      <c r="K294" s="57"/>
      <c r="L294" s="78" t="str">
        <f>+VLOOKUP(N294,'[1]MSTR AKT'!$C$4:$E$460,3,0)</f>
        <v>Etri 1</v>
      </c>
      <c r="M294" s="79">
        <f>+IF(ISERROR(VLOOKUP($N294,'[1]MSTR AKT'!$C$4:$D$460,2,0)=0),0,VLOOKUP($N294,'[1]MSTR AKT'!$C$4:$D$460,2,0))</f>
        <v>1315111111</v>
      </c>
      <c r="N294" s="70" t="s">
        <v>3</v>
      </c>
      <c r="O294" s="58" t="str">
        <f t="shared" si="16"/>
        <v>Ringan</v>
      </c>
      <c r="P294" s="59">
        <v>46001</v>
      </c>
      <c r="Q294" s="100">
        <v>3</v>
      </c>
      <c r="R294" s="101">
        <v>26.549999999999997</v>
      </c>
      <c r="S294" s="102">
        <f t="shared" si="17"/>
        <v>2661770.2499999995</v>
      </c>
    </row>
    <row r="295" spans="1:19" x14ac:dyDescent="0.35">
      <c r="A295" s="55" t="s">
        <v>33</v>
      </c>
      <c r="B295" s="55" t="str">
        <f>+VLOOKUP($D295,[1]STS!$A$9:$E$1405,3,0)</f>
        <v>06</v>
      </c>
      <c r="C295" s="86">
        <f>+VLOOKUP($D295,[1]STS!$A$9:$E$1405,4,0)</f>
        <v>20</v>
      </c>
      <c r="D295" s="69" t="s">
        <v>86</v>
      </c>
      <c r="E295" s="97">
        <f>+IF(ISERROR(VLOOKUP($D295,[1]STS!$E$9:$G$1503,3,0)=0),0,VLOOKUP($D295,[1]STS!$E$9:$G$1503,3,0))</f>
        <v>13.49</v>
      </c>
      <c r="F295" s="98">
        <v>12.74</v>
      </c>
      <c r="G295" s="99">
        <f>+IF(ISERROR(VLOOKUP(D295,[1]STS!$E$9:$AO$1503,37,0)=0),0,VLOOKUP(D295,[1]STS!$E$9:$AO$1503,37,0))</f>
        <v>7.5118517746913618</v>
      </c>
      <c r="H295" s="77" t="str">
        <f>+IF(ISERROR(VLOOKUP(D295,[1]STS!$E$9:$I$1503,5,0)=0),0,VLOOKUP(D295,[1]STS!$E$9:$I$1503,5,0))</f>
        <v>FC</v>
      </c>
      <c r="I295" s="56"/>
      <c r="J295" s="66" t="str">
        <f>VLOOKUP(D295,[1]STS!$E$9:$BC$1359,51,0)</f>
        <v>F18CK</v>
      </c>
      <c r="K295" s="57"/>
      <c r="L295" s="78" t="str">
        <f>+VLOOKUP(N295,'[1]MSTR AKT'!$C$4:$E$460,3,0)</f>
        <v>Etri 1</v>
      </c>
      <c r="M295" s="79">
        <f>+IF(ISERROR(VLOOKUP($N295,'[1]MSTR AKT'!$C$4:$D$460,2,0)=0),0,VLOOKUP($N295,'[1]MSTR AKT'!$C$4:$D$460,2,0))</f>
        <v>1315111111</v>
      </c>
      <c r="N295" s="70" t="s">
        <v>3</v>
      </c>
      <c r="O295" s="58" t="str">
        <f t="shared" si="16"/>
        <v>Ringan</v>
      </c>
      <c r="P295" s="59">
        <v>46002</v>
      </c>
      <c r="Q295" s="100">
        <v>3</v>
      </c>
      <c r="R295" s="101">
        <v>38.22</v>
      </c>
      <c r="S295" s="102">
        <f t="shared" si="17"/>
        <v>3831746.1</v>
      </c>
    </row>
    <row r="296" spans="1:19" x14ac:dyDescent="0.35">
      <c r="A296" s="55" t="s">
        <v>33</v>
      </c>
      <c r="B296" s="55" t="str">
        <f>+VLOOKUP($D296,[1]STS!$A$9:$E$1405,3,0)</f>
        <v>06</v>
      </c>
      <c r="C296" s="86">
        <f>+VLOOKUP($D296,[1]STS!$A$9:$E$1405,4,0)</f>
        <v>20</v>
      </c>
      <c r="D296" s="69" t="s">
        <v>214</v>
      </c>
      <c r="E296" s="97">
        <f>+IF(ISERROR(VLOOKUP($D296,[1]STS!$E$9:$G$1503,3,0)=0),0,VLOOKUP($D296,[1]STS!$E$9:$G$1503,3,0))</f>
        <v>9.85</v>
      </c>
      <c r="F296" s="98">
        <v>9.59</v>
      </c>
      <c r="G296" s="99">
        <f>+IF(ISERROR(VLOOKUP(D296,[1]STS!$E$9:$AO$1503,37,0)=0),0,VLOOKUP(D296,[1]STS!$E$9:$AO$1503,37,0))</f>
        <v>3.9785184413580281</v>
      </c>
      <c r="H296" s="77" t="str">
        <f>+IF(ISERROR(VLOOKUP(D296,[1]STS!$E$9:$I$1503,5,0)=0),0,VLOOKUP(D296,[1]STS!$E$9:$I$1503,5,0))</f>
        <v>FC</v>
      </c>
      <c r="I296" s="56"/>
      <c r="J296" s="66" t="str">
        <f>VLOOKUP(D296,[1]STS!$E$9:$BC$1359,51,0)</f>
        <v>F18CK</v>
      </c>
      <c r="K296" s="57"/>
      <c r="L296" s="78" t="str">
        <f>+VLOOKUP(N296,'[1]MSTR AKT'!$C$4:$E$460,3,0)</f>
        <v>Widi</v>
      </c>
      <c r="M296" s="79">
        <f>+IF(ISERROR(VLOOKUP($N296,'[1]MSTR AKT'!$C$4:$D$460,2,0)=0),0,VLOOKUP($N296,'[1]MSTR AKT'!$C$4:$D$460,2,0))</f>
        <v>1315111511</v>
      </c>
      <c r="N296" s="70" t="s">
        <v>0</v>
      </c>
      <c r="O296" s="58"/>
      <c r="P296" s="59">
        <v>46001</v>
      </c>
      <c r="Q296" s="100">
        <v>3</v>
      </c>
      <c r="R296" s="101">
        <v>28.77</v>
      </c>
      <c r="S296" s="102">
        <f t="shared" si="17"/>
        <v>2884336.35</v>
      </c>
    </row>
    <row r="297" spans="1:19" x14ac:dyDescent="0.35">
      <c r="A297" s="55" t="s">
        <v>33</v>
      </c>
      <c r="B297" s="55" t="str">
        <f>+VLOOKUP($D297,[1]STS!$A$9:$E$1405,3,0)</f>
        <v>06</v>
      </c>
      <c r="C297" s="86">
        <f>+VLOOKUP($D297,[1]STS!$A$9:$E$1405,4,0)</f>
        <v>20</v>
      </c>
      <c r="D297" s="69" t="s">
        <v>215</v>
      </c>
      <c r="E297" s="97">
        <f>+IF(ISERROR(VLOOKUP($D297,[1]STS!$E$9:$G$1503,3,0)=0),0,VLOOKUP($D297,[1]STS!$E$9:$G$1503,3,0))</f>
        <v>13.9</v>
      </c>
      <c r="F297" s="98">
        <v>13.08</v>
      </c>
      <c r="G297" s="99">
        <f>+IF(ISERROR(VLOOKUP(D297,[1]STS!$E$9:$AO$1503,37,0)=0),0,VLOOKUP(D297,[1]STS!$E$9:$AO$1503,37,0))</f>
        <v>4.211851774691362</v>
      </c>
      <c r="H297" s="77" t="str">
        <f>+IF(ISERROR(VLOOKUP(D297,[1]STS!$E$9:$I$1503,5,0)=0),0,VLOOKUP(D297,[1]STS!$E$9:$I$1503,5,0))</f>
        <v>FC</v>
      </c>
      <c r="I297" s="56"/>
      <c r="J297" s="66" t="str">
        <f>VLOOKUP(D297,[1]STS!$E$9:$BC$1359,51,0)</f>
        <v>F18CK</v>
      </c>
      <c r="K297" s="57"/>
      <c r="L297" s="78" t="str">
        <f>+VLOOKUP(N297,'[1]MSTR AKT'!$C$4:$E$460,3,0)</f>
        <v>Widi</v>
      </c>
      <c r="M297" s="79">
        <f>+IF(ISERROR(VLOOKUP($N297,'[1]MSTR AKT'!$C$4:$D$460,2,0)=0),0,VLOOKUP($N297,'[1]MSTR AKT'!$C$4:$D$460,2,0))</f>
        <v>1315111511</v>
      </c>
      <c r="N297" s="70" t="s">
        <v>0</v>
      </c>
      <c r="O297" s="58"/>
      <c r="P297" s="59">
        <v>46002</v>
      </c>
      <c r="Q297" s="100">
        <v>3</v>
      </c>
      <c r="R297" s="101">
        <v>39.24</v>
      </c>
      <c r="S297" s="102">
        <f t="shared" si="17"/>
        <v>3934006.2</v>
      </c>
    </row>
    <row r="298" spans="1:19" x14ac:dyDescent="0.35">
      <c r="A298" s="55" t="s">
        <v>33</v>
      </c>
      <c r="B298" s="55" t="str">
        <f>+VLOOKUP($D298,[1]STS!$A$9:$E$1405,3,0)</f>
        <v>06</v>
      </c>
      <c r="C298" s="86">
        <f>+VLOOKUP($D298,[1]STS!$A$9:$E$1405,4,0)</f>
        <v>20</v>
      </c>
      <c r="D298" s="69" t="s">
        <v>52</v>
      </c>
      <c r="E298" s="97">
        <f>+IF(ISERROR(VLOOKUP($D298,[1]STS!$E$9:$G$1503,3,0)=0),0,VLOOKUP($D298,[1]STS!$E$9:$G$1503,3,0))</f>
        <v>4.2699999999999996</v>
      </c>
      <c r="F298" s="98">
        <v>6.95</v>
      </c>
      <c r="G298" s="99">
        <f>+IF(ISERROR(VLOOKUP(D298,[1]STS!$E$9:$AO$1503,37,0)=0),0,VLOOKUP(D298,[1]STS!$E$9:$AO$1503,37,0))</f>
        <v>12.078518441358028</v>
      </c>
      <c r="H298" s="77" t="str">
        <f>+IF(ISERROR(VLOOKUP(D298,[1]STS!$E$9:$I$1503,5,0)=0),0,VLOOKUP(D298,[1]STS!$E$9:$I$1503,5,0))</f>
        <v>FC</v>
      </c>
      <c r="I298" s="56"/>
      <c r="J298" s="66" t="str">
        <f>VLOOKUP(D298,[1]STS!$E$9:$BC$1359,51,0)</f>
        <v>GP3SB</v>
      </c>
      <c r="K298" s="57"/>
      <c r="L298" s="78" t="str">
        <f>+VLOOKUP(N298,'[1]MSTR AKT'!$C$4:$E$460,3,0)</f>
        <v>Widi</v>
      </c>
      <c r="M298" s="79">
        <f>+IF(ISERROR(VLOOKUP($N298,'[1]MSTR AKT'!$C$4:$D$460,2,0)=0),0,VLOOKUP($N298,'[1]MSTR AKT'!$C$4:$D$460,2,0))</f>
        <v>1315111511</v>
      </c>
      <c r="N298" s="70" t="s">
        <v>0</v>
      </c>
      <c r="O298" s="58"/>
      <c r="P298" s="59">
        <v>45998</v>
      </c>
      <c r="Q298" s="100">
        <v>3</v>
      </c>
      <c r="R298" s="101">
        <v>20.85</v>
      </c>
      <c r="S298" s="102">
        <f t="shared" si="17"/>
        <v>2090316.7500000002</v>
      </c>
    </row>
    <row r="299" spans="1:19" x14ac:dyDescent="0.35">
      <c r="A299" s="55" t="s">
        <v>33</v>
      </c>
      <c r="B299" s="55" t="str">
        <f>+VLOOKUP($D299,[1]STS!$A$9:$E$1405,3,0)</f>
        <v>06</v>
      </c>
      <c r="C299" s="86">
        <f>+VLOOKUP($D299,[1]STS!$A$9:$E$1405,4,0)</f>
        <v>20</v>
      </c>
      <c r="D299" s="69" t="s">
        <v>355</v>
      </c>
      <c r="E299" s="97">
        <f>+IF(ISERROR(VLOOKUP($D299,[1]STS!$E$9:$G$1503,3,0)=0),0,VLOOKUP($D299,[1]STS!$E$9:$G$1503,3,0))</f>
        <v>8.56</v>
      </c>
      <c r="F299" s="98">
        <v>6.83</v>
      </c>
      <c r="G299" s="99">
        <f>+IF(ISERROR(VLOOKUP(D299,[1]STS!$E$9:$AO$1503,37,0)=0),0,VLOOKUP(D299,[1]STS!$E$9:$AO$1503,37,0))</f>
        <v>1.0785184413580282</v>
      </c>
      <c r="H299" s="77" t="str">
        <f>+IF(ISERROR(VLOOKUP(D299,[1]STS!$E$9:$I$1503,5,0)=0),0,VLOOKUP(D299,[1]STS!$E$9:$I$1503,5,0))</f>
        <v>ST</v>
      </c>
      <c r="I299" s="56"/>
      <c r="J299" s="66" t="str">
        <f>VLOOKUP(D299,[1]STS!$E$9:$BC$1359,51,0)</f>
        <v>F18</v>
      </c>
      <c r="K299" s="57"/>
      <c r="L299" s="78" t="str">
        <f>+VLOOKUP(N299,'[1]MSTR AKT'!$C$4:$E$460,3,0)</f>
        <v>Widi</v>
      </c>
      <c r="M299" s="79">
        <f>+IF(ISERROR(VLOOKUP($N299,'[1]MSTR AKT'!$C$4:$D$460,2,0)=0),0,VLOOKUP($N299,'[1]MSTR AKT'!$C$4:$D$460,2,0))</f>
        <v>1317111113</v>
      </c>
      <c r="N299" s="70" t="s">
        <v>34</v>
      </c>
      <c r="O299" s="58"/>
      <c r="P299" s="59">
        <v>46001</v>
      </c>
      <c r="Q299" s="100">
        <v>3</v>
      </c>
      <c r="R299" s="101">
        <v>20.490000000000002</v>
      </c>
      <c r="S299" s="102">
        <f t="shared" si="17"/>
        <v>2054224.9500000002</v>
      </c>
    </row>
    <row r="300" spans="1:19" x14ac:dyDescent="0.35">
      <c r="A300" s="55" t="s">
        <v>33</v>
      </c>
      <c r="B300" s="55" t="str">
        <f>+VLOOKUP($D300,[1]STS!$A$9:$E$1405,3,0)</f>
        <v>06</v>
      </c>
      <c r="C300" s="86">
        <f>+VLOOKUP($D300,[1]STS!$A$9:$E$1405,4,0)</f>
        <v>20</v>
      </c>
      <c r="D300" s="69" t="s">
        <v>360</v>
      </c>
      <c r="E300" s="97">
        <f>+IF(ISERROR(VLOOKUP($D300,[1]STS!$E$9:$G$1503,3,0)=0),0,VLOOKUP($D300,[1]STS!$E$9:$G$1503,3,0))</f>
        <v>7.83</v>
      </c>
      <c r="F300" s="98">
        <v>6.48</v>
      </c>
      <c r="G300" s="99">
        <f>+IF(ISERROR(VLOOKUP(D300,[1]STS!$E$9:$AO$1503,37,0)=0),0,VLOOKUP(D300,[1]STS!$E$9:$AO$1503,37,0))</f>
        <v>1.0785184413580282</v>
      </c>
      <c r="H300" s="77" t="str">
        <f>+IF(ISERROR(VLOOKUP(D300,[1]STS!$E$9:$I$1503,5,0)=0),0,VLOOKUP(D300,[1]STS!$E$9:$I$1503,5,0))</f>
        <v>ST</v>
      </c>
      <c r="I300" s="56"/>
      <c r="J300" s="66" t="str">
        <f>VLOOKUP(D300,[1]STS!$E$9:$BC$1359,51,0)</f>
        <v>F18</v>
      </c>
      <c r="K300" s="57"/>
      <c r="L300" s="78" t="str">
        <f>+VLOOKUP(N300,'[1]MSTR AKT'!$C$4:$E$460,3,0)</f>
        <v>Widi</v>
      </c>
      <c r="M300" s="79">
        <f>+IF(ISERROR(VLOOKUP($N300,'[1]MSTR AKT'!$C$4:$D$460,2,0)=0),0,VLOOKUP($N300,'[1]MSTR AKT'!$C$4:$D$460,2,0))</f>
        <v>1317111113</v>
      </c>
      <c r="N300" s="70" t="s">
        <v>34</v>
      </c>
      <c r="O300" s="58"/>
      <c r="P300" s="59">
        <v>46002</v>
      </c>
      <c r="Q300" s="100">
        <v>3</v>
      </c>
      <c r="R300" s="101">
        <v>19.440000000000001</v>
      </c>
      <c r="S300" s="102">
        <f t="shared" si="17"/>
        <v>1948957.2000000002</v>
      </c>
    </row>
    <row r="301" spans="1:19" x14ac:dyDescent="0.35">
      <c r="A301" s="55" t="s">
        <v>33</v>
      </c>
      <c r="B301" s="55" t="str">
        <f>+VLOOKUP($D301,[1]STS!$A$9:$E$1405,3,0)</f>
        <v>06</v>
      </c>
      <c r="C301" s="86">
        <f>+VLOOKUP($D301,[1]STS!$A$9:$E$1405,4,0)</f>
        <v>20</v>
      </c>
      <c r="D301" s="69" t="s">
        <v>330</v>
      </c>
      <c r="E301" s="97">
        <f>+IF(ISERROR(VLOOKUP($D301,[1]STS!$E$9:$G$1503,3,0)=0),0,VLOOKUP($D301,[1]STS!$E$9:$G$1503,3,0))</f>
        <v>7.71</v>
      </c>
      <c r="F301" s="98">
        <v>17.05</v>
      </c>
      <c r="G301" s="99">
        <f>+IF(ISERROR(VLOOKUP(D301,[1]STS!$E$9:$AO$1503,37,0)=0),0,VLOOKUP(D301,[1]STS!$E$9:$AO$1503,37,0))</f>
        <v>2.545185108024695</v>
      </c>
      <c r="H301" s="77" t="str">
        <f>+IF(ISERROR(VLOOKUP(D301,[1]STS!$E$9:$I$1503,5,0)=0),0,VLOOKUP(D301,[1]STS!$E$9:$I$1503,5,0))</f>
        <v>FC</v>
      </c>
      <c r="I301" s="56"/>
      <c r="J301" s="66" t="str">
        <f>VLOOKUP(D301,[1]STS!$E$9:$BC$1359,51,0)</f>
        <v>F18CK</v>
      </c>
      <c r="K301" s="57"/>
      <c r="L301" s="78" t="str">
        <f>+VLOOKUP(N301,'[1]MSTR AKT'!$C$4:$E$460,3,0)</f>
        <v>Widi</v>
      </c>
      <c r="M301" s="79">
        <f>+IF(ISERROR(VLOOKUP($N301,'[1]MSTR AKT'!$C$4:$D$460,2,0)=0),0,VLOOKUP($N301,'[1]MSTR AKT'!$C$4:$D$460,2,0))</f>
        <v>1317111113</v>
      </c>
      <c r="N301" s="70" t="s">
        <v>34</v>
      </c>
      <c r="O301" s="58"/>
      <c r="P301" s="59">
        <v>46002</v>
      </c>
      <c r="Q301" s="100">
        <v>3</v>
      </c>
      <c r="R301" s="101">
        <v>51.150000000000006</v>
      </c>
      <c r="S301" s="102">
        <f t="shared" si="17"/>
        <v>5128043.2500000009</v>
      </c>
    </row>
    <row r="302" spans="1:19" x14ac:dyDescent="0.35">
      <c r="A302" s="55" t="s">
        <v>33</v>
      </c>
      <c r="B302" s="55" t="str">
        <f>+VLOOKUP($D302,[1]STS!$A$9:$E$1405,3,0)</f>
        <v>06</v>
      </c>
      <c r="C302" s="86">
        <f>+VLOOKUP($D302,[1]STS!$A$9:$E$1405,4,0)</f>
        <v>20</v>
      </c>
      <c r="D302" s="69" t="s">
        <v>331</v>
      </c>
      <c r="E302" s="97">
        <f>+IF(ISERROR(VLOOKUP($D302,[1]STS!$E$9:$G$1503,3,0)=0),0,VLOOKUP($D302,[1]STS!$E$9:$G$1503,3,0))</f>
        <v>10.32</v>
      </c>
      <c r="F302" s="98">
        <v>17.05</v>
      </c>
      <c r="G302" s="99">
        <f>+IF(ISERROR(VLOOKUP(D302,[1]STS!$E$9:$AO$1503,37,0)=0),0,VLOOKUP(D302,[1]STS!$E$9:$AO$1503,37,0))</f>
        <v>2.8451851080246948</v>
      </c>
      <c r="H302" s="77" t="str">
        <f>+IF(ISERROR(VLOOKUP(D302,[1]STS!$E$9:$I$1503,5,0)=0),0,VLOOKUP(D302,[1]STS!$E$9:$I$1503,5,0))</f>
        <v>FC</v>
      </c>
      <c r="I302" s="56"/>
      <c r="J302" s="66" t="str">
        <f>VLOOKUP(D302,[1]STS!$E$9:$BC$1359,51,0)</f>
        <v>F18CK</v>
      </c>
      <c r="K302" s="57"/>
      <c r="L302" s="78" t="str">
        <f>+VLOOKUP(N302,'[1]MSTR AKT'!$C$4:$E$460,3,0)</f>
        <v>Widi</v>
      </c>
      <c r="M302" s="79">
        <f>+IF(ISERROR(VLOOKUP($N302,'[1]MSTR AKT'!$C$4:$D$460,2,0)=0),0,VLOOKUP($N302,'[1]MSTR AKT'!$C$4:$D$460,2,0))</f>
        <v>1317111113</v>
      </c>
      <c r="N302" s="70" t="s">
        <v>34</v>
      </c>
      <c r="O302" s="58"/>
      <c r="P302" s="59">
        <v>46002</v>
      </c>
      <c r="Q302" s="100">
        <v>3</v>
      </c>
      <c r="R302" s="101">
        <v>51.150000000000006</v>
      </c>
      <c r="S302" s="102">
        <f t="shared" si="17"/>
        <v>5128043.2500000009</v>
      </c>
    </row>
    <row r="303" spans="1:19" x14ac:dyDescent="0.35">
      <c r="A303" s="55" t="s">
        <v>33</v>
      </c>
      <c r="B303" s="55" t="str">
        <f>+VLOOKUP($D303,[1]STS!$A$9:$E$1405,3,0)</f>
        <v>06</v>
      </c>
      <c r="C303" s="86">
        <f>+VLOOKUP($D303,[1]STS!$A$9:$E$1405,4,0)</f>
        <v>20</v>
      </c>
      <c r="D303" s="69" t="s">
        <v>332</v>
      </c>
      <c r="E303" s="97">
        <f>+IF(ISERROR(VLOOKUP($D303,[1]STS!$E$9:$G$1503,3,0)=0),0,VLOOKUP($D303,[1]STS!$E$9:$G$1503,3,0))</f>
        <v>6.41</v>
      </c>
      <c r="F303" s="98">
        <v>6.09</v>
      </c>
      <c r="G303" s="99">
        <f>+IF(ISERROR(VLOOKUP(D303,[1]STS!$E$9:$AO$1503,37,0)=0),0,VLOOKUP(D303,[1]STS!$E$9:$AO$1503,37,0))</f>
        <v>1.8785184413580283</v>
      </c>
      <c r="H303" s="77" t="str">
        <f>+IF(ISERROR(VLOOKUP(D303,[1]STS!$E$9:$I$1503,5,0)=0),0,VLOOKUP(D303,[1]STS!$E$9:$I$1503,5,0))</f>
        <v>FC</v>
      </c>
      <c r="I303" s="56"/>
      <c r="J303" s="66" t="str">
        <f>VLOOKUP(D303,[1]STS!$E$9:$BC$1359,51,0)</f>
        <v>F18CK</v>
      </c>
      <c r="K303" s="57"/>
      <c r="L303" s="78" t="str">
        <f>+VLOOKUP(N303,'[1]MSTR AKT'!$C$4:$E$460,3,0)</f>
        <v>Widi</v>
      </c>
      <c r="M303" s="79">
        <f>+IF(ISERROR(VLOOKUP($N303,'[1]MSTR AKT'!$C$4:$D$460,2,0)=0),0,VLOOKUP($N303,'[1]MSTR AKT'!$C$4:$D$460,2,0))</f>
        <v>1317111113</v>
      </c>
      <c r="N303" s="70" t="s">
        <v>34</v>
      </c>
      <c r="O303" s="58"/>
      <c r="P303" s="59">
        <v>46001</v>
      </c>
      <c r="Q303" s="100">
        <v>3</v>
      </c>
      <c r="R303" s="101">
        <v>18.27</v>
      </c>
      <c r="S303" s="102">
        <f t="shared" si="17"/>
        <v>1831658.8499999999</v>
      </c>
    </row>
    <row r="304" spans="1:19" x14ac:dyDescent="0.35">
      <c r="A304" s="55" t="s">
        <v>33</v>
      </c>
      <c r="B304" s="55" t="str">
        <f>+VLOOKUP($D304,[1]STS!$A$9:$E$1405,3,0)</f>
        <v>06</v>
      </c>
      <c r="C304" s="86">
        <f>+VLOOKUP($D304,[1]STS!$A$9:$E$1405,4,0)</f>
        <v>20</v>
      </c>
      <c r="D304" s="71" t="s">
        <v>335</v>
      </c>
      <c r="E304" s="97">
        <f>+IF(ISERROR(VLOOKUP($D304,[1]STS!$E$9:$G$1503,3,0)=0),0,VLOOKUP($D304,[1]STS!$E$9:$G$1503,3,0))</f>
        <v>9.4499999999999993</v>
      </c>
      <c r="F304" s="98">
        <v>8.64</v>
      </c>
      <c r="G304" s="99">
        <f>+IF(ISERROR(VLOOKUP(D304,[1]STS!$E$9:$AO$1503,37,0)=0),0,VLOOKUP(D304,[1]STS!$E$9:$AO$1503,37,0))</f>
        <v>1.9451851080246949</v>
      </c>
      <c r="H304" s="77" t="str">
        <f>+IF(ISERROR(VLOOKUP(D304,[1]STS!$E$9:$I$1503,5,0)=0),0,VLOOKUP(D304,[1]STS!$E$9:$I$1503,5,0))</f>
        <v>FC</v>
      </c>
      <c r="I304" s="56"/>
      <c r="J304" s="66" t="str">
        <f>VLOOKUP(D304,[1]STS!$E$9:$BC$1359,51,0)</f>
        <v>GP3CK</v>
      </c>
      <c r="K304" s="57"/>
      <c r="L304" s="78" t="str">
        <f>+VLOOKUP(N304,'[1]MSTR AKT'!$C$4:$E$460,3,0)</f>
        <v>Widi</v>
      </c>
      <c r="M304" s="79">
        <f>+IF(ISERROR(VLOOKUP($N304,'[1]MSTR AKT'!$C$4:$D$460,2,0)=0),0,VLOOKUP($N304,'[1]MSTR AKT'!$C$4:$D$460,2,0))</f>
        <v>1317111113</v>
      </c>
      <c r="N304" s="70" t="s">
        <v>34</v>
      </c>
      <c r="O304" s="58"/>
      <c r="P304" s="59">
        <v>46002</v>
      </c>
      <c r="Q304" s="100">
        <v>3</v>
      </c>
      <c r="R304" s="101">
        <v>25.92</v>
      </c>
      <c r="S304" s="102">
        <f t="shared" si="17"/>
        <v>2598609.6</v>
      </c>
    </row>
    <row r="305" spans="1:19" x14ac:dyDescent="0.35">
      <c r="A305" s="55" t="s">
        <v>33</v>
      </c>
      <c r="B305" s="55" t="str">
        <f>+VLOOKUP($D305,[1]STS!$A$9:$E$1405,3,0)</f>
        <v>06</v>
      </c>
      <c r="C305" s="86">
        <f>+VLOOKUP($D305,[1]STS!$A$9:$E$1405,4,0)</f>
        <v>20</v>
      </c>
      <c r="D305" s="69" t="s">
        <v>136</v>
      </c>
      <c r="E305" s="97">
        <f>+IF(ISERROR(VLOOKUP($D305,[1]STS!$E$9:$G$1503,3,0)=0),0,VLOOKUP($D305,[1]STS!$E$9:$G$1503,3,0))</f>
        <v>8.15</v>
      </c>
      <c r="F305" s="98">
        <v>7.35</v>
      </c>
      <c r="G305" s="99">
        <f>+IF(ISERROR(VLOOKUP(D305,[1]STS!$E$9:$AO$1503,37,0)=0),0,VLOOKUP(D305,[1]STS!$E$9:$AO$1503,37,0))</f>
        <v>5.0785184413580282</v>
      </c>
      <c r="H305" s="77" t="str">
        <f>+IF(ISERROR(VLOOKUP(D305,[1]STS!$E$9:$I$1503,5,0)=0),0,VLOOKUP(D305,[1]STS!$E$9:$I$1503,5,0))</f>
        <v>FC</v>
      </c>
      <c r="I305" s="56"/>
      <c r="J305" s="66" t="str">
        <f>VLOOKUP(D305,[1]STS!$E$9:$BC$1359,51,0)</f>
        <v>GP3CK</v>
      </c>
      <c r="K305" s="57"/>
      <c r="L305" s="78" t="str">
        <f>+VLOOKUP(N305,'[1]MSTR AKT'!$C$4:$E$460,3,0)</f>
        <v>Widi</v>
      </c>
      <c r="M305" s="79">
        <f>+IF(ISERROR(VLOOKUP($N305,'[1]MSTR AKT'!$C$4:$D$460,2,0)=0),0,VLOOKUP($N305,'[1]MSTR AKT'!$C$4:$D$460,2,0))</f>
        <v>1317111113</v>
      </c>
      <c r="N305" s="70" t="s">
        <v>34</v>
      </c>
      <c r="O305" s="58"/>
      <c r="P305" s="59">
        <v>46001</v>
      </c>
      <c r="Q305" s="100">
        <v>3</v>
      </c>
      <c r="R305" s="101">
        <v>22.049999999999997</v>
      </c>
      <c r="S305" s="102">
        <f t="shared" si="17"/>
        <v>2210622.7499999995</v>
      </c>
    </row>
    <row r="306" spans="1:19" x14ac:dyDescent="0.35">
      <c r="A306" s="55" t="s">
        <v>33</v>
      </c>
      <c r="B306" s="55" t="str">
        <f>+VLOOKUP($D306,[1]STS!$A$9:$E$1405,3,0)</f>
        <v>06</v>
      </c>
      <c r="C306" s="86">
        <f>+VLOOKUP($D306,[1]STS!$A$9:$E$1405,4,0)</f>
        <v>20</v>
      </c>
      <c r="D306" s="71" t="s">
        <v>214</v>
      </c>
      <c r="E306" s="97">
        <f>+IF(ISERROR(VLOOKUP($D306,[1]STS!$E$9:$G$1503,3,0)=0),0,VLOOKUP($D306,[1]STS!$E$9:$G$1503,3,0))</f>
        <v>9.85</v>
      </c>
      <c r="F306" s="98">
        <v>9.59</v>
      </c>
      <c r="G306" s="99">
        <f>+IF(ISERROR(VLOOKUP(D306,[1]STS!$E$9:$AO$1503,37,0)=0),0,VLOOKUP(D306,[1]STS!$E$9:$AO$1503,37,0))</f>
        <v>3.9785184413580281</v>
      </c>
      <c r="H306" s="77" t="str">
        <f>+IF(ISERROR(VLOOKUP(D306,[1]STS!$E$9:$I$1503,5,0)=0),0,VLOOKUP(D306,[1]STS!$E$9:$I$1503,5,0))</f>
        <v>FC</v>
      </c>
      <c r="I306" s="56"/>
      <c r="J306" s="66" t="str">
        <f>VLOOKUP(D306,[1]STS!$E$9:$BC$1359,51,0)</f>
        <v>F18CK</v>
      </c>
      <c r="K306" s="57"/>
      <c r="L306" s="78" t="str">
        <f>+VLOOKUP(N306,'[1]MSTR AKT'!$C$4:$E$460,3,0)</f>
        <v>Widi</v>
      </c>
      <c r="M306" s="79">
        <f>+IF(ISERROR(VLOOKUP($N306,'[1]MSTR AKT'!$C$4:$D$460,2,0)=0),0,VLOOKUP($N306,'[1]MSTR AKT'!$C$4:$D$460,2,0))</f>
        <v>1317111113</v>
      </c>
      <c r="N306" s="70" t="s">
        <v>34</v>
      </c>
      <c r="O306" s="58"/>
      <c r="P306" s="59">
        <v>46002</v>
      </c>
      <c r="Q306" s="100">
        <v>3</v>
      </c>
      <c r="R306" s="101">
        <v>28.77</v>
      </c>
      <c r="S306" s="102">
        <f t="shared" si="17"/>
        <v>2884336.35</v>
      </c>
    </row>
    <row r="307" spans="1:19" x14ac:dyDescent="0.35">
      <c r="A307" s="55" t="s">
        <v>33</v>
      </c>
      <c r="B307" s="55" t="str">
        <f>+VLOOKUP($D307,[1]STS!$A$9:$E$1405,3,0)</f>
        <v>06</v>
      </c>
      <c r="C307" s="86">
        <f>+VLOOKUP($D307,[1]STS!$A$9:$E$1405,4,0)</f>
        <v>20</v>
      </c>
      <c r="D307" s="69" t="s">
        <v>215</v>
      </c>
      <c r="E307" s="97">
        <f>+IF(ISERROR(VLOOKUP($D307,[1]STS!$E$9:$G$1503,3,0)=0),0,VLOOKUP($D307,[1]STS!$E$9:$G$1503,3,0))</f>
        <v>13.9</v>
      </c>
      <c r="F307" s="98">
        <v>13.08</v>
      </c>
      <c r="G307" s="99">
        <f>+IF(ISERROR(VLOOKUP(D307,[1]STS!$E$9:$AO$1503,37,0)=0),0,VLOOKUP(D307,[1]STS!$E$9:$AO$1503,37,0))</f>
        <v>4.211851774691362</v>
      </c>
      <c r="H307" s="77" t="str">
        <f>+IF(ISERROR(VLOOKUP(D307,[1]STS!$E$9:$I$1503,5,0)=0),0,VLOOKUP(D307,[1]STS!$E$9:$I$1503,5,0))</f>
        <v>FC</v>
      </c>
      <c r="I307" s="56"/>
      <c r="J307" s="66" t="str">
        <f>VLOOKUP(D307,[1]STS!$E$9:$BC$1359,51,0)</f>
        <v>F18CK</v>
      </c>
      <c r="K307" s="57"/>
      <c r="L307" s="78" t="str">
        <f>+VLOOKUP(N307,'[1]MSTR AKT'!$C$4:$E$460,3,0)</f>
        <v>Widi</v>
      </c>
      <c r="M307" s="79">
        <f>+IF(ISERROR(VLOOKUP($N307,'[1]MSTR AKT'!$C$4:$D$460,2,0)=0),0,VLOOKUP($N307,'[1]MSTR AKT'!$C$4:$D$460,2,0))</f>
        <v>1317111113</v>
      </c>
      <c r="N307" s="70" t="s">
        <v>34</v>
      </c>
      <c r="O307" s="58"/>
      <c r="P307" s="59">
        <v>46001</v>
      </c>
      <c r="Q307" s="100">
        <v>3</v>
      </c>
      <c r="R307" s="101">
        <v>39.24</v>
      </c>
      <c r="S307" s="102">
        <f t="shared" si="17"/>
        <v>3934006.2</v>
      </c>
    </row>
    <row r="308" spans="1:19" x14ac:dyDescent="0.35">
      <c r="A308" s="55" t="s">
        <v>33</v>
      </c>
      <c r="B308" s="55" t="str">
        <f>+VLOOKUP($D308,[1]STS!$A$9:$E$1405,3,0)</f>
        <v>06</v>
      </c>
      <c r="C308" s="86">
        <f>+VLOOKUP($D308,[1]STS!$A$9:$E$1405,4,0)</f>
        <v>20</v>
      </c>
      <c r="D308" s="71" t="s">
        <v>172</v>
      </c>
      <c r="E308" s="97">
        <f>+IF(ISERROR(VLOOKUP($D308,[1]STS!$E$9:$G$1503,3,0)=0),0,VLOOKUP($D308,[1]STS!$E$9:$G$1503,3,0))</f>
        <v>8.6</v>
      </c>
      <c r="F308" s="98">
        <v>10.16</v>
      </c>
      <c r="G308" s="99">
        <f>+IF(ISERROR(VLOOKUP(D308,[1]STS!$E$9:$AO$1503,37,0)=0),0,VLOOKUP(D308,[1]STS!$E$9:$AO$1503,37,0))</f>
        <v>5.878518441358028</v>
      </c>
      <c r="H308" s="77" t="str">
        <f>+IF(ISERROR(VLOOKUP(D308,[1]STS!$E$9:$I$1503,5,0)=0),0,VLOOKUP(D308,[1]STS!$E$9:$I$1503,5,0))</f>
        <v>FC</v>
      </c>
      <c r="I308" s="56"/>
      <c r="J308" s="66" t="str">
        <f>VLOOKUP(D308,[1]STS!$E$9:$BC$1359,51,0)</f>
        <v>F18CK</v>
      </c>
      <c r="K308" s="57"/>
      <c r="L308" s="78" t="str">
        <f>+VLOOKUP(N308,'[1]MSTR AKT'!$C$4:$E$460,3,0)</f>
        <v>Widi</v>
      </c>
      <c r="M308" s="79">
        <f>+IF(ISERROR(VLOOKUP($N308,'[1]MSTR AKT'!$C$4:$D$460,2,0)=0),0,VLOOKUP($N308,'[1]MSTR AKT'!$C$4:$D$460,2,0))</f>
        <v>1317111113</v>
      </c>
      <c r="N308" s="70" t="s">
        <v>34</v>
      </c>
      <c r="O308" s="58"/>
      <c r="P308" s="59">
        <v>46002</v>
      </c>
      <c r="Q308" s="100">
        <v>3</v>
      </c>
      <c r="R308" s="101">
        <v>30.48</v>
      </c>
      <c r="S308" s="102">
        <f t="shared" si="17"/>
        <v>3055772.4</v>
      </c>
    </row>
    <row r="309" spans="1:19" x14ac:dyDescent="0.35">
      <c r="A309" s="55" t="s">
        <v>33</v>
      </c>
      <c r="B309" s="55" t="str">
        <f>+VLOOKUP($D309,[1]STS!$A$9:$E$1405,3,0)</f>
        <v>06</v>
      </c>
      <c r="C309" s="86">
        <f>+VLOOKUP($D309,[1]STS!$A$9:$E$1405,4,0)</f>
        <v>20</v>
      </c>
      <c r="D309" s="71" t="s">
        <v>124</v>
      </c>
      <c r="E309" s="97">
        <f>+IF(ISERROR(VLOOKUP($D309,[1]STS!$E$9:$G$1503,3,0)=0),0,VLOOKUP($D309,[1]STS!$E$9:$G$1503,3,0))</f>
        <v>2.42</v>
      </c>
      <c r="F309" s="98">
        <v>2.0699999999999998</v>
      </c>
      <c r="G309" s="99">
        <f>+IF(ISERROR(VLOOKUP(D309,[1]STS!$E$9:$AO$1503,37,0)=0),0,VLOOKUP(D309,[1]STS!$E$9:$AO$1503,37,0))</f>
        <v>5.8118517746913616</v>
      </c>
      <c r="H309" s="77" t="str">
        <f>+IF(ISERROR(VLOOKUP(D309,[1]STS!$E$9:$I$1503,5,0)=0),0,VLOOKUP(D309,[1]STS!$E$9:$I$1503,5,0))</f>
        <v>FC</v>
      </c>
      <c r="I309" s="56"/>
      <c r="J309" s="66" t="str">
        <f>VLOOKUP(D309,[1]STS!$E$9:$BC$1359,51,0)</f>
        <v>F18SB</v>
      </c>
      <c r="K309" s="57"/>
      <c r="L309" s="78" t="str">
        <f>+VLOOKUP(N309,'[1]MSTR AKT'!$C$4:$E$460,3,0)</f>
        <v>Widi</v>
      </c>
      <c r="M309" s="79">
        <f>+IF(ISERROR(VLOOKUP($N309,'[1]MSTR AKT'!$C$4:$D$460,2,0)=0),0,VLOOKUP($N309,'[1]MSTR AKT'!$C$4:$D$460,2,0))</f>
        <v>1317111113</v>
      </c>
      <c r="N309" s="70" t="s">
        <v>34</v>
      </c>
      <c r="O309" s="58"/>
      <c r="P309" s="59">
        <v>46001</v>
      </c>
      <c r="Q309" s="100">
        <v>3</v>
      </c>
      <c r="R309" s="101">
        <v>6.2099999999999991</v>
      </c>
      <c r="S309" s="102">
        <f t="shared" si="17"/>
        <v>622583.54999999993</v>
      </c>
    </row>
    <row r="310" spans="1:19" x14ac:dyDescent="0.35">
      <c r="A310" s="55" t="s">
        <v>33</v>
      </c>
      <c r="B310" s="55" t="str">
        <f>+VLOOKUP($D310,[1]STS!$A$9:$E$1405,3,0)</f>
        <v>06</v>
      </c>
      <c r="C310" s="86">
        <f>+VLOOKUP($D310,[1]STS!$A$9:$E$1405,4,0)</f>
        <v>20</v>
      </c>
      <c r="D310" s="69" t="s">
        <v>216</v>
      </c>
      <c r="E310" s="97">
        <f>+IF(ISERROR(VLOOKUP($D310,[1]STS!$E$9:$G$1503,3,0)=0),0,VLOOKUP($D310,[1]STS!$E$9:$G$1503,3,0))</f>
        <v>9.7799999999999994</v>
      </c>
      <c r="F310" s="98">
        <v>9.17</v>
      </c>
      <c r="G310" s="99">
        <f>+IF(ISERROR(VLOOKUP(D310,[1]STS!$E$9:$AO$1503,37,0)=0),0,VLOOKUP(D310,[1]STS!$E$9:$AO$1503,37,0))</f>
        <v>2.1785184413580283</v>
      </c>
      <c r="H310" s="77" t="str">
        <f>+IF(ISERROR(VLOOKUP(D310,[1]STS!$E$9:$I$1503,5,0)=0),0,VLOOKUP(D310,[1]STS!$E$9:$I$1503,5,0))</f>
        <v>FC</v>
      </c>
      <c r="I310" s="56"/>
      <c r="J310" s="66" t="str">
        <f>VLOOKUP(D310,[1]STS!$E$9:$BC$1359,51,0)</f>
        <v>F18CK</v>
      </c>
      <c r="K310" s="57"/>
      <c r="L310" s="78" t="str">
        <f>+VLOOKUP(N310,'[1]MSTR AKT'!$C$4:$E$460,3,0)</f>
        <v>Widi</v>
      </c>
      <c r="M310" s="79">
        <f>+IF(ISERROR(VLOOKUP($N310,'[1]MSTR AKT'!$C$4:$D$460,2,0)=0),0,VLOOKUP($N310,'[1]MSTR AKT'!$C$4:$D$460,2,0))</f>
        <v>1317111113</v>
      </c>
      <c r="N310" s="70" t="s">
        <v>34</v>
      </c>
      <c r="O310" s="58"/>
      <c r="P310" s="59">
        <v>46002</v>
      </c>
      <c r="Q310" s="100">
        <v>3</v>
      </c>
      <c r="R310" s="101">
        <v>27.509999999999998</v>
      </c>
      <c r="S310" s="102">
        <f t="shared" si="17"/>
        <v>2758015.05</v>
      </c>
    </row>
    <row r="311" spans="1:19" x14ac:dyDescent="0.35">
      <c r="A311" s="55" t="s">
        <v>33</v>
      </c>
      <c r="B311" s="55" t="str">
        <f>+VLOOKUP($D311,[1]STS!$A$9:$E$1405,3,0)</f>
        <v>06</v>
      </c>
      <c r="C311" s="86">
        <f>+VLOOKUP($D311,[1]STS!$A$9:$E$1405,4,0)</f>
        <v>20</v>
      </c>
      <c r="D311" s="71" t="s">
        <v>86</v>
      </c>
      <c r="E311" s="97">
        <f>+IF(ISERROR(VLOOKUP($D311,[1]STS!$E$9:$G$1503,3,0)=0),0,VLOOKUP($D311,[1]STS!$E$9:$G$1503,3,0))</f>
        <v>13.49</v>
      </c>
      <c r="F311" s="98">
        <v>12.74</v>
      </c>
      <c r="G311" s="99">
        <f>+IF(ISERROR(VLOOKUP(D311,[1]STS!$E$9:$AO$1503,37,0)=0),0,VLOOKUP(D311,[1]STS!$E$9:$AO$1503,37,0))</f>
        <v>7.5118517746913618</v>
      </c>
      <c r="H311" s="77" t="str">
        <f>+IF(ISERROR(VLOOKUP(D311,[1]STS!$E$9:$I$1503,5,0)=0),0,VLOOKUP(D311,[1]STS!$E$9:$I$1503,5,0))</f>
        <v>FC</v>
      </c>
      <c r="I311" s="56"/>
      <c r="J311" s="66" t="str">
        <f>VLOOKUP(D311,[1]STS!$E$9:$BC$1359,51,0)</f>
        <v>F18CK</v>
      </c>
      <c r="K311" s="57"/>
      <c r="L311" s="78" t="str">
        <f>+VLOOKUP(N311,'[1]MSTR AKT'!$C$4:$E$460,3,0)</f>
        <v>Widi</v>
      </c>
      <c r="M311" s="79">
        <f>+IF(ISERROR(VLOOKUP($N311,'[1]MSTR AKT'!$C$4:$D$460,2,0)=0),0,VLOOKUP($N311,'[1]MSTR AKT'!$C$4:$D$460,2,0))</f>
        <v>1317111113</v>
      </c>
      <c r="N311" s="70" t="s">
        <v>34</v>
      </c>
      <c r="O311" s="58"/>
      <c r="P311" s="59">
        <v>46001</v>
      </c>
      <c r="Q311" s="100">
        <v>3</v>
      </c>
      <c r="R311" s="101">
        <v>38.22</v>
      </c>
      <c r="S311" s="102">
        <f t="shared" si="17"/>
        <v>3831746.1</v>
      </c>
    </row>
    <row r="312" spans="1:19" x14ac:dyDescent="0.35">
      <c r="A312" s="55" t="s">
        <v>33</v>
      </c>
      <c r="B312" s="55" t="str">
        <f>+VLOOKUP($D312,[1]STS!$A$9:$E$1405,3,0)</f>
        <v>06</v>
      </c>
      <c r="C312" s="86">
        <f>+VLOOKUP($D312,[1]STS!$A$9:$E$1405,4,0)</f>
        <v>20</v>
      </c>
      <c r="D312" s="69" t="s">
        <v>68</v>
      </c>
      <c r="E312" s="97">
        <f>+IF(ISERROR(VLOOKUP($D312,[1]STS!$E$9:$G$1503,3,0)=0),0,VLOOKUP($D312,[1]STS!$E$9:$G$1503,3,0))</f>
        <v>8.85</v>
      </c>
      <c r="F312" s="98">
        <v>8.85</v>
      </c>
      <c r="G312" s="99">
        <f>+IF(ISERROR(VLOOKUP(D312,[1]STS!$E$9:$AO$1503,37,0)=0),0,VLOOKUP(D312,[1]STS!$E$9:$AO$1503,37,0))</f>
        <v>10.745185108024694</v>
      </c>
      <c r="H312" s="77" t="str">
        <f>+IF(ISERROR(VLOOKUP(D312,[1]STS!$E$9:$I$1503,5,0)=0),0,VLOOKUP(D312,[1]STS!$E$9:$I$1503,5,0))</f>
        <v>FC</v>
      </c>
      <c r="I312" s="56"/>
      <c r="J312" s="66" t="str">
        <f>VLOOKUP(D312,[1]STS!$E$9:$BC$1359,51,0)</f>
        <v>GP3SS</v>
      </c>
      <c r="K312" s="57"/>
      <c r="L312" s="78" t="str">
        <f>+VLOOKUP(N312,'[1]MSTR AKT'!$C$4:$E$460,3,0)</f>
        <v>Widi</v>
      </c>
      <c r="M312" s="79">
        <f>+IF(ISERROR(VLOOKUP($N312,'[1]MSTR AKT'!$C$4:$D$460,2,0)=0),0,VLOOKUP($N312,'[1]MSTR AKT'!$C$4:$D$460,2,0))</f>
        <v>1317111113</v>
      </c>
      <c r="N312" s="70" t="s">
        <v>34</v>
      </c>
      <c r="O312" s="58"/>
      <c r="P312" s="59">
        <v>46002</v>
      </c>
      <c r="Q312" s="100">
        <v>3</v>
      </c>
      <c r="R312" s="101">
        <v>26.549999999999997</v>
      </c>
      <c r="S312" s="102">
        <f t="shared" si="17"/>
        <v>2661770.2499999995</v>
      </c>
    </row>
    <row r="313" spans="1:19" x14ac:dyDescent="0.35">
      <c r="A313" s="55" t="s">
        <v>33</v>
      </c>
      <c r="B313" s="55" t="str">
        <f>+VLOOKUP($D313,[1]STS!$A$9:$E$1405,3,0)</f>
        <v>06</v>
      </c>
      <c r="C313" s="86">
        <f>+VLOOKUP($D313,[1]STS!$A$9:$E$1405,4,0)</f>
        <v>20</v>
      </c>
      <c r="D313" s="69" t="s">
        <v>135</v>
      </c>
      <c r="E313" s="97">
        <f>+IF(ISERROR(VLOOKUP($D313,[1]STS!$E$9:$G$1503,3,0)=0),0,VLOOKUP($D313,[1]STS!$E$9:$G$1503,3,0))</f>
        <v>8.17</v>
      </c>
      <c r="F313" s="98">
        <v>7.61</v>
      </c>
      <c r="G313" s="99">
        <f>+IF(ISERROR(VLOOKUP(D313,[1]STS!$E$9:$AO$1503,37,0)=0),0,VLOOKUP(D313,[1]STS!$E$9:$AO$1503,37,0))</f>
        <v>6.6118517746913614</v>
      </c>
      <c r="H313" s="77" t="str">
        <f>+IF(ISERROR(VLOOKUP(D313,[1]STS!$E$9:$I$1503,5,0)=0),0,VLOOKUP(D313,[1]STS!$E$9:$I$1503,5,0))</f>
        <v>FC</v>
      </c>
      <c r="I313" s="56"/>
      <c r="J313" s="66" t="str">
        <f>VLOOKUP(D313,[1]STS!$E$9:$BC$1359,51,0)</f>
        <v>GP3CK</v>
      </c>
      <c r="K313" s="57"/>
      <c r="L313" s="78" t="str">
        <f>+VLOOKUP(N313,'[1]MSTR AKT'!$C$4:$E$460,3,0)</f>
        <v>Widi</v>
      </c>
      <c r="M313" s="79">
        <f>+IF(ISERROR(VLOOKUP($N313,'[1]MSTR AKT'!$C$4:$D$460,2,0)=0),0,VLOOKUP($N313,'[1]MSTR AKT'!$C$4:$D$460,2,0))</f>
        <v>1317111113</v>
      </c>
      <c r="N313" s="70" t="s">
        <v>34</v>
      </c>
      <c r="O313" s="58"/>
      <c r="P313" s="59">
        <v>46001</v>
      </c>
      <c r="Q313" s="100">
        <v>3</v>
      </c>
      <c r="R313" s="101">
        <v>22.830000000000002</v>
      </c>
      <c r="S313" s="102">
        <f t="shared" si="17"/>
        <v>2288821.6500000004</v>
      </c>
    </row>
    <row r="314" spans="1:19" x14ac:dyDescent="0.35">
      <c r="A314" s="55" t="s">
        <v>33</v>
      </c>
      <c r="B314" s="55" t="str">
        <f>+VLOOKUP($D314,[1]STS!$A$9:$E$1405,3,0)</f>
        <v>06</v>
      </c>
      <c r="C314" s="86">
        <f>+VLOOKUP($D314,[1]STS!$A$9:$E$1405,4,0)</f>
        <v>20</v>
      </c>
      <c r="D314" s="69" t="s">
        <v>333</v>
      </c>
      <c r="E314" s="97">
        <f>+IF(ISERROR(VLOOKUP($D314,[1]STS!$E$9:$G$1503,3,0)=0),0,VLOOKUP($D314,[1]STS!$E$9:$G$1503,3,0))</f>
        <v>8.27</v>
      </c>
      <c r="F314" s="98">
        <v>8.27</v>
      </c>
      <c r="G314" s="99">
        <f>+IF(ISERROR(VLOOKUP(D314,[1]STS!$E$9:$AO$1503,37,0)=0),0,VLOOKUP(D314,[1]STS!$E$9:$AO$1503,37,0))</f>
        <v>6.045185108024695</v>
      </c>
      <c r="H314" s="77" t="str">
        <f>+IF(ISERROR(VLOOKUP(D314,[1]STS!$E$9:$I$1503,5,0)=0),0,VLOOKUP(D314,[1]STS!$E$9:$I$1503,5,0))</f>
        <v>SC</v>
      </c>
      <c r="I314" s="56"/>
      <c r="J314" s="66" t="str">
        <f>VLOOKUP(D314,[1]STS!$E$9:$BC$1359,51,0)</f>
        <v>F18</v>
      </c>
      <c r="K314" s="57"/>
      <c r="L314" s="78" t="str">
        <f>+VLOOKUP(N314,'[1]MSTR AKT'!$C$4:$E$460,3,0)</f>
        <v>Etri 2</v>
      </c>
      <c r="M314" s="79">
        <f>+IF(ISERROR(VLOOKUP($N314,'[1]MSTR AKT'!$C$4:$D$460,2,0)=0),0,VLOOKUP($N314,'[1]MSTR AKT'!$C$4:$D$460,2,0))</f>
        <v>1315131517</v>
      </c>
      <c r="N314" s="70" t="s">
        <v>4</v>
      </c>
      <c r="O314" s="58"/>
      <c r="P314" s="59">
        <v>46002</v>
      </c>
      <c r="Q314" s="100">
        <v>0.8</v>
      </c>
      <c r="R314" s="101">
        <v>6.6159999999999997</v>
      </c>
      <c r="S314" s="102">
        <f t="shared" si="17"/>
        <v>663287.07999999996</v>
      </c>
    </row>
    <row r="315" spans="1:19" x14ac:dyDescent="0.35">
      <c r="A315" s="55" t="s">
        <v>33</v>
      </c>
      <c r="B315" s="55" t="str">
        <f>+VLOOKUP($D315,[1]STS!$A$9:$E$1405,3,0)</f>
        <v>06</v>
      </c>
      <c r="C315" s="86">
        <f>+VLOOKUP($D315,[1]STS!$A$9:$E$1405,4,0)</f>
        <v>20</v>
      </c>
      <c r="D315" s="71" t="s">
        <v>89</v>
      </c>
      <c r="E315" s="97">
        <f>+IF(ISERROR(VLOOKUP($D315,[1]STS!$E$9:$G$1503,3,0)=0),0,VLOOKUP($D315,[1]STS!$E$9:$G$1503,3,0))</f>
        <v>11.55</v>
      </c>
      <c r="F315" s="98">
        <v>11.55</v>
      </c>
      <c r="G315" s="99">
        <f>+IF(ISERROR(VLOOKUP(D315,[1]STS!$E$9:$AO$1503,37,0)=0),0,VLOOKUP(D315,[1]STS!$E$9:$AO$1503,37,0))</f>
        <v>1.1118517746913616</v>
      </c>
      <c r="H315" s="77" t="str">
        <f>+IF(ISERROR(VLOOKUP(D315,[1]STS!$E$9:$I$1503,5,0)=0),0,VLOOKUP(D315,[1]STS!$E$9:$I$1503,5,0))</f>
        <v>SC</v>
      </c>
      <c r="I315" s="56"/>
      <c r="J315" s="66" t="str">
        <f>VLOOKUP(D315,[1]STS!$E$9:$BC$1359,51,0)</f>
        <v>F18</v>
      </c>
      <c r="K315" s="57"/>
      <c r="L315" s="78" t="str">
        <f>+VLOOKUP(N315,'[1]MSTR AKT'!$C$4:$E$460,3,0)</f>
        <v>Etri 2</v>
      </c>
      <c r="M315" s="79">
        <f>+IF(ISERROR(VLOOKUP($N315,'[1]MSTR AKT'!$C$4:$D$460,2,0)=0),0,VLOOKUP($N315,'[1]MSTR AKT'!$C$4:$D$460,2,0))</f>
        <v>1315131517</v>
      </c>
      <c r="N315" s="70" t="s">
        <v>4</v>
      </c>
      <c r="O315" s="58"/>
      <c r="P315" s="59">
        <v>46001</v>
      </c>
      <c r="Q315" s="100">
        <v>0.8</v>
      </c>
      <c r="R315" s="101">
        <v>9.24</v>
      </c>
      <c r="S315" s="102">
        <f t="shared" si="17"/>
        <v>926356.20000000007</v>
      </c>
    </row>
    <row r="316" spans="1:19" x14ac:dyDescent="0.35">
      <c r="A316" s="55" t="s">
        <v>33</v>
      </c>
      <c r="B316" s="55" t="str">
        <f>+VLOOKUP($D316,[1]STS!$A$9:$E$1405,3,0)</f>
        <v>06</v>
      </c>
      <c r="C316" s="86">
        <f>+VLOOKUP($D316,[1]STS!$A$9:$E$1405,4,0)</f>
        <v>20</v>
      </c>
      <c r="D316" s="71" t="s">
        <v>378</v>
      </c>
      <c r="E316" s="97">
        <f>+IF(ISERROR(VLOOKUP($D316,[1]STS!$E$9:$G$1503,3,0)=0),0,VLOOKUP($D316,[1]STS!$E$9:$G$1503,3,0))</f>
        <v>3.51</v>
      </c>
      <c r="F316" s="98">
        <v>3.51</v>
      </c>
      <c r="G316" s="99">
        <f>+IF(ISERROR(VLOOKUP(D316,[1]STS!$E$9:$AO$1503,37,0)=0),0,VLOOKUP(D316,[1]STS!$E$9:$AO$1503,37,0))</f>
        <v>1.3118517746913616</v>
      </c>
      <c r="H316" s="77" t="str">
        <f>+IF(ISERROR(VLOOKUP(D316,[1]STS!$E$9:$I$1503,5,0)=0),0,VLOOKUP(D316,[1]STS!$E$9:$I$1503,5,0))</f>
        <v>SC</v>
      </c>
      <c r="I316" s="56"/>
      <c r="J316" s="66" t="str">
        <f>VLOOKUP(D316,[1]STS!$E$9:$BC$1359,51,0)</f>
        <v>F18</v>
      </c>
      <c r="K316" s="57"/>
      <c r="L316" s="78" t="str">
        <f>+VLOOKUP(N316,'[1]MSTR AKT'!$C$4:$E$460,3,0)</f>
        <v>Etri 2</v>
      </c>
      <c r="M316" s="79">
        <f>+IF(ISERROR(VLOOKUP($N316,'[1]MSTR AKT'!$C$4:$D$460,2,0)=0),0,VLOOKUP($N316,'[1]MSTR AKT'!$C$4:$D$460,2,0))</f>
        <v>1315131517</v>
      </c>
      <c r="N316" s="70" t="s">
        <v>4</v>
      </c>
      <c r="O316" s="58"/>
      <c r="P316" s="59">
        <v>46001</v>
      </c>
      <c r="Q316" s="100">
        <v>0.8</v>
      </c>
      <c r="R316" s="101">
        <v>2.8079999999999998</v>
      </c>
      <c r="S316" s="102">
        <f>+R316*100255</f>
        <v>281516.03999999998</v>
      </c>
    </row>
    <row r="317" spans="1:19" x14ac:dyDescent="0.35">
      <c r="A317" s="55" t="s">
        <v>33</v>
      </c>
      <c r="B317" s="55" t="str">
        <f>+VLOOKUP($D317,[1]STS!$A$9:$E$1405,3,0)</f>
        <v>06</v>
      </c>
      <c r="C317" s="86">
        <f>+VLOOKUP($D317,[1]STS!$A$9:$E$1405,4,0)</f>
        <v>20</v>
      </c>
      <c r="D317" s="71" t="s">
        <v>125</v>
      </c>
      <c r="E317" s="97">
        <f>+IF(ISERROR(VLOOKUP($D317,[1]STS!$E$9:$G$1503,3,0)=0),0,VLOOKUP($D317,[1]STS!$E$9:$G$1503,3,0))</f>
        <v>6.65</v>
      </c>
      <c r="F317" s="98">
        <v>4.5</v>
      </c>
      <c r="G317" s="99">
        <f>+IF(ISERROR(VLOOKUP(D317,[1]STS!$E$9:$AO$1503,37,0)=0),0,VLOOKUP(D317,[1]STS!$E$9:$AO$1503,37,0))</f>
        <v>4.4118517746913612</v>
      </c>
      <c r="H317" s="77" t="str">
        <f>+IF(ISERROR(VLOOKUP(D317,[1]STS!$E$9:$I$1503,5,0)=0),0,VLOOKUP(D317,[1]STS!$E$9:$I$1503,5,0))</f>
        <v>FC</v>
      </c>
      <c r="I317" s="56"/>
      <c r="J317" s="66" t="str">
        <f>VLOOKUP(D317,[1]STS!$E$9:$BC$1359,51,0)</f>
        <v>GP3SB</v>
      </c>
      <c r="K317" s="57"/>
      <c r="L317" s="78" t="str">
        <f>+VLOOKUP(N317,'[1]MSTR AKT'!$C$4:$E$460,3,0)</f>
        <v>Etri 2</v>
      </c>
      <c r="M317" s="79">
        <f>+IF(ISERROR(VLOOKUP($N317,'[1]MSTR AKT'!$C$4:$D$460,2,0)=0),0,VLOOKUP($N317,'[1]MSTR AKT'!$C$4:$D$460,2,0))</f>
        <v>1315131517</v>
      </c>
      <c r="N317" s="70" t="s">
        <v>4</v>
      </c>
      <c r="O317" s="58"/>
      <c r="P317" s="59">
        <v>46002</v>
      </c>
      <c r="Q317" s="100">
        <v>0.8</v>
      </c>
      <c r="R317" s="101">
        <v>3.6</v>
      </c>
      <c r="S317" s="102">
        <f>+R317*100255</f>
        <v>360918</v>
      </c>
    </row>
    <row r="318" spans="1:19" x14ac:dyDescent="0.35">
      <c r="A318" s="55" t="s">
        <v>33</v>
      </c>
      <c r="B318" s="55" t="str">
        <f>+VLOOKUP($D318,[1]STS!$A$9:$E$1405,3,0)</f>
        <v>06</v>
      </c>
      <c r="C318" s="86">
        <f>+VLOOKUP($D318,[1]STS!$A$9:$E$1405,4,0)</f>
        <v>20</v>
      </c>
      <c r="D318" s="71" t="s">
        <v>50</v>
      </c>
      <c r="E318" s="97">
        <f>+IF(ISERROR(VLOOKUP($D318,[1]STS!$E$9:$G$1503,3,0)=0),0,VLOOKUP($D318,[1]STS!$E$9:$G$1503,3,0))</f>
        <v>11.2</v>
      </c>
      <c r="F318" s="98">
        <v>11.2</v>
      </c>
      <c r="G318" s="99">
        <f>+IF(ISERROR(VLOOKUP(D318,[1]STS!$E$9:$AO$1503,37,0)=0),0,VLOOKUP(D318,[1]STS!$E$9:$AO$1503,37,0))</f>
        <v>14.145185108024695</v>
      </c>
      <c r="H318" s="77" t="str">
        <f>+IF(ISERROR(VLOOKUP(D318,[1]STS!$E$9:$I$1503,5,0)=0),0,VLOOKUP(D318,[1]STS!$E$9:$I$1503,5,0))</f>
        <v>FC</v>
      </c>
      <c r="I318" s="56"/>
      <c r="J318" s="66" t="str">
        <f>VLOOKUP(D318,[1]STS!$E$9:$BC$1359,51,0)</f>
        <v>F18CK</v>
      </c>
      <c r="K318" s="57"/>
      <c r="L318" s="78" t="str">
        <f>+VLOOKUP(N318,'[1]MSTR AKT'!$C$4:$E$460,3,0)</f>
        <v>Etri 2</v>
      </c>
      <c r="M318" s="79">
        <f>+IF(ISERROR(VLOOKUP($N318,'[1]MSTR AKT'!$C$4:$D$460,2,0)=0),0,VLOOKUP($N318,'[1]MSTR AKT'!$C$4:$D$460,2,0))</f>
        <v>1315131315</v>
      </c>
      <c r="N318" s="70" t="s">
        <v>7</v>
      </c>
      <c r="O318" s="58"/>
      <c r="P318" s="59">
        <v>46001</v>
      </c>
      <c r="Q318" s="100">
        <v>3</v>
      </c>
      <c r="R318" s="101">
        <v>3</v>
      </c>
      <c r="S318" s="102">
        <f>+R318*100255</f>
        <v>300765</v>
      </c>
    </row>
    <row r="319" spans="1:19" x14ac:dyDescent="0.35">
      <c r="A319" s="55" t="s">
        <v>33</v>
      </c>
      <c r="B319" s="55" t="str">
        <f>+VLOOKUP($D319,[1]STS!$A$9:$E$1405,3,0)</f>
        <v>06</v>
      </c>
      <c r="C319" s="86">
        <f>+VLOOKUP($D319,[1]STS!$A$9:$E$1405,4,0)</f>
        <v>20</v>
      </c>
      <c r="D319" s="69" t="s">
        <v>334</v>
      </c>
      <c r="E319" s="97">
        <f>+IF(ISERROR(VLOOKUP($D319,[1]STS!$E$9:$G$1503,3,0)=0),0,VLOOKUP($D319,[1]STS!$E$9:$G$1503,3,0))</f>
        <v>6.97</v>
      </c>
      <c r="F319" s="98">
        <v>6.97</v>
      </c>
      <c r="G319" s="99">
        <f>+IF(ISERROR(VLOOKUP(D319,[1]STS!$E$9:$AO$1503,37,0)=0),0,VLOOKUP(D319,[1]STS!$E$9:$AO$1503,37,0))</f>
        <v>4.1785184413580279</v>
      </c>
      <c r="H319" s="77" t="str">
        <f>+IF(ISERROR(VLOOKUP(D319,[1]STS!$E$9:$I$1503,5,0)=0),0,VLOOKUP(D319,[1]STS!$E$9:$I$1503,5,0))</f>
        <v>SC</v>
      </c>
      <c r="I319" s="56"/>
      <c r="J319" s="66" t="str">
        <f>VLOOKUP(D319,[1]STS!$E$9:$BC$1359,51,0)</f>
        <v>F18</v>
      </c>
      <c r="K319" s="57"/>
      <c r="L319" s="78" t="str">
        <f>+VLOOKUP(N319,'[1]MSTR AKT'!$C$4:$E$460,3,0)</f>
        <v>Etri 2</v>
      </c>
      <c r="M319" s="79">
        <f>+IF(ISERROR(VLOOKUP($N319,'[1]MSTR AKT'!$C$4:$D$460,2,0)=0),0,VLOOKUP($N319,'[1]MSTR AKT'!$C$4:$D$460,2,0))</f>
        <v>1315131315</v>
      </c>
      <c r="N319" s="70" t="s">
        <v>7</v>
      </c>
      <c r="O319" s="58"/>
      <c r="P319" s="59">
        <v>46002</v>
      </c>
      <c r="Q319" s="100">
        <v>3</v>
      </c>
      <c r="R319" s="101">
        <v>3</v>
      </c>
      <c r="S319" s="102">
        <f t="shared" ref="S319:S362" si="18">+R319*100255</f>
        <v>300765</v>
      </c>
    </row>
    <row r="320" spans="1:19" x14ac:dyDescent="0.35">
      <c r="A320" s="55" t="s">
        <v>33</v>
      </c>
      <c r="B320" s="55" t="str">
        <f>+VLOOKUP($D320,[1]STS!$A$9:$E$1405,3,0)</f>
        <v>06</v>
      </c>
      <c r="C320" s="86">
        <f>+VLOOKUP($D320,[1]STS!$A$9:$E$1405,4,0)</f>
        <v>20</v>
      </c>
      <c r="D320" s="71" t="s">
        <v>335</v>
      </c>
      <c r="E320" s="97">
        <f>+IF(ISERROR(VLOOKUP($D320,[1]STS!$E$9:$G$1503,3,0)=0),0,VLOOKUP($D320,[1]STS!$E$9:$G$1503,3,0))</f>
        <v>9.4499999999999993</v>
      </c>
      <c r="F320" s="98">
        <v>8.64</v>
      </c>
      <c r="G320" s="99">
        <f>+IF(ISERROR(VLOOKUP(D320,[1]STS!$E$9:$AO$1503,37,0)=0),0,VLOOKUP(D320,[1]STS!$E$9:$AO$1503,37,0))</f>
        <v>1.9451851080246949</v>
      </c>
      <c r="H320" s="77" t="str">
        <f>+IF(ISERROR(VLOOKUP(D320,[1]STS!$E$9:$I$1503,5,0)=0),0,VLOOKUP(D320,[1]STS!$E$9:$I$1503,5,0))</f>
        <v>FC</v>
      </c>
      <c r="I320" s="56"/>
      <c r="J320" s="66" t="str">
        <f>VLOOKUP(D320,[1]STS!$E$9:$BC$1359,51,0)</f>
        <v>GP3CK</v>
      </c>
      <c r="K320" s="57"/>
      <c r="L320" s="78" t="str">
        <f>+VLOOKUP(N320,'[1]MSTR AKT'!$C$4:$E$460,3,0)</f>
        <v>Etri 2</v>
      </c>
      <c r="M320" s="79">
        <f>+IF(ISERROR(VLOOKUP($N320,'[1]MSTR AKT'!$C$4:$D$460,2,0)=0),0,VLOOKUP($N320,'[1]MSTR AKT'!$C$4:$D$460,2,0))</f>
        <v>1315131315</v>
      </c>
      <c r="N320" s="70" t="s">
        <v>7</v>
      </c>
      <c r="O320" s="58"/>
      <c r="P320" s="59">
        <v>46001</v>
      </c>
      <c r="Q320" s="100">
        <v>3</v>
      </c>
      <c r="R320" s="101">
        <v>3</v>
      </c>
      <c r="S320" s="102">
        <f t="shared" si="18"/>
        <v>300765</v>
      </c>
    </row>
    <row r="321" spans="1:19" x14ac:dyDescent="0.35">
      <c r="A321" s="55" t="s">
        <v>33</v>
      </c>
      <c r="B321" s="55" t="str">
        <f>+VLOOKUP($D321,[1]STS!$A$9:$E$1405,3,0)</f>
        <v>06</v>
      </c>
      <c r="C321" s="86">
        <f>+VLOOKUP($D321,[1]STS!$A$9:$E$1405,4,0)</f>
        <v>20</v>
      </c>
      <c r="D321" s="69" t="s">
        <v>136</v>
      </c>
      <c r="E321" s="97">
        <f>+IF(ISERROR(VLOOKUP($D321,[1]STS!$E$9:$G$1503,3,0)=0),0,VLOOKUP($D321,[1]STS!$E$9:$G$1503,3,0))</f>
        <v>8.15</v>
      </c>
      <c r="F321" s="98">
        <v>7.35</v>
      </c>
      <c r="G321" s="99">
        <f>+IF(ISERROR(VLOOKUP(D321,[1]STS!$E$9:$AO$1503,37,0)=0),0,VLOOKUP(D321,[1]STS!$E$9:$AO$1503,37,0))</f>
        <v>5.0785184413580282</v>
      </c>
      <c r="H321" s="77" t="str">
        <f>+IF(ISERROR(VLOOKUP(D321,[1]STS!$E$9:$I$1503,5,0)=0),0,VLOOKUP(D321,[1]STS!$E$9:$I$1503,5,0))</f>
        <v>FC</v>
      </c>
      <c r="I321" s="56"/>
      <c r="J321" s="66" t="str">
        <f>VLOOKUP(D321,[1]STS!$E$9:$BC$1359,51,0)</f>
        <v>GP3CK</v>
      </c>
      <c r="K321" s="57"/>
      <c r="L321" s="78" t="str">
        <f>+VLOOKUP(N321,'[1]MSTR AKT'!$C$4:$E$460,3,0)</f>
        <v>Etri 2</v>
      </c>
      <c r="M321" s="79">
        <f>+IF(ISERROR(VLOOKUP($N321,'[1]MSTR AKT'!$C$4:$D$460,2,0)=0),0,VLOOKUP($N321,'[1]MSTR AKT'!$C$4:$D$460,2,0))</f>
        <v>1315131315</v>
      </c>
      <c r="N321" s="70" t="s">
        <v>7</v>
      </c>
      <c r="O321" s="58"/>
      <c r="P321" s="59">
        <v>46002</v>
      </c>
      <c r="Q321" s="100">
        <v>3</v>
      </c>
      <c r="R321" s="101">
        <v>3</v>
      </c>
      <c r="S321" s="102">
        <f t="shared" si="18"/>
        <v>300765</v>
      </c>
    </row>
    <row r="322" spans="1:19" x14ac:dyDescent="0.35">
      <c r="A322" s="55" t="s">
        <v>33</v>
      </c>
      <c r="B322" s="55" t="str">
        <f>+VLOOKUP($D322,[1]STS!$A$9:$E$1405,3,0)</f>
        <v>06</v>
      </c>
      <c r="C322" s="86">
        <f>+VLOOKUP($D322,[1]STS!$A$9:$E$1405,4,0)</f>
        <v>20</v>
      </c>
      <c r="D322" s="71" t="s">
        <v>192</v>
      </c>
      <c r="E322" s="97">
        <f>+IF(ISERROR(VLOOKUP($D322,[1]STS!$E$9:$G$1503,3,0)=0),0,VLOOKUP($D322,[1]STS!$E$9:$G$1503,3,0))</f>
        <v>6.19</v>
      </c>
      <c r="F322" s="98">
        <v>6.19</v>
      </c>
      <c r="G322" s="99">
        <f>+IF(ISERROR(VLOOKUP(D322,[1]STS!$E$9:$AO$1503,37,0)=0),0,VLOOKUP(D322,[1]STS!$E$9:$AO$1503,37,0))</f>
        <v>6.711851774691362</v>
      </c>
      <c r="H322" s="77" t="str">
        <f>+IF(ISERROR(VLOOKUP(D322,[1]STS!$E$9:$I$1503,5,0)=0),0,VLOOKUP(D322,[1]STS!$E$9:$I$1503,5,0))</f>
        <v>SC</v>
      </c>
      <c r="I322" s="56"/>
      <c r="J322" s="66" t="str">
        <f>VLOOKUP(D322,[1]STS!$E$9:$BC$1359,51,0)</f>
        <v>F18</v>
      </c>
      <c r="K322" s="57"/>
      <c r="L322" s="78" t="str">
        <f>+VLOOKUP(N322,'[1]MSTR AKT'!$C$4:$E$460,3,0)</f>
        <v>Etri 2</v>
      </c>
      <c r="M322" s="79">
        <f>+IF(ISERROR(VLOOKUP($N322,'[1]MSTR AKT'!$C$4:$D$460,2,0)=0),0,VLOOKUP($N322,'[1]MSTR AKT'!$C$4:$D$460,2,0))</f>
        <v>1315131315</v>
      </c>
      <c r="N322" s="70" t="s">
        <v>7</v>
      </c>
      <c r="O322" s="58"/>
      <c r="P322" s="59">
        <v>46001</v>
      </c>
      <c r="Q322" s="100">
        <v>3</v>
      </c>
      <c r="R322" s="101">
        <v>3</v>
      </c>
      <c r="S322" s="102">
        <f t="shared" si="18"/>
        <v>300765</v>
      </c>
    </row>
    <row r="323" spans="1:19" x14ac:dyDescent="0.35">
      <c r="A323" s="55" t="s">
        <v>33</v>
      </c>
      <c r="B323" s="55" t="str">
        <f>+VLOOKUP($D323,[1]STS!$A$9:$E$1405,3,0)</f>
        <v>06</v>
      </c>
      <c r="C323" s="86">
        <f>+VLOOKUP($D323,[1]STS!$A$9:$E$1405,4,0)</f>
        <v>20</v>
      </c>
      <c r="D323" s="69" t="s">
        <v>81</v>
      </c>
      <c r="E323" s="97">
        <f>+IF(ISERROR(VLOOKUP($D323,[1]STS!$E$9:$G$1503,3,0)=0),0,VLOOKUP($D323,[1]STS!$E$9:$G$1503,3,0))</f>
        <v>8.82</v>
      </c>
      <c r="F323" s="98">
        <v>8.52</v>
      </c>
      <c r="G323" s="99">
        <f>+IF(ISERROR(VLOOKUP(D323,[1]STS!$E$9:$AO$1503,37,0)=0),0,VLOOKUP(D323,[1]STS!$E$9:$AO$1503,37,0))</f>
        <v>10.011851774691362</v>
      </c>
      <c r="H323" s="77" t="str">
        <f>+IF(ISERROR(VLOOKUP(D323,[1]STS!$E$9:$I$1503,5,0)=0),0,VLOOKUP(D323,[1]STS!$E$9:$I$1503,5,0))</f>
        <v>FC</v>
      </c>
      <c r="I323" s="56"/>
      <c r="J323" s="66" t="str">
        <f>VLOOKUP(D323,[1]STS!$E$9:$BC$1359,51,0)</f>
        <v>F18SK</v>
      </c>
      <c r="K323" s="57"/>
      <c r="L323" s="78" t="str">
        <f>+VLOOKUP(N323,'[1]MSTR AKT'!$C$4:$E$460,3,0)</f>
        <v>Etri 2</v>
      </c>
      <c r="M323" s="79">
        <f>+IF(ISERROR(VLOOKUP($N323,'[1]MSTR AKT'!$C$4:$D$460,2,0)=0),0,VLOOKUP($N323,'[1]MSTR AKT'!$C$4:$D$460,2,0))</f>
        <v>1315131315</v>
      </c>
      <c r="N323" s="70" t="s">
        <v>7</v>
      </c>
      <c r="O323" s="58"/>
      <c r="P323" s="59">
        <v>46002</v>
      </c>
      <c r="Q323" s="100">
        <v>3</v>
      </c>
      <c r="R323" s="101">
        <v>3</v>
      </c>
      <c r="S323" s="102">
        <f t="shared" si="18"/>
        <v>300765</v>
      </c>
    </row>
    <row r="324" spans="1:19" x14ac:dyDescent="0.35">
      <c r="A324" s="55" t="s">
        <v>33</v>
      </c>
      <c r="B324" s="55" t="str">
        <f>+VLOOKUP($D324,[1]STS!$A$9:$E$1405,3,0)</f>
        <v>06</v>
      </c>
      <c r="C324" s="86">
        <f>+VLOOKUP($D324,[1]STS!$A$9:$E$1405,4,0)</f>
        <v>20</v>
      </c>
      <c r="D324" s="69" t="s">
        <v>80</v>
      </c>
      <c r="E324" s="97">
        <f>+IF(ISERROR(VLOOKUP($D324,[1]STS!$E$9:$G$1503,3,0)=0),0,VLOOKUP($D324,[1]STS!$E$9:$G$1503,3,0))</f>
        <v>4.28</v>
      </c>
      <c r="F324" s="98">
        <v>4.0599999999999996</v>
      </c>
      <c r="G324" s="99">
        <f>+IF(ISERROR(VLOOKUP(D324,[1]STS!$E$9:$AO$1503,37,0)=0),0,VLOOKUP(D324,[1]STS!$E$9:$AO$1503,37,0))</f>
        <v>10.211851774691361</v>
      </c>
      <c r="H324" s="77" t="str">
        <f>+IF(ISERROR(VLOOKUP(D324,[1]STS!$E$9:$I$1503,5,0)=0),0,VLOOKUP(D324,[1]STS!$E$9:$I$1503,5,0))</f>
        <v>FC</v>
      </c>
      <c r="I324" s="56"/>
      <c r="J324" s="66" t="str">
        <f>VLOOKUP(D324,[1]STS!$E$9:$BC$1359,51,0)</f>
        <v>F18SB</v>
      </c>
      <c r="K324" s="57"/>
      <c r="L324" s="78" t="str">
        <f>+VLOOKUP(N324,'[1]MSTR AKT'!$C$4:$E$460,3,0)</f>
        <v>Etri 2</v>
      </c>
      <c r="M324" s="79">
        <f>+IF(ISERROR(VLOOKUP($N324,'[1]MSTR AKT'!$C$4:$D$460,2,0)=0),0,VLOOKUP($N324,'[1]MSTR AKT'!$C$4:$D$460,2,0))</f>
        <v>1315131315</v>
      </c>
      <c r="N324" s="70" t="s">
        <v>7</v>
      </c>
      <c r="O324" s="58"/>
      <c r="P324" s="59">
        <v>46001</v>
      </c>
      <c r="Q324" s="100">
        <v>3</v>
      </c>
      <c r="R324" s="101">
        <v>3</v>
      </c>
      <c r="S324" s="102">
        <f t="shared" si="18"/>
        <v>300765</v>
      </c>
    </row>
    <row r="325" spans="1:19" x14ac:dyDescent="0.35">
      <c r="A325" s="55" t="s">
        <v>33</v>
      </c>
      <c r="B325" s="55" t="str">
        <f>+VLOOKUP($D325,[1]STS!$A$9:$E$1405,3,0)</f>
        <v>06</v>
      </c>
      <c r="C325" s="86">
        <f>+VLOOKUP($D325,[1]STS!$A$9:$E$1405,4,0)</f>
        <v>20</v>
      </c>
      <c r="D325" s="71" t="s">
        <v>379</v>
      </c>
      <c r="E325" s="97">
        <f>+IF(ISERROR(VLOOKUP($D325,[1]STS!$E$9:$G$1503,3,0)=0),0,VLOOKUP($D325,[1]STS!$E$9:$G$1503,3,0))</f>
        <v>10.67</v>
      </c>
      <c r="F325" s="98">
        <v>10.67</v>
      </c>
      <c r="G325" s="99">
        <f>+IF(ISERROR(VLOOKUP(D325,[1]STS!$E$9:$AO$1503,37,0)=0),0,VLOOKUP(D325,[1]STS!$E$9:$AO$1503,37,0))</f>
        <v>0.21185177469136154</v>
      </c>
      <c r="H325" s="77" t="str">
        <f>+IF(ISERROR(VLOOKUP(D325,[1]STS!$E$9:$I$1503,5,0)=0),0,VLOOKUP(D325,[1]STS!$E$9:$I$1503,5,0))</f>
        <v>SC</v>
      </c>
      <c r="I325" s="56"/>
      <c r="J325" s="66" t="str">
        <f>VLOOKUP(D325,[1]STS!$E$9:$BC$1359,51,0)</f>
        <v>F18</v>
      </c>
      <c r="K325" s="57"/>
      <c r="L325" s="78" t="str">
        <f>+VLOOKUP(N325,'[1]MSTR AKT'!$C$4:$E$460,3,0)</f>
        <v>Etri 2</v>
      </c>
      <c r="M325" s="79">
        <f>+IF(ISERROR(VLOOKUP($N325,'[1]MSTR AKT'!$C$4:$D$460,2,0)=0),0,VLOOKUP($N325,'[1]MSTR AKT'!$C$4:$D$460,2,0))</f>
        <v>1315131315</v>
      </c>
      <c r="N325" s="70" t="s">
        <v>7</v>
      </c>
      <c r="O325" s="58"/>
      <c r="P325" s="59">
        <v>46002</v>
      </c>
      <c r="Q325" s="100">
        <v>3</v>
      </c>
      <c r="R325" s="101">
        <v>3</v>
      </c>
      <c r="S325" s="102">
        <f>+R325*100255</f>
        <v>300765</v>
      </c>
    </row>
    <row r="326" spans="1:19" x14ac:dyDescent="0.35">
      <c r="A326" s="55" t="s">
        <v>33</v>
      </c>
      <c r="B326" s="55" t="str">
        <f>+VLOOKUP($D326,[1]STS!$A$9:$E$1405,3,0)</f>
        <v>06</v>
      </c>
      <c r="C326" s="86">
        <f>+VLOOKUP($D326,[1]STS!$A$9:$E$1405,4,0)</f>
        <v>20</v>
      </c>
      <c r="D326" s="71" t="s">
        <v>89</v>
      </c>
      <c r="E326" s="97">
        <f>+IF(ISERROR(VLOOKUP($D326,[1]STS!$E$9:$G$1503,3,0)=0),0,VLOOKUP($D326,[1]STS!$E$9:$G$1503,3,0))</f>
        <v>11.55</v>
      </c>
      <c r="F326" s="98">
        <v>11.55</v>
      </c>
      <c r="G326" s="99">
        <f>+IF(ISERROR(VLOOKUP(D326,[1]STS!$E$9:$AO$1503,37,0)=0),0,VLOOKUP(D326,[1]STS!$E$9:$AO$1503,37,0))</f>
        <v>1.1118517746913616</v>
      </c>
      <c r="H326" s="77" t="str">
        <f>+IF(ISERROR(VLOOKUP(D326,[1]STS!$E$9:$I$1503,5,0)=0),0,VLOOKUP(D326,[1]STS!$E$9:$I$1503,5,0))</f>
        <v>SC</v>
      </c>
      <c r="I326" s="56"/>
      <c r="J326" s="66" t="str">
        <f>VLOOKUP(D326,[1]STS!$E$9:$BC$1359,51,0)</f>
        <v>F18</v>
      </c>
      <c r="K326" s="57"/>
      <c r="L326" s="78" t="str">
        <f>+VLOOKUP(N326,'[1]MSTR AKT'!$C$4:$E$460,3,0)</f>
        <v>Etri 2</v>
      </c>
      <c r="M326" s="79">
        <f>+IF(ISERROR(VLOOKUP($N326,'[1]MSTR AKT'!$C$4:$D$460,2,0)=0),0,VLOOKUP($N326,'[1]MSTR AKT'!$C$4:$D$460,2,0))</f>
        <v>1315131315</v>
      </c>
      <c r="N326" s="70" t="s">
        <v>7</v>
      </c>
      <c r="O326" s="58"/>
      <c r="P326" s="59">
        <v>46001</v>
      </c>
      <c r="Q326" s="100">
        <v>3</v>
      </c>
      <c r="R326" s="101">
        <v>3</v>
      </c>
      <c r="S326" s="102">
        <f>+R326*100255</f>
        <v>300765</v>
      </c>
    </row>
    <row r="327" spans="1:19" x14ac:dyDescent="0.35">
      <c r="A327" s="55" t="s">
        <v>33</v>
      </c>
      <c r="B327" s="55" t="str">
        <f>+VLOOKUP($D327,[1]STS!$A$9:$E$1405,3,0)</f>
        <v>06</v>
      </c>
      <c r="C327" s="86">
        <f>+VLOOKUP($D327,[1]STS!$A$9:$E$1405,4,0)</f>
        <v>20</v>
      </c>
      <c r="D327" s="69" t="s">
        <v>81</v>
      </c>
      <c r="E327" s="97">
        <f>+IF(ISERROR(VLOOKUP($D327,[1]STS!$E$9:$G$1503,3,0)=0),0,VLOOKUP($D327,[1]STS!$E$9:$G$1503,3,0))</f>
        <v>8.82</v>
      </c>
      <c r="F327" s="98">
        <v>8.52</v>
      </c>
      <c r="G327" s="99">
        <f>+IF(ISERROR(VLOOKUP(D327,[1]STS!$E$9:$AO$1503,37,0)=0),0,VLOOKUP(D327,[1]STS!$E$9:$AO$1503,37,0))</f>
        <v>10.011851774691362</v>
      </c>
      <c r="H327" s="77" t="str">
        <f>+IF(ISERROR(VLOOKUP(D327,[1]STS!$E$9:$I$1503,5,0)=0),0,VLOOKUP(D327,[1]STS!$E$9:$I$1503,5,0))</f>
        <v>FC</v>
      </c>
      <c r="I327" s="56"/>
      <c r="J327" s="66" t="str">
        <f>VLOOKUP(D327,[1]STS!$E$9:$BC$1359,51,0)</f>
        <v>F18SK</v>
      </c>
      <c r="K327" s="57"/>
      <c r="L327" s="78" t="str">
        <f>+VLOOKUP(N327,'[1]MSTR AKT'!$C$4:$E$460,3,0)</f>
        <v>Etri 2</v>
      </c>
      <c r="M327" s="79">
        <f>+IF(ISERROR(VLOOKUP($N327,'[1]MSTR AKT'!$C$4:$D$460,2,0)=0),0,VLOOKUP($N327,'[1]MSTR AKT'!$C$4:$D$460,2,0))</f>
        <v>1315131513</v>
      </c>
      <c r="N327" s="70" t="s">
        <v>8</v>
      </c>
      <c r="O327" s="58"/>
      <c r="P327" s="59">
        <v>46002</v>
      </c>
      <c r="Q327" s="100">
        <v>3</v>
      </c>
      <c r="R327" s="101">
        <v>3</v>
      </c>
      <c r="S327" s="102">
        <f>+R327*100255</f>
        <v>300765</v>
      </c>
    </row>
    <row r="328" spans="1:19" x14ac:dyDescent="0.35">
      <c r="A328" s="55" t="s">
        <v>33</v>
      </c>
      <c r="B328" s="55" t="str">
        <f>+VLOOKUP($D328,[1]STS!$A$9:$E$1405,3,0)</f>
        <v>06</v>
      </c>
      <c r="C328" s="86">
        <f>+VLOOKUP($D328,[1]STS!$A$9:$E$1405,4,0)</f>
        <v>20</v>
      </c>
      <c r="D328" s="69" t="s">
        <v>53</v>
      </c>
      <c r="E328" s="97">
        <f>+IF(ISERROR(VLOOKUP($D328,[1]STS!$E$9:$G$1503,3,0)=0),0,VLOOKUP($D328,[1]STS!$E$9:$G$1503,3,0))</f>
        <v>6.77</v>
      </c>
      <c r="F328" s="98">
        <v>6.77</v>
      </c>
      <c r="G328" s="99">
        <f>+IF(ISERROR(VLOOKUP(D328,[1]STS!$E$9:$AO$1503,37,0)=0),0,VLOOKUP(D328,[1]STS!$E$9:$AO$1503,37,0))</f>
        <v>12.445185108024695</v>
      </c>
      <c r="H328" s="77" t="str">
        <f>+IF(ISERROR(VLOOKUP(D328,[1]STS!$E$9:$I$1503,5,0)=0),0,VLOOKUP(D328,[1]STS!$E$9:$I$1503,5,0))</f>
        <v>FC</v>
      </c>
      <c r="I328" s="56"/>
      <c r="J328" s="66" t="str">
        <f>VLOOKUP(D328,[1]STS!$E$9:$BC$1359,51,0)</f>
        <v>F18CK</v>
      </c>
      <c r="K328" s="57"/>
      <c r="L328" s="78" t="str">
        <f>+VLOOKUP(N328,'[1]MSTR AKT'!$C$4:$E$460,3,0)</f>
        <v>Etri 2</v>
      </c>
      <c r="M328" s="79">
        <f>+IF(ISERROR(VLOOKUP($N328,'[1]MSTR AKT'!$C$4:$D$460,2,0)=0),0,VLOOKUP($N328,'[1]MSTR AKT'!$C$4:$D$460,2,0))</f>
        <v>1315131513</v>
      </c>
      <c r="N328" s="70" t="s">
        <v>8</v>
      </c>
      <c r="O328" s="58"/>
      <c r="P328" s="59">
        <v>46002</v>
      </c>
      <c r="Q328" s="100">
        <v>3</v>
      </c>
      <c r="R328" s="101">
        <v>3</v>
      </c>
      <c r="S328" s="102">
        <f>+R328*100255</f>
        <v>300765</v>
      </c>
    </row>
    <row r="329" spans="1:19" x14ac:dyDescent="0.35">
      <c r="A329" s="55" t="s">
        <v>33</v>
      </c>
      <c r="B329" s="55" t="str">
        <f>+VLOOKUP($D329,[1]STS!$A$9:$E$1405,3,0)</f>
        <v>06</v>
      </c>
      <c r="C329" s="86">
        <f>+VLOOKUP($D329,[1]STS!$A$9:$E$1405,4,0)</f>
        <v>20</v>
      </c>
      <c r="D329" s="69" t="s">
        <v>63</v>
      </c>
      <c r="E329" s="97">
        <f>+IF(ISERROR(VLOOKUP($D329,[1]STS!$E$9:$G$1503,3,0)=0),0,VLOOKUP($D329,[1]STS!$E$9:$G$1503,3,0))</f>
        <v>8.5</v>
      </c>
      <c r="F329" s="98">
        <v>8.5</v>
      </c>
      <c r="G329" s="99">
        <f>+IF(ISERROR(VLOOKUP(D329,[1]STS!$E$9:$AO$1503,37,0)=0),0,VLOOKUP(D329,[1]STS!$E$9:$AO$1503,37,0))</f>
        <v>12.545185108024695</v>
      </c>
      <c r="H329" s="77" t="str">
        <f>+IF(ISERROR(VLOOKUP(D329,[1]STS!$E$9:$I$1503,5,0)=0),0,VLOOKUP(D329,[1]STS!$E$9:$I$1503,5,0))</f>
        <v>FC</v>
      </c>
      <c r="I329" s="56"/>
      <c r="J329" s="66" t="str">
        <f>VLOOKUP(D329,[1]STS!$E$9:$BC$1359,51,0)</f>
        <v>F18CK</v>
      </c>
      <c r="K329" s="57"/>
      <c r="L329" s="78" t="str">
        <f>+VLOOKUP(N329,'[1]MSTR AKT'!$C$4:$E$460,3,0)</f>
        <v>Etri 2</v>
      </c>
      <c r="M329" s="79">
        <f>+IF(ISERROR(VLOOKUP($N329,'[1]MSTR AKT'!$C$4:$D$460,2,0)=0),0,VLOOKUP($N329,'[1]MSTR AKT'!$C$4:$D$460,2,0))</f>
        <v>1315131513</v>
      </c>
      <c r="N329" s="70" t="s">
        <v>8</v>
      </c>
      <c r="O329" s="58"/>
      <c r="P329" s="59">
        <v>46001</v>
      </c>
      <c r="Q329" s="100">
        <v>3</v>
      </c>
      <c r="R329" s="101">
        <v>3</v>
      </c>
      <c r="S329" s="102">
        <f>+R329*100255</f>
        <v>300765</v>
      </c>
    </row>
    <row r="330" spans="1:19" x14ac:dyDescent="0.35">
      <c r="A330" s="55" t="s">
        <v>33</v>
      </c>
      <c r="B330" s="55" t="str">
        <f>+VLOOKUP($D330,[1]STS!$A$9:$E$1405,3,0)</f>
        <v>06</v>
      </c>
      <c r="C330" s="86">
        <f>+VLOOKUP($D330,[1]STS!$A$9:$E$1405,4,0)</f>
        <v>20</v>
      </c>
      <c r="D330" s="69" t="s">
        <v>330</v>
      </c>
      <c r="E330" s="97">
        <f>+IF(ISERROR(VLOOKUP($D330,[1]STS!$E$9:$G$1503,3,0)=0),0,VLOOKUP($D330,[1]STS!$E$9:$G$1503,3,0))</f>
        <v>7.71</v>
      </c>
      <c r="F330" s="98">
        <v>17.05</v>
      </c>
      <c r="G330" s="99">
        <f>+IF(ISERROR(VLOOKUP(D330,[1]STS!$E$9:$AO$1503,37,0)=0),0,VLOOKUP(D330,[1]STS!$E$9:$AO$1503,37,0))</f>
        <v>2.545185108024695</v>
      </c>
      <c r="H330" s="77" t="str">
        <f>+IF(ISERROR(VLOOKUP(D330,[1]STS!$E$9:$I$1503,5,0)=0),0,VLOOKUP(D330,[1]STS!$E$9:$I$1503,5,0))</f>
        <v>FC</v>
      </c>
      <c r="I330" s="56"/>
      <c r="J330" s="66" t="str">
        <f>VLOOKUP(D330,[1]STS!$E$9:$BC$1359,51,0)</f>
        <v>F18CK</v>
      </c>
      <c r="K330" s="57"/>
      <c r="L330" s="78" t="str">
        <f>+VLOOKUP(N330,'[1]MSTR AKT'!$C$4:$E$460,3,0)</f>
        <v>Etri 2</v>
      </c>
      <c r="M330" s="79">
        <f>+IF(ISERROR(VLOOKUP($N330,'[1]MSTR AKT'!$C$4:$D$460,2,0)=0),0,VLOOKUP($N330,'[1]MSTR AKT'!$C$4:$D$460,2,0))</f>
        <v>1315131513</v>
      </c>
      <c r="N330" s="70" t="s">
        <v>8</v>
      </c>
      <c r="O330" s="58"/>
      <c r="P330" s="59">
        <v>46002</v>
      </c>
      <c r="Q330" s="100">
        <v>3</v>
      </c>
      <c r="R330" s="101">
        <v>6</v>
      </c>
      <c r="S330" s="102">
        <f t="shared" si="18"/>
        <v>601530</v>
      </c>
    </row>
    <row r="331" spans="1:19" x14ac:dyDescent="0.35">
      <c r="A331" s="55" t="s">
        <v>33</v>
      </c>
      <c r="B331" s="55" t="str">
        <f>+VLOOKUP($D331,[1]STS!$A$9:$E$1405,3,0)</f>
        <v>06</v>
      </c>
      <c r="C331" s="86">
        <f>+VLOOKUP($D331,[1]STS!$A$9:$E$1405,4,0)</f>
        <v>20</v>
      </c>
      <c r="D331" s="71" t="s">
        <v>331</v>
      </c>
      <c r="E331" s="97">
        <f>+IF(ISERROR(VLOOKUP($D331,[1]STS!$E$9:$G$1503,3,0)=0),0,VLOOKUP($D331,[1]STS!$E$9:$G$1503,3,0))</f>
        <v>10.32</v>
      </c>
      <c r="F331" s="98">
        <v>17.05</v>
      </c>
      <c r="G331" s="99">
        <f>+IF(ISERROR(VLOOKUP(D331,[1]STS!$E$9:$AO$1503,37,0)=0),0,VLOOKUP(D331,[1]STS!$E$9:$AO$1503,37,0))</f>
        <v>2.8451851080246948</v>
      </c>
      <c r="H331" s="77" t="str">
        <f>+IF(ISERROR(VLOOKUP(D331,[1]STS!$E$9:$I$1503,5,0)=0),0,VLOOKUP(D331,[1]STS!$E$9:$I$1503,5,0))</f>
        <v>FC</v>
      </c>
      <c r="I331" s="56"/>
      <c r="J331" s="66" t="str">
        <f>VLOOKUP(D331,[1]STS!$E$9:$BC$1359,51,0)</f>
        <v>F18CK</v>
      </c>
      <c r="K331" s="57"/>
      <c r="L331" s="78" t="str">
        <f>+VLOOKUP(N331,'[1]MSTR AKT'!$C$4:$E$460,3,0)</f>
        <v>Etri 2</v>
      </c>
      <c r="M331" s="79">
        <f>+IF(ISERROR(VLOOKUP($N331,'[1]MSTR AKT'!$C$4:$D$460,2,0)=0),0,VLOOKUP($N331,'[1]MSTR AKT'!$C$4:$D$460,2,0))</f>
        <v>1315131513</v>
      </c>
      <c r="N331" s="70" t="s">
        <v>8</v>
      </c>
      <c r="O331" s="58"/>
      <c r="P331" s="59">
        <v>46001</v>
      </c>
      <c r="Q331" s="100">
        <v>3</v>
      </c>
      <c r="R331" s="101">
        <v>6</v>
      </c>
      <c r="S331" s="102">
        <f t="shared" si="18"/>
        <v>601530</v>
      </c>
    </row>
    <row r="332" spans="1:19" x14ac:dyDescent="0.35">
      <c r="A332" s="55" t="s">
        <v>33</v>
      </c>
      <c r="B332" s="55" t="str">
        <f>+VLOOKUP($D332,[1]STS!$A$9:$E$1405,3,0)</f>
        <v>06</v>
      </c>
      <c r="C332" s="86">
        <f>+VLOOKUP($D332,[1]STS!$A$9:$E$1405,4,0)</f>
        <v>20</v>
      </c>
      <c r="D332" s="69" t="s">
        <v>332</v>
      </c>
      <c r="E332" s="97">
        <f>+IF(ISERROR(VLOOKUP($D332,[1]STS!$E$9:$G$1503,3,0)=0),0,VLOOKUP($D332,[1]STS!$E$9:$G$1503,3,0))</f>
        <v>6.41</v>
      </c>
      <c r="F332" s="98">
        <v>6.09</v>
      </c>
      <c r="G332" s="99">
        <f>+IF(ISERROR(VLOOKUP(D332,[1]STS!$E$9:$AO$1503,37,0)=0),0,VLOOKUP(D332,[1]STS!$E$9:$AO$1503,37,0))</f>
        <v>1.8785184413580283</v>
      </c>
      <c r="H332" s="77" t="str">
        <f>+IF(ISERROR(VLOOKUP(D332,[1]STS!$E$9:$I$1503,5,0)=0),0,VLOOKUP(D332,[1]STS!$E$9:$I$1503,5,0))</f>
        <v>FC</v>
      </c>
      <c r="I332" s="56"/>
      <c r="J332" s="66" t="str">
        <f>VLOOKUP(D332,[1]STS!$E$9:$BC$1359,51,0)</f>
        <v>F18CK</v>
      </c>
      <c r="K332" s="57"/>
      <c r="L332" s="78" t="str">
        <f>+VLOOKUP(N332,'[1]MSTR AKT'!$C$4:$E$460,3,0)</f>
        <v>Etri 2</v>
      </c>
      <c r="M332" s="79">
        <f>+IF(ISERROR(VLOOKUP($N332,'[1]MSTR AKT'!$C$4:$D$460,2,0)=0),0,VLOOKUP($N332,'[1]MSTR AKT'!$C$4:$D$460,2,0))</f>
        <v>1315131513</v>
      </c>
      <c r="N332" s="70" t="s">
        <v>8</v>
      </c>
      <c r="O332" s="58"/>
      <c r="P332" s="59">
        <v>46002</v>
      </c>
      <c r="Q332" s="100">
        <v>3</v>
      </c>
      <c r="R332" s="101">
        <v>6</v>
      </c>
      <c r="S332" s="102">
        <f t="shared" si="18"/>
        <v>601530</v>
      </c>
    </row>
    <row r="333" spans="1:19" x14ac:dyDescent="0.35">
      <c r="A333" s="55" t="s">
        <v>33</v>
      </c>
      <c r="B333" s="55" t="str">
        <f>+VLOOKUP($D333,[1]STS!$A$9:$E$1405,3,0)</f>
        <v>06</v>
      </c>
      <c r="C333" s="86">
        <f>+VLOOKUP($D333,[1]STS!$A$9:$E$1405,4,0)</f>
        <v>20</v>
      </c>
      <c r="D333" s="69" t="s">
        <v>336</v>
      </c>
      <c r="E333" s="97">
        <f>+IF(ISERROR(VLOOKUP($D333,[1]STS!$E$9:$G$1503,3,0)=0),0,VLOOKUP($D333,[1]STS!$E$9:$G$1503,3,0))</f>
        <v>7.57</v>
      </c>
      <c r="F333" s="98">
        <v>7.12</v>
      </c>
      <c r="G333" s="99">
        <f>+IF(ISERROR(VLOOKUP(D333,[1]STS!$E$9:$AO$1503,37,0)=0),0,VLOOKUP(D333,[1]STS!$E$9:$AO$1503,37,0))</f>
        <v>1.4785184413580281</v>
      </c>
      <c r="H333" s="77" t="str">
        <f>+IF(ISERROR(VLOOKUP(D333,[1]STS!$E$9:$I$1503,5,0)=0),0,VLOOKUP(D333,[1]STS!$E$9:$I$1503,5,0))</f>
        <v>FC</v>
      </c>
      <c r="I333" s="56"/>
      <c r="J333" s="66" t="str">
        <f>VLOOKUP(D333,[1]STS!$E$9:$BC$1359,51,0)</f>
        <v>GP3CK</v>
      </c>
      <c r="K333" s="57"/>
      <c r="L333" s="78" t="str">
        <f>+VLOOKUP(N333,'[1]MSTR AKT'!$C$4:$E$460,3,0)</f>
        <v>Etri 2</v>
      </c>
      <c r="M333" s="79">
        <f>+IF(ISERROR(VLOOKUP($N333,'[1]MSTR AKT'!$C$4:$D$460,2,0)=0),0,VLOOKUP($N333,'[1]MSTR AKT'!$C$4:$D$460,2,0))</f>
        <v>1315131513</v>
      </c>
      <c r="N333" s="70" t="s">
        <v>8</v>
      </c>
      <c r="O333" s="58"/>
      <c r="P333" s="59">
        <v>46002</v>
      </c>
      <c r="Q333" s="100">
        <v>3</v>
      </c>
      <c r="R333" s="101">
        <v>6</v>
      </c>
      <c r="S333" s="102">
        <f t="shared" si="18"/>
        <v>601530</v>
      </c>
    </row>
    <row r="334" spans="1:19" x14ac:dyDescent="0.35">
      <c r="A334" s="55" t="s">
        <v>33</v>
      </c>
      <c r="B334" s="55" t="str">
        <f>+VLOOKUP($D334,[1]STS!$A$9:$E$1405,3,0)</f>
        <v>06</v>
      </c>
      <c r="C334" s="86">
        <f>+VLOOKUP($D334,[1]STS!$A$9:$E$1405,4,0)</f>
        <v>20</v>
      </c>
      <c r="D334" s="69" t="s">
        <v>100</v>
      </c>
      <c r="E334" s="97">
        <f>+IF(ISERROR(VLOOKUP($D334,[1]STS!$E$9:$G$1503,3,0)=0),0,VLOOKUP($D334,[1]STS!$E$9:$G$1503,3,0))</f>
        <v>7.81</v>
      </c>
      <c r="F334" s="98">
        <v>8.4700000000000006</v>
      </c>
      <c r="G334" s="99">
        <f>+IF(ISERROR(VLOOKUP(D334,[1]STS!$E$9:$AO$1503,37,0)=0),0,VLOOKUP(D334,[1]STS!$E$9:$AO$1503,37,0))</f>
        <v>5.4785184413580286</v>
      </c>
      <c r="H334" s="77" t="str">
        <f>+IF(ISERROR(VLOOKUP(D334,[1]STS!$E$9:$I$1503,5,0)=0),0,VLOOKUP(D334,[1]STS!$E$9:$I$1503,5,0))</f>
        <v>FC</v>
      </c>
      <c r="I334" s="56"/>
      <c r="J334" s="66" t="str">
        <f>VLOOKUP(D334,[1]STS!$E$9:$BC$1359,51,0)</f>
        <v>F18CK</v>
      </c>
      <c r="K334" s="57"/>
      <c r="L334" s="78" t="str">
        <f>+VLOOKUP(N334,'[1]MSTR AKT'!$C$4:$E$460,3,0)</f>
        <v>Etri 2</v>
      </c>
      <c r="M334" s="79">
        <f>+IF(ISERROR(VLOOKUP($N334,'[1]MSTR AKT'!$C$4:$D$460,2,0)=0),0,VLOOKUP($N334,'[1]MSTR AKT'!$C$4:$D$460,2,0))</f>
        <v>1315131513</v>
      </c>
      <c r="N334" s="70" t="s">
        <v>8</v>
      </c>
      <c r="O334" s="58"/>
      <c r="P334" s="59">
        <v>46001</v>
      </c>
      <c r="Q334" s="100">
        <v>3</v>
      </c>
      <c r="R334" s="101">
        <v>6</v>
      </c>
      <c r="S334" s="102">
        <f t="shared" si="18"/>
        <v>601530</v>
      </c>
    </row>
    <row r="335" spans="1:19" x14ac:dyDescent="0.35">
      <c r="A335" s="55" t="s">
        <v>33</v>
      </c>
      <c r="B335" s="55" t="str">
        <f>+VLOOKUP($D335,[1]STS!$A$9:$E$1405,3,0)</f>
        <v>06</v>
      </c>
      <c r="C335" s="86">
        <f>+VLOOKUP($D335,[1]STS!$A$9:$E$1405,4,0)</f>
        <v>20</v>
      </c>
      <c r="D335" s="71" t="s">
        <v>172</v>
      </c>
      <c r="E335" s="97">
        <f>+IF(ISERROR(VLOOKUP($D335,[1]STS!$E$9:$G$1503,3,0)=0),0,VLOOKUP($D335,[1]STS!$E$9:$G$1503,3,0))</f>
        <v>8.6</v>
      </c>
      <c r="F335" s="98">
        <v>10.16</v>
      </c>
      <c r="G335" s="99">
        <f>+IF(ISERROR(VLOOKUP(D335,[1]STS!$E$9:$AO$1503,37,0)=0),0,VLOOKUP(D335,[1]STS!$E$9:$AO$1503,37,0))</f>
        <v>5.878518441358028</v>
      </c>
      <c r="H335" s="77" t="str">
        <f>+IF(ISERROR(VLOOKUP(D335,[1]STS!$E$9:$I$1503,5,0)=0),0,VLOOKUP(D335,[1]STS!$E$9:$I$1503,5,0))</f>
        <v>FC</v>
      </c>
      <c r="I335" s="56"/>
      <c r="J335" s="66" t="str">
        <f>VLOOKUP(D335,[1]STS!$E$9:$BC$1359,51,0)</f>
        <v>F18CK</v>
      </c>
      <c r="K335" s="57"/>
      <c r="L335" s="78" t="str">
        <f>+VLOOKUP(N335,'[1]MSTR AKT'!$C$4:$E$460,3,0)</f>
        <v>Etri 2</v>
      </c>
      <c r="M335" s="79">
        <f>+IF(ISERROR(VLOOKUP($N335,'[1]MSTR AKT'!$C$4:$D$460,2,0)=0),0,VLOOKUP($N335,'[1]MSTR AKT'!$C$4:$D$460,2,0))</f>
        <v>1315131513</v>
      </c>
      <c r="N335" s="70" t="s">
        <v>8</v>
      </c>
      <c r="O335" s="58"/>
      <c r="P335" s="59">
        <v>46001</v>
      </c>
      <c r="Q335" s="100">
        <v>3</v>
      </c>
      <c r="R335" s="101">
        <v>6</v>
      </c>
      <c r="S335" s="102">
        <f t="shared" si="18"/>
        <v>601530</v>
      </c>
    </row>
    <row r="336" spans="1:19" x14ac:dyDescent="0.35">
      <c r="A336" s="55" t="s">
        <v>33</v>
      </c>
      <c r="B336" s="55" t="str">
        <f>+VLOOKUP($D336,[1]STS!$A$9:$E$1405,3,0)</f>
        <v>06</v>
      </c>
      <c r="C336" s="86">
        <f>+VLOOKUP($D336,[1]STS!$A$9:$E$1405,4,0)</f>
        <v>20</v>
      </c>
      <c r="D336" s="69" t="s">
        <v>214</v>
      </c>
      <c r="E336" s="97">
        <f>+IF(ISERROR(VLOOKUP($D336,[1]STS!$E$9:$G$1503,3,0)=0),0,VLOOKUP($D336,[1]STS!$E$9:$G$1503,3,0))</f>
        <v>9.85</v>
      </c>
      <c r="F336" s="98">
        <v>9.59</v>
      </c>
      <c r="G336" s="99">
        <f>+IF(ISERROR(VLOOKUP(D336,[1]STS!$E$9:$AO$1503,37,0)=0),0,VLOOKUP(D336,[1]STS!$E$9:$AO$1503,37,0))</f>
        <v>3.9785184413580281</v>
      </c>
      <c r="H336" s="77" t="str">
        <f>+IF(ISERROR(VLOOKUP(D336,[1]STS!$E$9:$I$1503,5,0)=0),0,VLOOKUP(D336,[1]STS!$E$9:$I$1503,5,0))</f>
        <v>FC</v>
      </c>
      <c r="I336" s="56"/>
      <c r="J336" s="66" t="str">
        <f>VLOOKUP(D336,[1]STS!$E$9:$BC$1359,51,0)</f>
        <v>F18CK</v>
      </c>
      <c r="K336" s="57"/>
      <c r="L336" s="78" t="str">
        <f>+VLOOKUP(N336,'[1]MSTR AKT'!$C$4:$E$460,3,0)</f>
        <v>Etri 2</v>
      </c>
      <c r="M336" s="79">
        <f>+IF(ISERROR(VLOOKUP($N336,'[1]MSTR AKT'!$C$4:$D$460,2,0)=0),0,VLOOKUP($N336,'[1]MSTR AKT'!$C$4:$D$460,2,0))</f>
        <v>1315131513</v>
      </c>
      <c r="N336" s="70" t="s">
        <v>8</v>
      </c>
      <c r="O336" s="58"/>
      <c r="P336" s="59">
        <v>46002</v>
      </c>
      <c r="Q336" s="100">
        <v>3</v>
      </c>
      <c r="R336" s="101">
        <v>6</v>
      </c>
      <c r="S336" s="102">
        <f t="shared" si="18"/>
        <v>601530</v>
      </c>
    </row>
    <row r="337" spans="1:19" x14ac:dyDescent="0.35">
      <c r="A337" s="55" t="s">
        <v>33</v>
      </c>
      <c r="B337" s="55" t="str">
        <f>+VLOOKUP($D337,[1]STS!$A$9:$E$1405,3,0)</f>
        <v>06</v>
      </c>
      <c r="C337" s="86">
        <f>+VLOOKUP($D337,[1]STS!$A$9:$E$1405,4,0)</f>
        <v>20</v>
      </c>
      <c r="D337" s="71" t="s">
        <v>215</v>
      </c>
      <c r="E337" s="97">
        <f>+IF(ISERROR(VLOOKUP($D337,[1]STS!$E$9:$G$1503,3,0)=0),0,VLOOKUP($D337,[1]STS!$E$9:$G$1503,3,0))</f>
        <v>13.9</v>
      </c>
      <c r="F337" s="98">
        <v>13.08</v>
      </c>
      <c r="G337" s="99">
        <f>+IF(ISERROR(VLOOKUP(D337,[1]STS!$E$9:$AO$1503,37,0)=0),0,VLOOKUP(D337,[1]STS!$E$9:$AO$1503,37,0))</f>
        <v>4.211851774691362</v>
      </c>
      <c r="H337" s="77" t="str">
        <f>+IF(ISERROR(VLOOKUP(D337,[1]STS!$E$9:$I$1503,5,0)=0),0,VLOOKUP(D337,[1]STS!$E$9:$I$1503,5,0))</f>
        <v>FC</v>
      </c>
      <c r="I337" s="56"/>
      <c r="J337" s="66" t="str">
        <f>VLOOKUP(D337,[1]STS!$E$9:$BC$1359,51,0)</f>
        <v>F18CK</v>
      </c>
      <c r="K337" s="57"/>
      <c r="L337" s="78" t="str">
        <f>+VLOOKUP(N337,'[1]MSTR AKT'!$C$4:$E$460,3,0)</f>
        <v>Etri 2</v>
      </c>
      <c r="M337" s="79">
        <f>+IF(ISERROR(VLOOKUP($N337,'[1]MSTR AKT'!$C$4:$D$460,2,0)=0),0,VLOOKUP($N337,'[1]MSTR AKT'!$C$4:$D$460,2,0))</f>
        <v>1315131513</v>
      </c>
      <c r="N337" s="70" t="s">
        <v>8</v>
      </c>
      <c r="O337" s="58"/>
      <c r="P337" s="59">
        <v>46001</v>
      </c>
      <c r="Q337" s="100">
        <v>3</v>
      </c>
      <c r="R337" s="101">
        <v>6</v>
      </c>
      <c r="S337" s="102">
        <f t="shared" si="18"/>
        <v>601530</v>
      </c>
    </row>
    <row r="338" spans="1:19" x14ac:dyDescent="0.35">
      <c r="A338" s="55" t="s">
        <v>33</v>
      </c>
      <c r="B338" s="55" t="str">
        <f>+VLOOKUP($D338,[1]STS!$A$9:$E$1405,3,0)</f>
        <v>06</v>
      </c>
      <c r="C338" s="86">
        <f>+VLOOKUP($D338,[1]STS!$A$9:$E$1405,4,0)</f>
        <v>20</v>
      </c>
      <c r="D338" s="69" t="s">
        <v>124</v>
      </c>
      <c r="E338" s="97">
        <f>+IF(ISERROR(VLOOKUP($D338,[1]STS!$E$9:$G$1503,3,0)=0),0,VLOOKUP($D338,[1]STS!$E$9:$G$1503,3,0))</f>
        <v>2.42</v>
      </c>
      <c r="F338" s="98">
        <v>2.0699999999999998</v>
      </c>
      <c r="G338" s="99">
        <f>+IF(ISERROR(VLOOKUP(D338,[1]STS!$E$9:$AO$1503,37,0)=0),0,VLOOKUP(D338,[1]STS!$E$9:$AO$1503,37,0))</f>
        <v>5.8118517746913616</v>
      </c>
      <c r="H338" s="77" t="str">
        <f>+IF(ISERROR(VLOOKUP(D338,[1]STS!$E$9:$I$1503,5,0)=0),0,VLOOKUP(D338,[1]STS!$E$9:$I$1503,5,0))</f>
        <v>FC</v>
      </c>
      <c r="I338" s="56"/>
      <c r="J338" s="66" t="str">
        <f>VLOOKUP(D338,[1]STS!$E$9:$BC$1359,51,0)</f>
        <v>F18SB</v>
      </c>
      <c r="K338" s="57"/>
      <c r="L338" s="78" t="str">
        <f>+VLOOKUP(N338,'[1]MSTR AKT'!$C$4:$E$460,3,0)</f>
        <v>Etri 2</v>
      </c>
      <c r="M338" s="79">
        <f>+IF(ISERROR(VLOOKUP($N338,'[1]MSTR AKT'!$C$4:$D$460,2,0)=0),0,VLOOKUP($N338,'[1]MSTR AKT'!$C$4:$D$460,2,0))</f>
        <v>1315131513</v>
      </c>
      <c r="N338" s="70" t="s">
        <v>8</v>
      </c>
      <c r="O338" s="58"/>
      <c r="P338" s="59">
        <v>46001</v>
      </c>
      <c r="Q338" s="100">
        <v>3</v>
      </c>
      <c r="R338" s="101">
        <v>6</v>
      </c>
      <c r="S338" s="102">
        <f t="shared" si="18"/>
        <v>601530</v>
      </c>
    </row>
    <row r="339" spans="1:19" x14ac:dyDescent="0.35">
      <c r="A339" s="55" t="s">
        <v>33</v>
      </c>
      <c r="B339" s="55" t="str">
        <f>+VLOOKUP($D339,[1]STS!$A$9:$E$1405,3,0)</f>
        <v>06</v>
      </c>
      <c r="C339" s="86">
        <f>+VLOOKUP($D339,[1]STS!$A$9:$E$1405,4,0)</f>
        <v>20</v>
      </c>
      <c r="D339" s="69" t="s">
        <v>216</v>
      </c>
      <c r="E339" s="97">
        <f>+IF(ISERROR(VLOOKUP($D339,[1]STS!$E$9:$G$1503,3,0)=0),0,VLOOKUP($D339,[1]STS!$E$9:$G$1503,3,0))</f>
        <v>9.7799999999999994</v>
      </c>
      <c r="F339" s="98">
        <v>9.17</v>
      </c>
      <c r="G339" s="99">
        <f>+IF(ISERROR(VLOOKUP(D339,[1]STS!$E$9:$AO$1503,37,0)=0),0,VLOOKUP(D339,[1]STS!$E$9:$AO$1503,37,0))</f>
        <v>2.1785184413580283</v>
      </c>
      <c r="H339" s="77" t="str">
        <f>+IF(ISERROR(VLOOKUP(D339,[1]STS!$E$9:$I$1503,5,0)=0),0,VLOOKUP(D339,[1]STS!$E$9:$I$1503,5,0))</f>
        <v>FC</v>
      </c>
      <c r="I339" s="56"/>
      <c r="J339" s="66" t="str">
        <f>VLOOKUP(D339,[1]STS!$E$9:$BC$1359,51,0)</f>
        <v>F18CK</v>
      </c>
      <c r="K339" s="57"/>
      <c r="L339" s="78" t="str">
        <f>+VLOOKUP(N339,'[1]MSTR AKT'!$C$4:$E$460,3,0)</f>
        <v>Etri 2</v>
      </c>
      <c r="M339" s="79">
        <f>+IF(ISERROR(VLOOKUP($N339,'[1]MSTR AKT'!$C$4:$D$460,2,0)=0),0,VLOOKUP($N339,'[1]MSTR AKT'!$C$4:$D$460,2,0))</f>
        <v>1315131513</v>
      </c>
      <c r="N339" s="70" t="s">
        <v>8</v>
      </c>
      <c r="O339" s="58"/>
      <c r="P339" s="59">
        <v>46002</v>
      </c>
      <c r="Q339" s="100">
        <v>3</v>
      </c>
      <c r="R339" s="101">
        <v>6</v>
      </c>
      <c r="S339" s="102">
        <f t="shared" si="18"/>
        <v>601530</v>
      </c>
    </row>
    <row r="340" spans="1:19" x14ac:dyDescent="0.35">
      <c r="A340" s="55" t="s">
        <v>33</v>
      </c>
      <c r="B340" s="55" t="str">
        <f>+VLOOKUP($D340,[1]STS!$A$9:$E$1405,3,0)</f>
        <v>06</v>
      </c>
      <c r="C340" s="86">
        <f>+VLOOKUP($D340,[1]STS!$A$9:$E$1405,4,0)</f>
        <v>20</v>
      </c>
      <c r="D340" s="69" t="s">
        <v>285</v>
      </c>
      <c r="E340" s="97">
        <f>+IF(ISERROR(VLOOKUP($D340,[1]STS!$E$9:$G$1503,3,0)=0),0,VLOOKUP($D340,[1]STS!$E$9:$G$1503,3,0))</f>
        <v>9.67</v>
      </c>
      <c r="F340" s="98">
        <v>9.67</v>
      </c>
      <c r="G340" s="99">
        <f>+IF(ISERROR(VLOOKUP(D340,[1]STS!$E$9:$AO$1503,37,0)=0),0,VLOOKUP(D340,[1]STS!$E$9:$AO$1503,37,0))</f>
        <v>7.3451851080246948</v>
      </c>
      <c r="H340" s="77" t="str">
        <f>+IF(ISERROR(VLOOKUP(D340,[1]STS!$E$9:$I$1503,5,0)=0),0,VLOOKUP(D340,[1]STS!$E$9:$I$1503,5,0))</f>
        <v>SC</v>
      </c>
      <c r="I340" s="56"/>
      <c r="J340" s="66" t="str">
        <f>VLOOKUP(D340,[1]STS!$E$9:$BC$1359,51,0)</f>
        <v>F18</v>
      </c>
      <c r="K340" s="57"/>
      <c r="L340" s="78" t="str">
        <f>+VLOOKUP(N340,'[1]MSTR AKT'!$C$4:$E$460,3,0)</f>
        <v>Etri 2</v>
      </c>
      <c r="M340" s="79">
        <f>+IF(ISERROR(VLOOKUP($N340,'[1]MSTR AKT'!$C$4:$D$460,2,0)=0),0,VLOOKUP($N340,'[1]MSTR AKT'!$C$4:$D$460,2,0))</f>
        <v>1315131513</v>
      </c>
      <c r="N340" s="70" t="s">
        <v>8</v>
      </c>
      <c r="O340" s="58"/>
      <c r="P340" s="59">
        <v>46002</v>
      </c>
      <c r="Q340" s="100">
        <v>3</v>
      </c>
      <c r="R340" s="101">
        <v>6</v>
      </c>
      <c r="S340" s="102">
        <f t="shared" si="18"/>
        <v>601530</v>
      </c>
    </row>
    <row r="341" spans="1:19" x14ac:dyDescent="0.35">
      <c r="A341" s="55" t="s">
        <v>33</v>
      </c>
      <c r="B341" s="55" t="str">
        <f>+VLOOKUP($D341,[1]STS!$A$9:$E$1405,3,0)</f>
        <v>06</v>
      </c>
      <c r="C341" s="86">
        <f>+VLOOKUP($D341,[1]STS!$A$9:$E$1405,4,0)</f>
        <v>20</v>
      </c>
      <c r="D341" s="69" t="s">
        <v>173</v>
      </c>
      <c r="E341" s="97">
        <f>+IF(ISERROR(VLOOKUP($D341,[1]STS!$E$9:$G$1503,3,0)=0),0,VLOOKUP($D341,[1]STS!$E$9:$G$1503,3,0))</f>
        <v>4.38</v>
      </c>
      <c r="F341" s="98">
        <v>4.38</v>
      </c>
      <c r="G341" s="99">
        <f>+IF(ISERROR(VLOOKUP(D341,[1]STS!$E$9:$AO$1503,37,0)=0),0,VLOOKUP(D341,[1]STS!$E$9:$AO$1503,37,0))</f>
        <v>3.4451851080246949</v>
      </c>
      <c r="H341" s="77" t="str">
        <f>+IF(ISERROR(VLOOKUP(D341,[1]STS!$E$9:$I$1503,5,0)=0),0,VLOOKUP(D341,[1]STS!$E$9:$I$1503,5,0))</f>
        <v>SC</v>
      </c>
      <c r="I341" s="56"/>
      <c r="J341" s="66" t="str">
        <f>VLOOKUP(D341,[1]STS!$E$9:$BC$1359,51,0)</f>
        <v>F18</v>
      </c>
      <c r="K341" s="57"/>
      <c r="L341" s="78" t="str">
        <f>+VLOOKUP(N341,'[1]MSTR AKT'!$C$4:$E$460,3,0)</f>
        <v>Etri 2</v>
      </c>
      <c r="M341" s="79">
        <f>+IF(ISERROR(VLOOKUP($N341,'[1]MSTR AKT'!$C$4:$D$460,2,0)=0),0,VLOOKUP($N341,'[1]MSTR AKT'!$C$4:$D$460,2,0))</f>
        <v>1315131513</v>
      </c>
      <c r="N341" s="70" t="s">
        <v>8</v>
      </c>
      <c r="O341" s="58"/>
      <c r="P341" s="59">
        <v>46001</v>
      </c>
      <c r="Q341" s="100">
        <v>3</v>
      </c>
      <c r="R341" s="101">
        <v>6</v>
      </c>
      <c r="S341" s="102">
        <f t="shared" si="18"/>
        <v>601530</v>
      </c>
    </row>
    <row r="342" spans="1:19" x14ac:dyDescent="0.35">
      <c r="A342" s="55" t="s">
        <v>33</v>
      </c>
      <c r="B342" s="55" t="str">
        <f>+VLOOKUP($D342,[1]STS!$A$9:$E$1405,3,0)</f>
        <v>06</v>
      </c>
      <c r="C342" s="86">
        <f>+VLOOKUP($D342,[1]STS!$A$9:$E$1405,4,0)</f>
        <v>20</v>
      </c>
      <c r="D342" s="69" t="s">
        <v>174</v>
      </c>
      <c r="E342" s="97">
        <f>+IF(ISERROR(VLOOKUP($D342,[1]STS!$E$9:$G$1503,3,0)=0),0,VLOOKUP($D342,[1]STS!$E$9:$G$1503,3,0))</f>
        <v>4.97</v>
      </c>
      <c r="F342" s="98">
        <v>4.97</v>
      </c>
      <c r="G342" s="99">
        <f>+IF(ISERROR(VLOOKUP(D342,[1]STS!$E$9:$AO$1503,37,0)=0),0,VLOOKUP(D342,[1]STS!$E$9:$AO$1503,37,0))</f>
        <v>2.878518441358028</v>
      </c>
      <c r="H342" s="77" t="str">
        <f>+IF(ISERROR(VLOOKUP(D342,[1]STS!$E$9:$I$1503,5,0)=0),0,VLOOKUP(D342,[1]STS!$E$9:$I$1503,5,0))</f>
        <v>SC</v>
      </c>
      <c r="I342" s="56"/>
      <c r="J342" s="66" t="str">
        <f>VLOOKUP(D342,[1]STS!$E$9:$BC$1359,51,0)</f>
        <v>F18</v>
      </c>
      <c r="K342" s="57"/>
      <c r="L342" s="78" t="str">
        <f>+VLOOKUP(N342,'[1]MSTR AKT'!$C$4:$E$460,3,0)</f>
        <v>Etri 2</v>
      </c>
      <c r="M342" s="79">
        <f>+IF(ISERROR(VLOOKUP($N342,'[1]MSTR AKT'!$C$4:$D$460,2,0)=0),0,VLOOKUP($N342,'[1]MSTR AKT'!$C$4:$D$460,2,0))</f>
        <v>1315131513</v>
      </c>
      <c r="N342" s="70" t="s">
        <v>8</v>
      </c>
      <c r="O342" s="58"/>
      <c r="P342" s="59">
        <v>46002</v>
      </c>
      <c r="Q342" s="100">
        <v>3</v>
      </c>
      <c r="R342" s="101">
        <v>6</v>
      </c>
      <c r="S342" s="102">
        <f t="shared" si="18"/>
        <v>601530</v>
      </c>
    </row>
    <row r="343" spans="1:19" x14ac:dyDescent="0.35">
      <c r="A343" s="55" t="s">
        <v>33</v>
      </c>
      <c r="B343" s="55" t="str">
        <f>+VLOOKUP($D343,[1]STS!$A$9:$E$1405,3,0)</f>
        <v>06</v>
      </c>
      <c r="C343" s="86">
        <f>+VLOOKUP($D343,[1]STS!$A$9:$E$1405,4,0)</f>
        <v>20</v>
      </c>
      <c r="D343" s="71" t="s">
        <v>175</v>
      </c>
      <c r="E343" s="97">
        <f>+IF(ISERROR(VLOOKUP($D343,[1]STS!$E$9:$G$1503,3,0)=0),0,VLOOKUP($D343,[1]STS!$E$9:$G$1503,3,0))</f>
        <v>6.18</v>
      </c>
      <c r="F343" s="98">
        <v>6.18</v>
      </c>
      <c r="G343" s="99">
        <f>+IF(ISERROR(VLOOKUP(D343,[1]STS!$E$9:$AO$1503,37,0)=0),0,VLOOKUP(D343,[1]STS!$E$9:$AO$1503,37,0))</f>
        <v>2.4118517746913617</v>
      </c>
      <c r="H343" s="77" t="str">
        <f>+IF(ISERROR(VLOOKUP(D343,[1]STS!$E$9:$I$1503,5,0)=0),0,VLOOKUP(D343,[1]STS!$E$9:$I$1503,5,0))</f>
        <v>SC</v>
      </c>
      <c r="I343" s="56"/>
      <c r="J343" s="66" t="str">
        <f>VLOOKUP(D343,[1]STS!$E$9:$BC$1359,51,0)</f>
        <v>F18</v>
      </c>
      <c r="K343" s="57"/>
      <c r="L343" s="78" t="str">
        <f>+VLOOKUP(N343,'[1]MSTR AKT'!$C$4:$E$460,3,0)</f>
        <v>Etri 2</v>
      </c>
      <c r="M343" s="79">
        <f>+IF(ISERROR(VLOOKUP($N343,'[1]MSTR AKT'!$C$4:$D$460,2,0)=0),0,VLOOKUP($N343,'[1]MSTR AKT'!$C$4:$D$460,2,0))</f>
        <v>1315131513</v>
      </c>
      <c r="N343" s="70" t="s">
        <v>8</v>
      </c>
      <c r="O343" s="58"/>
      <c r="P343" s="59">
        <v>46001</v>
      </c>
      <c r="Q343" s="100">
        <v>3</v>
      </c>
      <c r="R343" s="101">
        <v>6</v>
      </c>
      <c r="S343" s="102">
        <f t="shared" si="18"/>
        <v>601530</v>
      </c>
    </row>
    <row r="344" spans="1:19" x14ac:dyDescent="0.35">
      <c r="A344" s="55" t="s">
        <v>33</v>
      </c>
      <c r="B344" s="55" t="str">
        <f>+VLOOKUP($D344,[1]STS!$A$9:$E$1405,3,0)</f>
        <v>06</v>
      </c>
      <c r="C344" s="86">
        <f>+VLOOKUP($D344,[1]STS!$A$9:$E$1405,4,0)</f>
        <v>20</v>
      </c>
      <c r="D344" s="69" t="s">
        <v>161</v>
      </c>
      <c r="E344" s="97">
        <f>+IF(ISERROR(VLOOKUP($D344,[1]STS!$E$9:$G$1503,3,0)=0),0,VLOOKUP($D344,[1]STS!$E$9:$G$1503,3,0))</f>
        <v>10.88</v>
      </c>
      <c r="F344" s="98">
        <v>10.88</v>
      </c>
      <c r="G344" s="99">
        <f>+IF(ISERROR(VLOOKUP(D344,[1]STS!$E$9:$AO$1503,37,0)=0),0,VLOOKUP(D344,[1]STS!$E$9:$AO$1503,37,0))</f>
        <v>0.54518510802469489</v>
      </c>
      <c r="H344" s="77" t="str">
        <f>+IF(ISERROR(VLOOKUP(D344,[1]STS!$E$9:$I$1503,5,0)=0),0,VLOOKUP(D344,[1]STS!$E$9:$I$1503,5,0))</f>
        <v>BK</v>
      </c>
      <c r="I344" s="56"/>
      <c r="J344" s="66" t="str">
        <f>VLOOKUP(D344,[1]STS!$E$9:$BC$1359,51,0)</f>
        <v>F18</v>
      </c>
      <c r="K344" s="57"/>
      <c r="L344" s="78" t="str">
        <f>+VLOOKUP(N344,'[1]MSTR AKT'!$C$4:$E$460,3,0)</f>
        <v>Etri 2</v>
      </c>
      <c r="M344" s="79">
        <f>+IF(ISERROR(VLOOKUP($N344,'[1]MSTR AKT'!$C$4:$D$460,2,0)=0),0,VLOOKUP($N344,'[1]MSTR AKT'!$C$4:$D$460,2,0))</f>
        <v>1113111113</v>
      </c>
      <c r="N344" s="70" t="s">
        <v>6</v>
      </c>
      <c r="O344" s="58"/>
      <c r="P344" s="59">
        <v>46002</v>
      </c>
      <c r="Q344" s="100">
        <v>3</v>
      </c>
      <c r="R344" s="101">
        <v>6</v>
      </c>
      <c r="S344" s="102">
        <f t="shared" si="18"/>
        <v>601530</v>
      </c>
    </row>
    <row r="345" spans="1:19" x14ac:dyDescent="0.35">
      <c r="A345" s="55" t="s">
        <v>33</v>
      </c>
      <c r="B345" s="55" t="str">
        <f>+VLOOKUP($D345,[1]STS!$A$9:$E$1405,3,0)</f>
        <v>06</v>
      </c>
      <c r="C345" s="86">
        <f>+VLOOKUP($D345,[1]STS!$A$9:$E$1405,4,0)</f>
        <v>20</v>
      </c>
      <c r="D345" s="69" t="s">
        <v>162</v>
      </c>
      <c r="E345" s="97">
        <f>+IF(ISERROR(VLOOKUP($D345,[1]STS!$E$9:$G$1503,3,0)=0),0,VLOOKUP($D345,[1]STS!$E$9:$G$1503,3,0))</f>
        <v>5.39</v>
      </c>
      <c r="F345" s="98">
        <v>5.39</v>
      </c>
      <c r="G345" s="99">
        <f>+IF(ISERROR(VLOOKUP(D345,[1]STS!$E$9:$AO$1503,37,0)=0),0,VLOOKUP(D345,[1]STS!$E$9:$AO$1503,37,0))</f>
        <v>0.47851844135802823</v>
      </c>
      <c r="H345" s="77" t="str">
        <f>+IF(ISERROR(VLOOKUP(D345,[1]STS!$E$9:$I$1503,5,0)=0),0,VLOOKUP(D345,[1]STS!$E$9:$I$1503,5,0))</f>
        <v>BK</v>
      </c>
      <c r="I345" s="56"/>
      <c r="J345" s="66" t="str">
        <f>VLOOKUP(D345,[1]STS!$E$9:$BC$1359,51,0)</f>
        <v>F18</v>
      </c>
      <c r="K345" s="57"/>
      <c r="L345" s="78" t="str">
        <f>+VLOOKUP(N345,'[1]MSTR AKT'!$C$4:$E$460,3,0)</f>
        <v>Etri 2</v>
      </c>
      <c r="M345" s="79">
        <f>+IF(ISERROR(VLOOKUP($N345,'[1]MSTR AKT'!$C$4:$D$460,2,0)=0),0,VLOOKUP($N345,'[1]MSTR AKT'!$C$4:$D$460,2,0))</f>
        <v>1113111113</v>
      </c>
      <c r="N345" s="70" t="s">
        <v>6</v>
      </c>
      <c r="O345" s="58"/>
      <c r="P345" s="59">
        <v>46002</v>
      </c>
      <c r="Q345" s="100">
        <v>3</v>
      </c>
      <c r="R345" s="101">
        <v>6</v>
      </c>
      <c r="S345" s="102">
        <f t="shared" si="18"/>
        <v>601530</v>
      </c>
    </row>
    <row r="346" spans="1:19" x14ac:dyDescent="0.35">
      <c r="A346" s="55" t="s">
        <v>33</v>
      </c>
      <c r="B346" s="55" t="str">
        <f>+VLOOKUP($D346,[1]STS!$A$9:$E$1405,3,0)</f>
        <v>06</v>
      </c>
      <c r="C346" s="86">
        <f>+VLOOKUP($D346,[1]STS!$A$9:$E$1405,4,0)</f>
        <v>20</v>
      </c>
      <c r="D346" s="69" t="s">
        <v>337</v>
      </c>
      <c r="E346" s="97">
        <f>+IF(ISERROR(VLOOKUP($D346,[1]STS!$E$9:$G$1503,3,0)=0),0,VLOOKUP($D346,[1]STS!$E$9:$G$1503,3,0))</f>
        <v>7.82</v>
      </c>
      <c r="F346" s="98">
        <v>7.82</v>
      </c>
      <c r="G346" s="99">
        <f>+IF(ISERROR(VLOOKUP(D346,[1]STS!$E$9:$AO$1503,37,0)=0),0,VLOOKUP(D346,[1]STS!$E$9:$AO$1503,37,0))</f>
        <v>1.4118517746913615</v>
      </c>
      <c r="H346" s="77" t="str">
        <f>+IF(ISERROR(VLOOKUP(D346,[1]STS!$E$9:$I$1503,5,0)=0),0,VLOOKUP(D346,[1]STS!$E$9:$I$1503,5,0))</f>
        <v>BK</v>
      </c>
      <c r="I346" s="56"/>
      <c r="J346" s="66" t="str">
        <f>VLOOKUP(D346,[1]STS!$E$9:$BC$1359,51,0)</f>
        <v>F18</v>
      </c>
      <c r="K346" s="57"/>
      <c r="L346" s="78" t="str">
        <f>+VLOOKUP(N346,'[1]MSTR AKT'!$C$4:$E$460,3,0)</f>
        <v>Etri 2</v>
      </c>
      <c r="M346" s="79">
        <f>+IF(ISERROR(VLOOKUP($N346,'[1]MSTR AKT'!$C$4:$D$460,2,0)=0),0,VLOOKUP($N346,'[1]MSTR AKT'!$C$4:$D$460,2,0))</f>
        <v>1113111113</v>
      </c>
      <c r="N346" s="70" t="s">
        <v>6</v>
      </c>
      <c r="O346" s="58"/>
      <c r="P346" s="59">
        <v>46001</v>
      </c>
      <c r="Q346" s="100">
        <v>3</v>
      </c>
      <c r="R346" s="101">
        <v>6</v>
      </c>
      <c r="S346" s="102">
        <f t="shared" si="18"/>
        <v>601530</v>
      </c>
    </row>
    <row r="347" spans="1:19" x14ac:dyDescent="0.35">
      <c r="A347" s="55" t="s">
        <v>33</v>
      </c>
      <c r="B347" s="55" t="str">
        <f>+VLOOKUP($D347,[1]STS!$A$9:$E$1405,3,0)</f>
        <v>06</v>
      </c>
      <c r="C347" s="86">
        <f>+VLOOKUP($D347,[1]STS!$A$9:$E$1405,4,0)</f>
        <v>20</v>
      </c>
      <c r="D347" s="69" t="s">
        <v>99</v>
      </c>
      <c r="E347" s="97">
        <f>+IF(ISERROR(VLOOKUP($D347,[1]STS!$E$9:$G$1503,3,0)=0),0,VLOOKUP($D347,[1]STS!$E$9:$G$1503,3,0))</f>
        <v>9.58</v>
      </c>
      <c r="F347" s="98">
        <v>9.24</v>
      </c>
      <c r="G347" s="99">
        <f>+IF(ISERROR(VLOOKUP(D347,[1]STS!$E$9:$AO$1503,37,0)=0),0,VLOOKUP(D347,[1]STS!$E$9:$AO$1503,37,0))</f>
        <v>5.5118517746913618</v>
      </c>
      <c r="H347" s="77" t="str">
        <f>+IF(ISERROR(VLOOKUP(D347,[1]STS!$E$9:$I$1503,5,0)=0),0,VLOOKUP(D347,[1]STS!$E$9:$I$1503,5,0))</f>
        <v>FC</v>
      </c>
      <c r="I347" s="56"/>
      <c r="J347" s="66" t="str">
        <f>VLOOKUP(D347,[1]STS!$E$9:$BC$1359,51,0)</f>
        <v>GP3CK</v>
      </c>
      <c r="K347" s="57"/>
      <c r="L347" s="78" t="str">
        <f>+VLOOKUP(N347,'[1]MSTR AKT'!$C$4:$E$460,3,0)</f>
        <v>Nugroho</v>
      </c>
      <c r="M347" s="79">
        <f>+IF(ISERROR(VLOOKUP($N347,'[1]MSTR AKT'!$C$4:$D$460,2,0)=0),0,VLOOKUP($N347,'[1]MSTR AKT'!$C$4:$D$460,2,0))</f>
        <v>1311131311</v>
      </c>
      <c r="N347" s="70" t="s">
        <v>38</v>
      </c>
      <c r="O347" s="58"/>
      <c r="P347" s="59">
        <v>46002</v>
      </c>
      <c r="Q347" s="100">
        <v>3</v>
      </c>
      <c r="R347" s="101">
        <v>3</v>
      </c>
      <c r="S347" s="102">
        <f t="shared" si="18"/>
        <v>300765</v>
      </c>
    </row>
    <row r="348" spans="1:19" x14ac:dyDescent="0.35">
      <c r="A348" s="55" t="s">
        <v>33</v>
      </c>
      <c r="B348" s="55" t="str">
        <f>+VLOOKUP($D348,[1]STS!$A$9:$E$1405,3,0)</f>
        <v>06</v>
      </c>
      <c r="C348" s="86">
        <f>+VLOOKUP($D348,[1]STS!$A$9:$E$1405,4,0)</f>
        <v>20</v>
      </c>
      <c r="D348" s="71" t="s">
        <v>81</v>
      </c>
      <c r="E348" s="97">
        <f>+IF(ISERROR(VLOOKUP($D348,[1]STS!$E$9:$G$1503,3,0)=0),0,VLOOKUP($D348,[1]STS!$E$9:$G$1503,3,0))</f>
        <v>8.82</v>
      </c>
      <c r="F348" s="98">
        <v>8.52</v>
      </c>
      <c r="G348" s="99">
        <f>+IF(ISERROR(VLOOKUP(D348,[1]STS!$E$9:$AO$1503,37,0)=0),0,VLOOKUP(D348,[1]STS!$E$9:$AO$1503,37,0))</f>
        <v>10.011851774691362</v>
      </c>
      <c r="H348" s="77" t="str">
        <f>+IF(ISERROR(VLOOKUP(D348,[1]STS!$E$9:$I$1503,5,0)=0),0,VLOOKUP(D348,[1]STS!$E$9:$I$1503,5,0))</f>
        <v>FC</v>
      </c>
      <c r="I348" s="56"/>
      <c r="J348" s="66" t="str">
        <f>VLOOKUP(D348,[1]STS!$E$9:$BC$1359,51,0)</f>
        <v>F18SK</v>
      </c>
      <c r="K348" s="57"/>
      <c r="L348" s="78" t="str">
        <f>+VLOOKUP(N348,'[1]MSTR AKT'!$C$4:$E$460,3,0)</f>
        <v>Nugroho</v>
      </c>
      <c r="M348" s="79">
        <f>+IF(ISERROR(VLOOKUP($N348,'[1]MSTR AKT'!$C$4:$D$460,2,0)=0),0,VLOOKUP($N348,'[1]MSTR AKT'!$C$4:$D$460,2,0))</f>
        <v>1311131311</v>
      </c>
      <c r="N348" s="70" t="s">
        <v>38</v>
      </c>
      <c r="O348" s="58"/>
      <c r="P348" s="59">
        <v>46003</v>
      </c>
      <c r="Q348" s="100">
        <v>3</v>
      </c>
      <c r="R348" s="101">
        <v>3</v>
      </c>
      <c r="S348" s="102">
        <f>+R348*100255</f>
        <v>300765</v>
      </c>
    </row>
    <row r="349" spans="1:19" x14ac:dyDescent="0.35">
      <c r="A349" s="55" t="s">
        <v>33</v>
      </c>
      <c r="B349" s="55" t="str">
        <f>+VLOOKUP($D349,[1]STS!$A$9:$E$1405,3,0)</f>
        <v>06</v>
      </c>
      <c r="C349" s="86">
        <f>+VLOOKUP($D349,[1]STS!$A$9:$E$1405,4,0)</f>
        <v>20</v>
      </c>
      <c r="D349" s="69" t="s">
        <v>51</v>
      </c>
      <c r="E349" s="97">
        <f>+IF(ISERROR(VLOOKUP($D349,[1]STS!$E$9:$G$1503,3,0)=0),0,VLOOKUP($D349,[1]STS!$E$9:$G$1503,3,0))</f>
        <v>5.16</v>
      </c>
      <c r="F349" s="98">
        <v>5.16</v>
      </c>
      <c r="G349" s="99">
        <f>+IF(ISERROR(VLOOKUP(D349,[1]STS!$E$9:$AO$1503,37,0)=0),0,VLOOKUP(D349,[1]STS!$E$9:$AO$1503,37,0))</f>
        <v>12.178518441358028</v>
      </c>
      <c r="H349" s="77" t="str">
        <f>+IF(ISERROR(VLOOKUP(D349,[1]STS!$E$9:$I$1503,5,0)=0),0,VLOOKUP(D349,[1]STS!$E$9:$I$1503,5,0))</f>
        <v>FC</v>
      </c>
      <c r="I349" s="56"/>
      <c r="J349" s="66" t="str">
        <f>VLOOKUP(D349,[1]STS!$E$9:$BC$1359,51,0)</f>
        <v>GP3SK</v>
      </c>
      <c r="K349" s="57"/>
      <c r="L349" s="78" t="str">
        <f>+VLOOKUP(N349,'[1]MSTR AKT'!$C$4:$E$460,3,0)</f>
        <v>Nugroho</v>
      </c>
      <c r="M349" s="79">
        <f>+IF(ISERROR(VLOOKUP($N349,'[1]MSTR AKT'!$C$4:$D$460,2,0)=0),0,VLOOKUP($N349,'[1]MSTR AKT'!$C$4:$D$460,2,0))</f>
        <v>1311131311</v>
      </c>
      <c r="N349" s="70" t="s">
        <v>38</v>
      </c>
      <c r="O349" s="58"/>
      <c r="P349" s="59">
        <v>46003</v>
      </c>
      <c r="Q349" s="100">
        <v>3</v>
      </c>
      <c r="R349" s="101">
        <v>3</v>
      </c>
      <c r="S349" s="102">
        <f>+R349*100255</f>
        <v>300765</v>
      </c>
    </row>
    <row r="350" spans="1:19" x14ac:dyDescent="0.35">
      <c r="A350" s="55" t="s">
        <v>33</v>
      </c>
      <c r="B350" s="55" t="str">
        <f>+VLOOKUP($D350,[1]STS!$A$9:$E$1405,3,0)</f>
        <v>06</v>
      </c>
      <c r="C350" s="86">
        <f>+VLOOKUP($D350,[1]STS!$A$9:$E$1405,4,0)</f>
        <v>20</v>
      </c>
      <c r="D350" s="71" t="s">
        <v>172</v>
      </c>
      <c r="E350" s="97">
        <f>+IF(ISERROR(VLOOKUP($D350,[1]STS!$E$9:$G$1503,3,0)=0),0,VLOOKUP($D350,[1]STS!$E$9:$G$1503,3,0))</f>
        <v>8.6</v>
      </c>
      <c r="F350" s="98">
        <v>10.16</v>
      </c>
      <c r="G350" s="99">
        <f>+IF(ISERROR(VLOOKUP(D350,[1]STS!$E$9:$AO$1503,37,0)=0),0,VLOOKUP(D350,[1]STS!$E$9:$AO$1503,37,0))</f>
        <v>5.878518441358028</v>
      </c>
      <c r="H350" s="77" t="str">
        <f>+IF(ISERROR(VLOOKUP(D350,[1]STS!$E$9:$I$1503,5,0)=0),0,VLOOKUP(D350,[1]STS!$E$9:$I$1503,5,0))</f>
        <v>FC</v>
      </c>
      <c r="I350" s="56"/>
      <c r="J350" s="66" t="str">
        <f>VLOOKUP(D350,[1]STS!$E$9:$BC$1359,51,0)</f>
        <v>F18CK</v>
      </c>
      <c r="K350" s="57"/>
      <c r="L350" s="78" t="str">
        <f>+VLOOKUP(N350,'[1]MSTR AKT'!$C$4:$E$460,3,0)</f>
        <v>Nugroho</v>
      </c>
      <c r="M350" s="79">
        <f>+IF(ISERROR(VLOOKUP($N350,'[1]MSTR AKT'!$C$4:$D$460,2,0)=0),0,VLOOKUP($N350,'[1]MSTR AKT'!$C$4:$D$460,2,0))</f>
        <v>1311131311</v>
      </c>
      <c r="N350" s="70" t="s">
        <v>38</v>
      </c>
      <c r="O350" s="58"/>
      <c r="P350" s="59">
        <v>45998</v>
      </c>
      <c r="Q350" s="100">
        <v>3</v>
      </c>
      <c r="R350" s="101">
        <v>3</v>
      </c>
      <c r="S350" s="102">
        <f>+R350*100255</f>
        <v>300765</v>
      </c>
    </row>
    <row r="351" spans="1:19" x14ac:dyDescent="0.35">
      <c r="A351" s="55" t="s">
        <v>33</v>
      </c>
      <c r="B351" s="55" t="str">
        <f>+VLOOKUP($D351,[1]STS!$A$9:$E$1405,3,0)</f>
        <v>06</v>
      </c>
      <c r="C351" s="86">
        <f>+VLOOKUP($D351,[1]STS!$A$9:$E$1405,4,0)</f>
        <v>20</v>
      </c>
      <c r="D351" s="71" t="s">
        <v>216</v>
      </c>
      <c r="E351" s="97">
        <f>+IF(ISERROR(VLOOKUP($D351,[1]STS!$E$9:$G$1503,3,0)=0),0,VLOOKUP($D351,[1]STS!$E$9:$G$1503,3,0))</f>
        <v>9.7799999999999994</v>
      </c>
      <c r="F351" s="98">
        <v>9.17</v>
      </c>
      <c r="G351" s="99">
        <f>+IF(ISERROR(VLOOKUP(D351,[1]STS!$E$9:$AO$1503,37,0)=0),0,VLOOKUP(D351,[1]STS!$E$9:$AO$1503,37,0))</f>
        <v>2.1785184413580283</v>
      </c>
      <c r="H351" s="77" t="str">
        <f>+IF(ISERROR(VLOOKUP(D351,[1]STS!$E$9:$I$1503,5,0)=0),0,VLOOKUP(D351,[1]STS!$E$9:$I$1503,5,0))</f>
        <v>FC</v>
      </c>
      <c r="I351" s="56"/>
      <c r="J351" s="66" t="str">
        <f>VLOOKUP(D351,[1]STS!$E$9:$BC$1359,51,0)</f>
        <v>F18CK</v>
      </c>
      <c r="K351" s="57"/>
      <c r="L351" s="78" t="str">
        <f>+VLOOKUP(N351,'[1]MSTR AKT'!$C$4:$E$460,3,0)</f>
        <v>Nugroho</v>
      </c>
      <c r="M351" s="79">
        <f>+IF(ISERROR(VLOOKUP($N351,'[1]MSTR AKT'!$C$4:$D$460,2,0)=0),0,VLOOKUP($N351,'[1]MSTR AKT'!$C$4:$D$460,2,0))</f>
        <v>1311131311</v>
      </c>
      <c r="N351" s="70" t="s">
        <v>38</v>
      </c>
      <c r="O351" s="58"/>
      <c r="P351" s="59">
        <v>46003</v>
      </c>
      <c r="Q351" s="100">
        <v>3</v>
      </c>
      <c r="R351" s="101">
        <v>3</v>
      </c>
      <c r="S351" s="102">
        <f t="shared" si="18"/>
        <v>300765</v>
      </c>
    </row>
    <row r="352" spans="1:19" x14ac:dyDescent="0.35">
      <c r="A352" s="55" t="s">
        <v>33</v>
      </c>
      <c r="B352" s="55" t="str">
        <f>+VLOOKUP($D352,[1]STS!$A$9:$E$1405,3,0)</f>
        <v>06</v>
      </c>
      <c r="C352" s="86">
        <f>+VLOOKUP($D352,[1]STS!$A$9:$E$1405,4,0)</f>
        <v>20</v>
      </c>
      <c r="D352" s="69" t="s">
        <v>124</v>
      </c>
      <c r="E352" s="97">
        <f>+IF(ISERROR(VLOOKUP($D352,[1]STS!$E$9:$G$1503,3,0)=0),0,VLOOKUP($D352,[1]STS!$E$9:$G$1503,3,0))</f>
        <v>2.42</v>
      </c>
      <c r="F352" s="98">
        <v>2.0699999999999998</v>
      </c>
      <c r="G352" s="99">
        <f>+IF(ISERROR(VLOOKUP(D352,[1]STS!$E$9:$AO$1503,37,0)=0),0,VLOOKUP(D352,[1]STS!$E$9:$AO$1503,37,0))</f>
        <v>5.8118517746913616</v>
      </c>
      <c r="H352" s="77" t="str">
        <f>+IF(ISERROR(VLOOKUP(D352,[1]STS!$E$9:$I$1503,5,0)=0),0,VLOOKUP(D352,[1]STS!$E$9:$I$1503,5,0))</f>
        <v>FC</v>
      </c>
      <c r="I352" s="56"/>
      <c r="J352" s="66" t="str">
        <f>VLOOKUP(D352,[1]STS!$E$9:$BC$1359,51,0)</f>
        <v>F18SB</v>
      </c>
      <c r="K352" s="57"/>
      <c r="L352" s="78" t="str">
        <f>+VLOOKUP(N352,'[1]MSTR AKT'!$C$4:$E$460,3,0)</f>
        <v>Nugroho</v>
      </c>
      <c r="M352" s="79">
        <f>+IF(ISERROR(VLOOKUP($N352,'[1]MSTR AKT'!$C$4:$D$460,2,0)=0),0,VLOOKUP($N352,'[1]MSTR AKT'!$C$4:$D$460,2,0))</f>
        <v>1311131311</v>
      </c>
      <c r="N352" s="70" t="s">
        <v>38</v>
      </c>
      <c r="O352" s="58"/>
      <c r="P352" s="59">
        <v>46003</v>
      </c>
      <c r="Q352" s="100">
        <v>3</v>
      </c>
      <c r="R352" s="101">
        <v>3</v>
      </c>
      <c r="S352" s="102">
        <f t="shared" si="18"/>
        <v>300765</v>
      </c>
    </row>
    <row r="353" spans="1:19" x14ac:dyDescent="0.35">
      <c r="A353" s="55" t="s">
        <v>33</v>
      </c>
      <c r="B353" s="55" t="str">
        <f>+VLOOKUP($D353,[1]STS!$A$9:$E$1405,3,0)</f>
        <v>06</v>
      </c>
      <c r="C353" s="86">
        <f>+VLOOKUP($D353,[1]STS!$A$9:$E$1405,4,0)</f>
        <v>20</v>
      </c>
      <c r="D353" s="69" t="s">
        <v>214</v>
      </c>
      <c r="E353" s="97">
        <f>+IF(ISERROR(VLOOKUP($D353,[1]STS!$E$9:$G$1503,3,0)=0),0,VLOOKUP($D353,[1]STS!$E$9:$G$1503,3,0))</f>
        <v>9.85</v>
      </c>
      <c r="F353" s="98">
        <v>9.59</v>
      </c>
      <c r="G353" s="99">
        <f>+IF(ISERROR(VLOOKUP(D353,[1]STS!$E$9:$AO$1503,37,0)=0),0,VLOOKUP(D353,[1]STS!$E$9:$AO$1503,37,0))</f>
        <v>3.9785184413580281</v>
      </c>
      <c r="H353" s="77" t="str">
        <f>+IF(ISERROR(VLOOKUP(D353,[1]STS!$E$9:$I$1503,5,0)=0),0,VLOOKUP(D353,[1]STS!$E$9:$I$1503,5,0))</f>
        <v>FC</v>
      </c>
      <c r="I353" s="56"/>
      <c r="J353" s="66" t="str">
        <f>VLOOKUP(D353,[1]STS!$E$9:$BC$1359,51,0)</f>
        <v>F18CK</v>
      </c>
      <c r="K353" s="57"/>
      <c r="L353" s="78" t="str">
        <f>+VLOOKUP(N353,'[1]MSTR AKT'!$C$4:$E$460,3,0)</f>
        <v>Nugroho</v>
      </c>
      <c r="M353" s="79">
        <f>+IF(ISERROR(VLOOKUP($N353,'[1]MSTR AKT'!$C$4:$D$460,2,0)=0),0,VLOOKUP($N353,'[1]MSTR AKT'!$C$4:$D$460,2,0))</f>
        <v>1311131311</v>
      </c>
      <c r="N353" s="70" t="s">
        <v>38</v>
      </c>
      <c r="O353" s="58"/>
      <c r="P353" s="59">
        <v>45998</v>
      </c>
      <c r="Q353" s="100">
        <v>3</v>
      </c>
      <c r="R353" s="101">
        <v>3</v>
      </c>
      <c r="S353" s="102">
        <f t="shared" si="18"/>
        <v>300765</v>
      </c>
    </row>
    <row r="354" spans="1:19" x14ac:dyDescent="0.35">
      <c r="A354" s="55" t="s">
        <v>33</v>
      </c>
      <c r="B354" s="55" t="str">
        <f>+VLOOKUP($D354,[1]STS!$A$9:$E$1405,3,0)</f>
        <v>06</v>
      </c>
      <c r="C354" s="86">
        <f>+VLOOKUP($D354,[1]STS!$A$9:$E$1405,4,0)</f>
        <v>20</v>
      </c>
      <c r="D354" s="71" t="s">
        <v>215</v>
      </c>
      <c r="E354" s="97">
        <f>+IF(ISERROR(VLOOKUP($D354,[1]STS!$E$9:$G$1503,3,0)=0),0,VLOOKUP($D354,[1]STS!$E$9:$G$1503,3,0))</f>
        <v>13.9</v>
      </c>
      <c r="F354" s="98">
        <v>13.08</v>
      </c>
      <c r="G354" s="99">
        <f>+IF(ISERROR(VLOOKUP(D354,[1]STS!$E$9:$AO$1503,37,0)=0),0,VLOOKUP(D354,[1]STS!$E$9:$AO$1503,37,0))</f>
        <v>4.211851774691362</v>
      </c>
      <c r="H354" s="77" t="str">
        <f>+IF(ISERROR(VLOOKUP(D354,[1]STS!$E$9:$I$1503,5,0)=0),0,VLOOKUP(D354,[1]STS!$E$9:$I$1503,5,0))</f>
        <v>FC</v>
      </c>
      <c r="I354" s="56"/>
      <c r="J354" s="66" t="str">
        <f>VLOOKUP(D354,[1]STS!$E$9:$BC$1359,51,0)</f>
        <v>F18CK</v>
      </c>
      <c r="K354" s="57"/>
      <c r="L354" s="78" t="str">
        <f>+VLOOKUP(N354,'[1]MSTR AKT'!$C$4:$E$460,3,0)</f>
        <v>Nugroho</v>
      </c>
      <c r="M354" s="79">
        <f>+IF(ISERROR(VLOOKUP($N354,'[1]MSTR AKT'!$C$4:$D$460,2,0)=0),0,VLOOKUP($N354,'[1]MSTR AKT'!$C$4:$D$460,2,0))</f>
        <v>1311131311</v>
      </c>
      <c r="N354" s="70" t="s">
        <v>38</v>
      </c>
      <c r="O354" s="58"/>
      <c r="P354" s="59">
        <v>46003</v>
      </c>
      <c r="Q354" s="100">
        <v>3</v>
      </c>
      <c r="R354" s="101">
        <v>3</v>
      </c>
      <c r="S354" s="102">
        <f t="shared" si="18"/>
        <v>300765</v>
      </c>
    </row>
    <row r="355" spans="1:19" x14ac:dyDescent="0.35">
      <c r="A355" s="55" t="s">
        <v>33</v>
      </c>
      <c r="B355" s="55" t="str">
        <f>+VLOOKUP($D355,[1]STS!$A$9:$E$1405,3,0)</f>
        <v>06</v>
      </c>
      <c r="C355" s="86">
        <f>+VLOOKUP($D355,[1]STS!$A$9:$E$1405,4,0)</f>
        <v>20</v>
      </c>
      <c r="D355" s="69" t="s">
        <v>135</v>
      </c>
      <c r="E355" s="97">
        <f>+IF(ISERROR(VLOOKUP($D355,[1]STS!$E$9:$G$1503,3,0)=0),0,VLOOKUP($D355,[1]STS!$E$9:$G$1503,3,0))</f>
        <v>8.17</v>
      </c>
      <c r="F355" s="98">
        <v>7.61</v>
      </c>
      <c r="G355" s="99">
        <f>+IF(ISERROR(VLOOKUP(D355,[1]STS!$E$9:$AO$1503,37,0)=0),0,VLOOKUP(D355,[1]STS!$E$9:$AO$1503,37,0))</f>
        <v>6.6118517746913614</v>
      </c>
      <c r="H355" s="77" t="str">
        <f>+IF(ISERROR(VLOOKUP(D355,[1]STS!$E$9:$I$1503,5,0)=0),0,VLOOKUP(D355,[1]STS!$E$9:$I$1503,5,0))</f>
        <v>FC</v>
      </c>
      <c r="I355" s="56"/>
      <c r="J355" s="66" t="str">
        <f>VLOOKUP(D355,[1]STS!$E$9:$BC$1359,51,0)</f>
        <v>GP3CK</v>
      </c>
      <c r="K355" s="57"/>
      <c r="L355" s="78" t="str">
        <f>+VLOOKUP(N355,'[1]MSTR AKT'!$C$4:$E$460,3,0)</f>
        <v>Nugroho</v>
      </c>
      <c r="M355" s="79">
        <f>+IF(ISERROR(VLOOKUP($N355,'[1]MSTR AKT'!$C$4:$D$460,2,0)=0),0,VLOOKUP($N355,'[1]MSTR AKT'!$C$4:$D$460,2,0))</f>
        <v>1311131311</v>
      </c>
      <c r="N355" s="70" t="s">
        <v>38</v>
      </c>
      <c r="O355" s="58"/>
      <c r="P355" s="59">
        <v>46003</v>
      </c>
      <c r="Q355" s="100">
        <v>3</v>
      </c>
      <c r="R355" s="101">
        <v>3</v>
      </c>
      <c r="S355" s="102">
        <f t="shared" si="18"/>
        <v>300765</v>
      </c>
    </row>
    <row r="356" spans="1:19" x14ac:dyDescent="0.35">
      <c r="A356" s="55" t="s">
        <v>33</v>
      </c>
      <c r="B356" s="55" t="str">
        <f>+VLOOKUP($D356,[1]STS!$A$9:$E$1405,3,0)</f>
        <v>06</v>
      </c>
      <c r="C356" s="86">
        <f>+VLOOKUP($D356,[1]STS!$A$9:$E$1405,4,0)</f>
        <v>20</v>
      </c>
      <c r="D356" s="69" t="s">
        <v>136</v>
      </c>
      <c r="E356" s="97">
        <f>+IF(ISERROR(VLOOKUP($D356,[1]STS!$E$9:$G$1503,3,0)=0),0,VLOOKUP($D356,[1]STS!$E$9:$G$1503,3,0))</f>
        <v>8.15</v>
      </c>
      <c r="F356" s="98">
        <v>7.35</v>
      </c>
      <c r="G356" s="99">
        <f>+IF(ISERROR(VLOOKUP(D356,[1]STS!$E$9:$AO$1503,37,0)=0),0,VLOOKUP(D356,[1]STS!$E$9:$AO$1503,37,0))</f>
        <v>5.0785184413580282</v>
      </c>
      <c r="H356" s="77" t="str">
        <f>+IF(ISERROR(VLOOKUP(D356,[1]STS!$E$9:$I$1503,5,0)=0),0,VLOOKUP(D356,[1]STS!$E$9:$I$1503,5,0))</f>
        <v>FC</v>
      </c>
      <c r="I356" s="56"/>
      <c r="J356" s="66" t="str">
        <f>VLOOKUP(D356,[1]STS!$E$9:$BC$1359,51,0)</f>
        <v>GP3CK</v>
      </c>
      <c r="K356" s="57"/>
      <c r="L356" s="78" t="str">
        <f>+VLOOKUP(N356,'[1]MSTR AKT'!$C$4:$E$460,3,0)</f>
        <v>Nugroho</v>
      </c>
      <c r="M356" s="79">
        <f>+IF(ISERROR(VLOOKUP($N356,'[1]MSTR AKT'!$C$4:$D$460,2,0)=0),0,VLOOKUP($N356,'[1]MSTR AKT'!$C$4:$D$460,2,0))</f>
        <v>1311131311</v>
      </c>
      <c r="N356" s="70" t="s">
        <v>38</v>
      </c>
      <c r="O356" s="58"/>
      <c r="P356" s="59">
        <v>46002</v>
      </c>
      <c r="Q356" s="100">
        <v>3</v>
      </c>
      <c r="R356" s="101">
        <v>3</v>
      </c>
      <c r="S356" s="102">
        <f t="shared" si="18"/>
        <v>300765</v>
      </c>
    </row>
    <row r="357" spans="1:19" x14ac:dyDescent="0.35">
      <c r="A357" s="55" t="s">
        <v>33</v>
      </c>
      <c r="B357" s="55" t="str">
        <f>+VLOOKUP($D357,[1]STS!$A$9:$E$1405,3,0)</f>
        <v>06</v>
      </c>
      <c r="C357" s="86">
        <f>+VLOOKUP($D357,[1]STS!$A$9:$E$1405,4,0)</f>
        <v>20</v>
      </c>
      <c r="D357" s="69" t="s">
        <v>286</v>
      </c>
      <c r="E357" s="97">
        <f>+IF(ISERROR(VLOOKUP($D357,[1]STS!$E$9:$G$1503,3,0)=0),0,VLOOKUP($D357,[1]STS!$E$9:$G$1503,3,0))</f>
        <v>6.21</v>
      </c>
      <c r="F357" s="98">
        <v>5.89</v>
      </c>
      <c r="G357" s="99">
        <f>+IF(ISERROR(VLOOKUP(D357,[1]STS!$E$9:$AO$1503,37,0)=0),0,VLOOKUP(D357,[1]STS!$E$9:$AO$1503,37,0))</f>
        <v>0.71185177469136152</v>
      </c>
      <c r="H357" s="77" t="str">
        <f>+IF(ISERROR(VLOOKUP(D357,[1]STS!$E$9:$I$1503,5,0)=0),0,VLOOKUP(D357,[1]STS!$E$9:$I$1503,5,0))</f>
        <v>FC</v>
      </c>
      <c r="I357" s="56"/>
      <c r="J357" s="66" t="str">
        <f>VLOOKUP(D357,[1]STS!$E$9:$BC$1359,51,0)</f>
        <v>GP3CK</v>
      </c>
      <c r="K357" s="57"/>
      <c r="L357" s="78" t="str">
        <f>+VLOOKUP(N357,'[1]MSTR AKT'!$C$4:$E$460,3,0)</f>
        <v>Nugroho</v>
      </c>
      <c r="M357" s="79">
        <f>+IF(ISERROR(VLOOKUP($N357,'[1]MSTR AKT'!$C$4:$D$460,2,0)=0),0,VLOOKUP($N357,'[1]MSTR AKT'!$C$4:$D$460,2,0))</f>
        <v>1311131111</v>
      </c>
      <c r="N357" s="70" t="s">
        <v>54</v>
      </c>
      <c r="O357" s="58"/>
      <c r="P357" s="59">
        <v>46001</v>
      </c>
      <c r="Q357" s="100">
        <v>3</v>
      </c>
      <c r="R357" s="101">
        <v>17.669999999999998</v>
      </c>
      <c r="S357" s="102">
        <f t="shared" si="18"/>
        <v>1771505.8499999999</v>
      </c>
    </row>
    <row r="358" spans="1:19" x14ac:dyDescent="0.35">
      <c r="A358" s="55" t="s">
        <v>33</v>
      </c>
      <c r="B358" s="55" t="str">
        <f>+VLOOKUP($D358,[1]STS!$A$9:$E$1405,3,0)</f>
        <v>06</v>
      </c>
      <c r="C358" s="86">
        <f>+VLOOKUP($D358,[1]STS!$A$9:$E$1405,4,0)</f>
        <v>20</v>
      </c>
      <c r="D358" s="69" t="s">
        <v>287</v>
      </c>
      <c r="E358" s="97">
        <f>+IF(ISERROR(VLOOKUP($D358,[1]STS!$E$9:$G$1503,3,0)=0),0,VLOOKUP($D358,[1]STS!$E$9:$G$1503,3,0))</f>
        <v>5.53</v>
      </c>
      <c r="F358" s="98">
        <v>5.39</v>
      </c>
      <c r="G358" s="99">
        <f>+IF(ISERROR(VLOOKUP(D358,[1]STS!$E$9:$AO$1503,37,0)=0),0,VLOOKUP(D358,[1]STS!$E$9:$AO$1503,37,0))</f>
        <v>0.67851844135802819</v>
      </c>
      <c r="H358" s="77" t="str">
        <f>+IF(ISERROR(VLOOKUP(D358,[1]STS!$E$9:$I$1503,5,0)=0),0,VLOOKUP(D358,[1]STS!$E$9:$I$1503,5,0))</f>
        <v>FC</v>
      </c>
      <c r="I358" s="56"/>
      <c r="J358" s="66" t="str">
        <f>VLOOKUP(D358,[1]STS!$E$9:$BC$1359,51,0)</f>
        <v>GP3CK</v>
      </c>
      <c r="K358" s="57"/>
      <c r="L358" s="78" t="str">
        <f>+VLOOKUP(N358,'[1]MSTR AKT'!$C$4:$E$460,3,0)</f>
        <v>Nugroho</v>
      </c>
      <c r="M358" s="79">
        <f>+IF(ISERROR(VLOOKUP($N358,'[1]MSTR AKT'!$C$4:$D$460,2,0)=0),0,VLOOKUP($N358,'[1]MSTR AKT'!$C$4:$D$460,2,0))</f>
        <v>1311131111</v>
      </c>
      <c r="N358" s="70" t="s">
        <v>54</v>
      </c>
      <c r="O358" s="58"/>
      <c r="P358" s="59">
        <v>46002</v>
      </c>
      <c r="Q358" s="100">
        <v>3</v>
      </c>
      <c r="R358" s="101">
        <v>16.169999999999998</v>
      </c>
      <c r="S358" s="102">
        <f t="shared" si="18"/>
        <v>1621123.3499999999</v>
      </c>
    </row>
    <row r="359" spans="1:19" x14ac:dyDescent="0.35">
      <c r="A359" s="55" t="s">
        <v>33</v>
      </c>
      <c r="B359" s="55" t="str">
        <f>+VLOOKUP($D359,[1]STS!$A$9:$E$1405,3,0)</f>
        <v>06</v>
      </c>
      <c r="C359" s="86">
        <f>+VLOOKUP($D359,[1]STS!$A$9:$E$1405,4,0)</f>
        <v>20</v>
      </c>
      <c r="D359" s="69" t="s">
        <v>217</v>
      </c>
      <c r="E359" s="97">
        <f>+IF(ISERROR(VLOOKUP($D359,[1]STS!$E$9:$G$1503,3,0)=0),0,VLOOKUP($D359,[1]STS!$E$9:$G$1503,3,0))</f>
        <v>11.23</v>
      </c>
      <c r="F359" s="98">
        <v>10.15</v>
      </c>
      <c r="G359" s="99">
        <f>+IF(ISERROR(VLOOKUP(D359,[1]STS!$E$9:$AO$1503,37,0)=0),0,VLOOKUP(D359,[1]STS!$E$9:$AO$1503,37,0))</f>
        <v>2.878518441358028</v>
      </c>
      <c r="H359" s="77" t="str">
        <f>+IF(ISERROR(VLOOKUP(D359,[1]STS!$E$9:$I$1503,5,0)=0),0,VLOOKUP(D359,[1]STS!$E$9:$I$1503,5,0))</f>
        <v>FC</v>
      </c>
      <c r="I359" s="56"/>
      <c r="J359" s="66" t="str">
        <f>VLOOKUP(D359,[1]STS!$E$9:$BC$1359,51,0)</f>
        <v>F18CK</v>
      </c>
      <c r="K359" s="57"/>
      <c r="L359" s="78" t="str">
        <f>+VLOOKUP(N359,'[1]MSTR AKT'!$C$4:$E$460,3,0)</f>
        <v>Nugroho</v>
      </c>
      <c r="M359" s="79">
        <f>+IF(ISERROR(VLOOKUP($N359,'[1]MSTR AKT'!$C$4:$D$460,2,0)=0),0,VLOOKUP($N359,'[1]MSTR AKT'!$C$4:$D$460,2,0))</f>
        <v>1311131111</v>
      </c>
      <c r="N359" s="70" t="s">
        <v>54</v>
      </c>
      <c r="O359" s="58"/>
      <c r="P359" s="59">
        <v>45998</v>
      </c>
      <c r="Q359" s="100">
        <v>3</v>
      </c>
      <c r="R359" s="101">
        <v>30.450000000000003</v>
      </c>
      <c r="S359" s="102">
        <f t="shared" si="18"/>
        <v>3052764.7500000005</v>
      </c>
    </row>
    <row r="360" spans="1:19" x14ac:dyDescent="0.35">
      <c r="A360" s="55" t="s">
        <v>33</v>
      </c>
      <c r="B360" s="55" t="str">
        <f>+VLOOKUP($D360,[1]STS!$A$9:$E$1405,3,0)</f>
        <v>06</v>
      </c>
      <c r="C360" s="86">
        <f>+VLOOKUP($D360,[1]STS!$A$9:$E$1405,4,0)</f>
        <v>20</v>
      </c>
      <c r="D360" s="69" t="s">
        <v>216</v>
      </c>
      <c r="E360" s="97">
        <f>+IF(ISERROR(VLOOKUP($D360,[1]STS!$E$9:$G$1503,3,0)=0),0,VLOOKUP($D360,[1]STS!$E$9:$G$1503,3,0))</f>
        <v>9.7799999999999994</v>
      </c>
      <c r="F360" s="98">
        <v>9.17</v>
      </c>
      <c r="G360" s="99">
        <f>+IF(ISERROR(VLOOKUP(D360,[1]STS!$E$9:$AO$1503,37,0)=0),0,VLOOKUP(D360,[1]STS!$E$9:$AO$1503,37,0))</f>
        <v>2.1785184413580283</v>
      </c>
      <c r="H360" s="77" t="str">
        <f>+IF(ISERROR(VLOOKUP(D360,[1]STS!$E$9:$I$1503,5,0)=0),0,VLOOKUP(D360,[1]STS!$E$9:$I$1503,5,0))</f>
        <v>FC</v>
      </c>
      <c r="I360" s="56"/>
      <c r="J360" s="66" t="str">
        <f>VLOOKUP(D360,[1]STS!$E$9:$BC$1359,51,0)</f>
        <v>F18CK</v>
      </c>
      <c r="K360" s="57"/>
      <c r="L360" s="78" t="str">
        <f>+VLOOKUP(N360,'[1]MSTR AKT'!$C$4:$E$460,3,0)</f>
        <v>Nugroho</v>
      </c>
      <c r="M360" s="79">
        <f>+IF(ISERROR(VLOOKUP($N360,'[1]MSTR AKT'!$C$4:$D$460,2,0)=0),0,VLOOKUP($N360,'[1]MSTR AKT'!$C$4:$D$460,2,0))</f>
        <v>1311131111</v>
      </c>
      <c r="N360" s="70" t="s">
        <v>54</v>
      </c>
      <c r="O360" s="58"/>
      <c r="P360" s="59">
        <v>46001</v>
      </c>
      <c r="Q360" s="100">
        <v>3</v>
      </c>
      <c r="R360" s="101">
        <v>27.509999999999998</v>
      </c>
      <c r="S360" s="102">
        <f t="shared" si="18"/>
        <v>2758015.05</v>
      </c>
    </row>
    <row r="361" spans="1:19" x14ac:dyDescent="0.35">
      <c r="A361" s="55" t="s">
        <v>33</v>
      </c>
      <c r="B361" s="55" t="str">
        <f>+VLOOKUP($D361,[1]STS!$A$9:$E$1405,3,0)</f>
        <v>06</v>
      </c>
      <c r="C361" s="86">
        <f>+VLOOKUP($D361,[1]STS!$A$9:$E$1405,4,0)</f>
        <v>20</v>
      </c>
      <c r="D361" s="69" t="s">
        <v>345</v>
      </c>
      <c r="E361" s="97">
        <f>+IF(ISERROR(VLOOKUP($D361,[1]STS!$E$9:$G$1503,3,0)=0),0,VLOOKUP($D361,[1]STS!$E$9:$G$1503,3,0))</f>
        <v>8.4600000000000009</v>
      </c>
      <c r="F361" s="98">
        <v>7.58</v>
      </c>
      <c r="G361" s="99">
        <f>+IF(ISERROR(VLOOKUP(D361,[1]STS!$E$9:$AO$1503,37,0)=0),0,VLOOKUP(D361,[1]STS!$E$9:$AO$1503,37,0))</f>
        <v>0.87851844135802826</v>
      </c>
      <c r="H361" s="77" t="str">
        <f>+IF(ISERROR(VLOOKUP(D361,[1]STS!$E$9:$I$1503,5,0)=0),0,VLOOKUP(D361,[1]STS!$E$9:$I$1503,5,0))</f>
        <v>FC</v>
      </c>
      <c r="I361" s="56"/>
      <c r="J361" s="66" t="str">
        <f>VLOOKUP(D361,[1]STS!$E$9:$BC$1359,51,0)</f>
        <v>F18SS</v>
      </c>
      <c r="K361" s="57"/>
      <c r="L361" s="78" t="str">
        <f>+VLOOKUP(N361,'[1]MSTR AKT'!$C$4:$E$460,3,0)</f>
        <v>Nugroho</v>
      </c>
      <c r="M361" s="79">
        <f>+IF(ISERROR(VLOOKUP($N361,'[1]MSTR AKT'!$C$4:$D$460,2,0)=0),0,VLOOKUP($N361,'[1]MSTR AKT'!$C$4:$D$460,2,0))</f>
        <v>1311131111</v>
      </c>
      <c r="N361" s="70" t="s">
        <v>54</v>
      </c>
      <c r="O361" s="58"/>
      <c r="P361" s="59">
        <v>46002</v>
      </c>
      <c r="Q361" s="100">
        <v>3</v>
      </c>
      <c r="R361" s="101">
        <v>22.740000000000002</v>
      </c>
      <c r="S361" s="102">
        <f t="shared" si="18"/>
        <v>2279798.7000000002</v>
      </c>
    </row>
    <row r="362" spans="1:19" x14ac:dyDescent="0.35">
      <c r="A362" s="55" t="s">
        <v>33</v>
      </c>
      <c r="B362" s="55" t="str">
        <f>+VLOOKUP($D362,[1]STS!$A$9:$E$1405,3,0)</f>
        <v>06</v>
      </c>
      <c r="C362" s="86">
        <f>+VLOOKUP($D362,[1]STS!$A$9:$E$1405,4,0)</f>
        <v>20</v>
      </c>
      <c r="D362" s="69" t="s">
        <v>346</v>
      </c>
      <c r="E362" s="97">
        <f>+IF(ISERROR(VLOOKUP($D362,[1]STS!$E$9:$G$1503,3,0)=0),0,VLOOKUP($D362,[1]STS!$E$9:$G$1503,3,0))</f>
        <v>10.32</v>
      </c>
      <c r="F362" s="98">
        <v>9.42</v>
      </c>
      <c r="G362" s="99">
        <f>+IF(ISERROR(VLOOKUP(D362,[1]STS!$E$9:$AO$1503,37,0)=0),0,VLOOKUP(D362,[1]STS!$E$9:$AO$1503,37,0))</f>
        <v>1.0785184413580282</v>
      </c>
      <c r="H362" s="77" t="str">
        <f>+IF(ISERROR(VLOOKUP(D362,[1]STS!$E$9:$I$1503,5,0)=0),0,VLOOKUP(D362,[1]STS!$E$9:$I$1503,5,0))</f>
        <v>FC</v>
      </c>
      <c r="I362" s="56"/>
      <c r="J362" s="66" t="str">
        <f>VLOOKUP(D362,[1]STS!$E$9:$BC$1359,51,0)</f>
        <v>F18SS</v>
      </c>
      <c r="K362" s="57"/>
      <c r="L362" s="78" t="str">
        <f>+VLOOKUP(N362,'[1]MSTR AKT'!$C$4:$E$460,3,0)</f>
        <v>Nugroho</v>
      </c>
      <c r="M362" s="79">
        <f>+IF(ISERROR(VLOOKUP($N362,'[1]MSTR AKT'!$C$4:$D$460,2,0)=0),0,VLOOKUP($N362,'[1]MSTR AKT'!$C$4:$D$460,2,0))</f>
        <v>1311131111</v>
      </c>
      <c r="N362" s="70" t="s">
        <v>54</v>
      </c>
      <c r="O362" s="58"/>
      <c r="P362" s="59">
        <v>46002</v>
      </c>
      <c r="Q362" s="100">
        <v>3</v>
      </c>
      <c r="R362" s="101">
        <v>28.259999999999998</v>
      </c>
      <c r="S362" s="102">
        <f t="shared" si="18"/>
        <v>2833206.3</v>
      </c>
    </row>
    <row r="363" spans="1:19" x14ac:dyDescent="0.35">
      <c r="A363" s="55" t="s">
        <v>33</v>
      </c>
      <c r="B363" s="55" t="str">
        <f>+VLOOKUP($D363,[1]STS!$A$9:$E$1405,3,0)</f>
        <v>06</v>
      </c>
      <c r="C363" s="86">
        <f>+VLOOKUP($D363,[1]STS!$A$9:$E$1405,4,0)</f>
        <v>21</v>
      </c>
      <c r="D363" s="64" t="s">
        <v>349</v>
      </c>
      <c r="E363" s="104">
        <f>+IF(ISERROR(VLOOKUP($D363,[1]STS!$E$9:$G$1503,3,0)=0),0,VLOOKUP($D363,[1]STS!$E$9:$G$1503,3,0))</f>
        <v>6.68</v>
      </c>
      <c r="F363" s="98">
        <f>+E363</f>
        <v>6.68</v>
      </c>
      <c r="G363" s="99">
        <f>+IF(ISERROR(VLOOKUP(D363,[1]STS!$E$9:$AO$1503,37,0)=0),0,VLOOKUP(D363,[1]STS!$E$9:$AO$1503,37,0))</f>
        <v>1.8118517746913616</v>
      </c>
      <c r="H363" s="82" t="str">
        <f>+IF(ISERROR(VLOOKUP(D363,[1]STS!$E$9:$I$1503,5,0)=0),0,VLOOKUP(D363,[1]STS!$E$9:$I$1503,5,0))</f>
        <v>FC</v>
      </c>
      <c r="I363" s="65"/>
      <c r="J363" s="66" t="str">
        <f>VLOOKUP(D363,[1]STS!$E$9:$BC$1359,51,0)</f>
        <v>F18SB</v>
      </c>
      <c r="K363" s="67"/>
      <c r="L363" s="78" t="str">
        <f>+VLOOKUP(N363,'[1]MSTR AKT'!$C$4:$E$460,3,0)</f>
        <v>Nugroho</v>
      </c>
      <c r="M363" s="83">
        <f>+IF(ISERROR(VLOOKUP($N363,'[1]MSTR AKT'!$C$4:$D$460,2,0)=0),0,VLOOKUP($N363,'[1]MSTR AKT'!$C$4:$D$460,2,0))</f>
        <v>1311131115</v>
      </c>
      <c r="N363" s="72" t="s">
        <v>37</v>
      </c>
      <c r="O363" s="58"/>
      <c r="P363" s="59">
        <v>46000</v>
      </c>
      <c r="Q363" s="100">
        <v>2</v>
      </c>
      <c r="R363" s="101">
        <f>+Q363*F363</f>
        <v>13.36</v>
      </c>
      <c r="S363" s="102">
        <f t="shared" ref="S363:S391" si="19">+R363*100255</f>
        <v>1339406.8</v>
      </c>
    </row>
    <row r="364" spans="1:19" x14ac:dyDescent="0.35">
      <c r="A364" s="55" t="s">
        <v>33</v>
      </c>
      <c r="B364" s="55" t="str">
        <f>+VLOOKUP($D364,[1]STS!$A$9:$E$1405,3,0)</f>
        <v>06</v>
      </c>
      <c r="C364" s="86">
        <f>+VLOOKUP($D364,[1]STS!$A$9:$E$1405,4,0)</f>
        <v>21</v>
      </c>
      <c r="D364" s="64" t="s">
        <v>220</v>
      </c>
      <c r="E364" s="104">
        <f>+IF(ISERROR(VLOOKUP($D364,[1]STS!$E$9:$G$1503,3,0)=0),0,VLOOKUP($D364,[1]STS!$E$9:$G$1503,3,0))</f>
        <v>4.49</v>
      </c>
      <c r="F364" s="98">
        <f>+E364</f>
        <v>4.49</v>
      </c>
      <c r="G364" s="99">
        <f>+IF(ISERROR(VLOOKUP(D364,[1]STS!$E$9:$AO$1503,37,0)=0),0,VLOOKUP(D364,[1]STS!$E$9:$AO$1503,37,0))</f>
        <v>1.8118517746913616</v>
      </c>
      <c r="H364" s="82" t="str">
        <f>+IF(ISERROR(VLOOKUP(D364,[1]STS!$E$9:$I$1503,5,0)=0),0,VLOOKUP(D364,[1]STS!$E$9:$I$1503,5,0))</f>
        <v>FC</v>
      </c>
      <c r="I364" s="65"/>
      <c r="J364" s="66" t="str">
        <f>VLOOKUP(D364,[1]STS!$E$9:$BC$1359,51,0)</f>
        <v>F18CK</v>
      </c>
      <c r="K364" s="67"/>
      <c r="L364" s="78" t="str">
        <f>+VLOOKUP(N364,'[1]MSTR AKT'!$C$4:$E$460,3,0)</f>
        <v>Nugroho</v>
      </c>
      <c r="M364" s="83">
        <f>+IF(ISERROR(VLOOKUP($N364,'[1]MSTR AKT'!$C$4:$D$460,2,0)=0),0,VLOOKUP($N364,'[1]MSTR AKT'!$C$4:$D$460,2,0))</f>
        <v>1311131115</v>
      </c>
      <c r="N364" s="72" t="s">
        <v>37</v>
      </c>
      <c r="O364" s="58"/>
      <c r="P364" s="59">
        <v>46000</v>
      </c>
      <c r="Q364" s="100">
        <v>2</v>
      </c>
      <c r="R364" s="101">
        <f>+Q364*F364</f>
        <v>8.98</v>
      </c>
      <c r="S364" s="102">
        <f t="shared" si="19"/>
        <v>900289.9</v>
      </c>
    </row>
    <row r="365" spans="1:19" x14ac:dyDescent="0.35">
      <c r="A365" s="55" t="s">
        <v>33</v>
      </c>
      <c r="B365" s="55" t="str">
        <f>+VLOOKUP($D365,[1]STS!$A$9:$E$1405,3,0)</f>
        <v>06</v>
      </c>
      <c r="C365" s="86">
        <f>+VLOOKUP($D365,[1]STS!$A$9:$E$1405,4,0)</f>
        <v>21</v>
      </c>
      <c r="D365" s="64" t="s">
        <v>347</v>
      </c>
      <c r="E365" s="104">
        <f>+IF(ISERROR(VLOOKUP($D365,[1]STS!$E$9:$G$1503,3,0)=0),0,VLOOKUP($D365,[1]STS!$E$9:$G$1503,3,0))</f>
        <v>5.74</v>
      </c>
      <c r="F365" s="98">
        <f>+E365</f>
        <v>5.74</v>
      </c>
      <c r="G365" s="99">
        <f>+IF(ISERROR(VLOOKUP(D365,[1]STS!$E$9:$AO$1503,37,0)=0),0,VLOOKUP(D365,[1]STS!$E$9:$AO$1503,37,0))</f>
        <v>2.2785184413580284</v>
      </c>
      <c r="H365" s="82" t="str">
        <f>+IF(ISERROR(VLOOKUP(D365,[1]STS!$E$9:$I$1503,5,0)=0),0,VLOOKUP(D365,[1]STS!$E$9:$I$1503,5,0))</f>
        <v>FC</v>
      </c>
      <c r="I365" s="65"/>
      <c r="J365" s="66" t="str">
        <f>VLOOKUP(D365,[1]STS!$E$9:$BC$1359,51,0)</f>
        <v>F18CK</v>
      </c>
      <c r="K365" s="67"/>
      <c r="L365" s="78" t="str">
        <f>+VLOOKUP(N365,'[1]MSTR AKT'!$C$4:$E$460,3,0)</f>
        <v>Nugroho</v>
      </c>
      <c r="M365" s="83">
        <f>+IF(ISERROR(VLOOKUP($N365,'[1]MSTR AKT'!$C$4:$D$460,2,0)=0),0,VLOOKUP($N365,'[1]MSTR AKT'!$C$4:$D$460,2,0))</f>
        <v>1311131115</v>
      </c>
      <c r="N365" s="72" t="s">
        <v>37</v>
      </c>
      <c r="O365" s="58"/>
      <c r="P365" s="59">
        <v>46004</v>
      </c>
      <c r="Q365" s="100">
        <v>2</v>
      </c>
      <c r="R365" s="101">
        <f>+Q365*F365</f>
        <v>11.48</v>
      </c>
      <c r="S365" s="102">
        <f t="shared" si="19"/>
        <v>1150927.4000000001</v>
      </c>
    </row>
    <row r="366" spans="1:19" x14ac:dyDescent="0.35">
      <c r="A366" s="55" t="s">
        <v>33</v>
      </c>
      <c r="B366" s="55" t="str">
        <f>+VLOOKUP($D366,[1]STS!$A$9:$E$1405,3,0)</f>
        <v>06</v>
      </c>
      <c r="C366" s="86">
        <f>+VLOOKUP($D366,[1]STS!$A$9:$E$1405,4,0)</f>
        <v>21</v>
      </c>
      <c r="D366" s="64" t="s">
        <v>338</v>
      </c>
      <c r="E366" s="104">
        <f>+IF(ISERROR(VLOOKUP($D366,[1]STS!$E$9:$G$1503,3,0)=0),0,VLOOKUP($D366,[1]STS!$E$9:$G$1503,3,0))</f>
        <v>3.89</v>
      </c>
      <c r="F366" s="98">
        <v>466</v>
      </c>
      <c r="G366" s="99">
        <f>+IF(ISERROR(VLOOKUP(D366,[1]STS!$E$9:$AO$1503,37,0)=0),0,VLOOKUP(D366,[1]STS!$E$9:$AO$1503,37,0))</f>
        <v>2.8451851080246948</v>
      </c>
      <c r="H366" s="82" t="str">
        <f>+IF(ISERROR(VLOOKUP(D366,[1]STS!$E$9:$I$1503,5,0)=0),0,VLOOKUP(D366,[1]STS!$E$9:$I$1503,5,0))</f>
        <v>FC</v>
      </c>
      <c r="I366" s="65"/>
      <c r="J366" s="66" t="str">
        <f>VLOOKUP(D366,[1]STS!$E$9:$BC$1359,51,0)</f>
        <v>F18SS</v>
      </c>
      <c r="K366" s="67"/>
      <c r="L366" s="78" t="str">
        <f>+VLOOKUP(N366,'[1]MSTR AKT'!$C$4:$E$460,3,0)</f>
        <v>Widi</v>
      </c>
      <c r="M366" s="83">
        <f>+IF(ISERROR(VLOOKUP($N366,'[1]MSTR AKT'!$C$4:$D$460,2,0)=0),0,VLOOKUP($N366,'[1]MSTR AKT'!$C$4:$D$460,2,0))</f>
        <v>1317111113</v>
      </c>
      <c r="N366" s="72" t="s">
        <v>34</v>
      </c>
      <c r="O366" s="58"/>
      <c r="P366" s="59">
        <v>46001</v>
      </c>
      <c r="Q366" s="100">
        <v>233</v>
      </c>
      <c r="R366" s="101">
        <v>2</v>
      </c>
      <c r="S366" s="102">
        <f t="shared" si="19"/>
        <v>200510</v>
      </c>
    </row>
    <row r="367" spans="1:19" x14ac:dyDescent="0.35">
      <c r="A367" s="55" t="s">
        <v>33</v>
      </c>
      <c r="B367" s="55" t="str">
        <f>+VLOOKUP($D367,[1]STS!$A$9:$E$1405,3,0)</f>
        <v>06</v>
      </c>
      <c r="C367" s="86">
        <f>+VLOOKUP($D367,[1]STS!$A$9:$E$1405,4,0)</f>
        <v>21</v>
      </c>
      <c r="D367" s="64" t="s">
        <v>339</v>
      </c>
      <c r="E367" s="104">
        <f>+IF(ISERROR(VLOOKUP($D367,[1]STS!$E$9:$G$1503,3,0)=0),0,VLOOKUP($D367,[1]STS!$E$9:$G$1503,3,0))</f>
        <v>5.53</v>
      </c>
      <c r="F367" s="98">
        <v>466</v>
      </c>
      <c r="G367" s="99">
        <f>+IF(ISERROR(VLOOKUP(D367,[1]STS!$E$9:$AO$1503,37,0)=0),0,VLOOKUP(D367,[1]STS!$E$9:$AO$1503,37,0))</f>
        <v>2.6451851080246951</v>
      </c>
      <c r="H367" s="82" t="str">
        <f>+IF(ISERROR(VLOOKUP(D367,[1]STS!$E$9:$I$1503,5,0)=0),0,VLOOKUP(D367,[1]STS!$E$9:$I$1503,5,0))</f>
        <v>FC</v>
      </c>
      <c r="I367" s="65"/>
      <c r="J367" s="66" t="str">
        <f>VLOOKUP(D367,[1]STS!$E$9:$BC$1359,51,0)</f>
        <v>F18SS</v>
      </c>
      <c r="K367" s="67"/>
      <c r="L367" s="78" t="str">
        <f>+VLOOKUP(N367,'[1]MSTR AKT'!$C$4:$E$460,3,0)</f>
        <v>Widi</v>
      </c>
      <c r="M367" s="83">
        <f>+IF(ISERROR(VLOOKUP($N367,'[1]MSTR AKT'!$C$4:$D$460,2,0)=0),0,VLOOKUP($N367,'[1]MSTR AKT'!$C$4:$D$460,2,0))</f>
        <v>1317111113</v>
      </c>
      <c r="N367" s="72" t="s">
        <v>34</v>
      </c>
      <c r="O367" s="58"/>
      <c r="P367" s="59">
        <v>46003</v>
      </c>
      <c r="Q367" s="100">
        <v>233</v>
      </c>
      <c r="R367" s="101">
        <v>2</v>
      </c>
      <c r="S367" s="102">
        <f t="shared" si="19"/>
        <v>200510</v>
      </c>
    </row>
    <row r="368" spans="1:19" x14ac:dyDescent="0.35">
      <c r="A368" s="55" t="s">
        <v>33</v>
      </c>
      <c r="B368" s="55" t="str">
        <f>+VLOOKUP($D368,[1]STS!$A$9:$E$1405,3,0)</f>
        <v>06</v>
      </c>
      <c r="C368" s="86">
        <f>+VLOOKUP($D368,[1]STS!$A$9:$E$1405,4,0)</f>
        <v>21</v>
      </c>
      <c r="D368" s="64" t="s">
        <v>343</v>
      </c>
      <c r="E368" s="104">
        <f>+IF(ISERROR(VLOOKUP($D368,[1]STS!$E$9:$G$1503,3,0)=0),0,VLOOKUP($D368,[1]STS!$E$9:$G$1503,3,0))</f>
        <v>8.08</v>
      </c>
      <c r="F368" s="98">
        <v>466</v>
      </c>
      <c r="G368" s="99">
        <f>+IF(ISERROR(VLOOKUP(D368,[1]STS!$E$9:$AO$1503,37,0)=0),0,VLOOKUP(D368,[1]STS!$E$9:$AO$1503,37,0))</f>
        <v>1.7118517746913615</v>
      </c>
      <c r="H368" s="82" t="str">
        <f>+IF(ISERROR(VLOOKUP(D368,[1]STS!$E$9:$I$1503,5,0)=0),0,VLOOKUP(D368,[1]STS!$E$9:$I$1503,5,0))</f>
        <v>FC</v>
      </c>
      <c r="I368" s="65"/>
      <c r="J368" s="66" t="str">
        <f>VLOOKUP(D368,[1]STS!$E$9:$BC$1359,51,0)</f>
        <v>F18SS</v>
      </c>
      <c r="K368" s="67"/>
      <c r="L368" s="78" t="str">
        <f>+VLOOKUP(N368,'[1]MSTR AKT'!$C$4:$E$460,3,0)</f>
        <v>Widi</v>
      </c>
      <c r="M368" s="83">
        <f>+IF(ISERROR(VLOOKUP($N368,'[1]MSTR AKT'!$C$4:$D$460,2,0)=0),0,VLOOKUP($N368,'[1]MSTR AKT'!$C$4:$D$460,2,0))</f>
        <v>1317111113</v>
      </c>
      <c r="N368" s="72" t="s">
        <v>34</v>
      </c>
      <c r="O368" s="58"/>
      <c r="P368" s="59">
        <v>46001</v>
      </c>
      <c r="Q368" s="100">
        <v>233</v>
      </c>
      <c r="R368" s="101">
        <v>2</v>
      </c>
      <c r="S368" s="102">
        <f t="shared" si="19"/>
        <v>200510</v>
      </c>
    </row>
    <row r="369" spans="1:19" x14ac:dyDescent="0.35">
      <c r="A369" s="55" t="s">
        <v>33</v>
      </c>
      <c r="B369" s="55" t="str">
        <f>+VLOOKUP($D369,[1]STS!$A$9:$E$1405,3,0)</f>
        <v>06</v>
      </c>
      <c r="C369" s="86">
        <f>+VLOOKUP($D369,[1]STS!$A$9:$E$1405,4,0)</f>
        <v>21</v>
      </c>
      <c r="D369" s="64" t="s">
        <v>342</v>
      </c>
      <c r="E369" s="104">
        <f>+IF(ISERROR(VLOOKUP($D369,[1]STS!$E$9:$G$1503,3,0)=0),0,VLOOKUP($D369,[1]STS!$E$9:$G$1503,3,0))</f>
        <v>7.13</v>
      </c>
      <c r="F369" s="98">
        <v>466</v>
      </c>
      <c r="G369" s="99">
        <f>+IF(ISERROR(VLOOKUP(D369,[1]STS!$E$9:$AO$1503,37,0)=0),0,VLOOKUP(D369,[1]STS!$E$9:$AO$1503,37,0))</f>
        <v>2.0118517746913613</v>
      </c>
      <c r="H369" s="82" t="str">
        <f>+IF(ISERROR(VLOOKUP(D369,[1]STS!$E$9:$I$1503,5,0)=0),0,VLOOKUP(D369,[1]STS!$E$9:$I$1503,5,0))</f>
        <v>FC</v>
      </c>
      <c r="I369" s="65"/>
      <c r="J369" s="66" t="str">
        <f>VLOOKUP(D369,[1]STS!$E$9:$BC$1359,51,0)</f>
        <v>F18SS</v>
      </c>
      <c r="K369" s="67"/>
      <c r="L369" s="78" t="str">
        <f>+VLOOKUP(N369,'[1]MSTR AKT'!$C$4:$E$460,3,0)</f>
        <v>Widi</v>
      </c>
      <c r="M369" s="83">
        <f>+IF(ISERROR(VLOOKUP($N369,'[1]MSTR AKT'!$C$4:$D$460,2,0)=0),0,VLOOKUP($N369,'[1]MSTR AKT'!$C$4:$D$460,2,0))</f>
        <v>1317111113</v>
      </c>
      <c r="N369" s="72" t="s">
        <v>34</v>
      </c>
      <c r="O369" s="58"/>
      <c r="P369" s="59">
        <v>46004</v>
      </c>
      <c r="Q369" s="100">
        <v>233</v>
      </c>
      <c r="R369" s="101">
        <v>2</v>
      </c>
      <c r="S369" s="102">
        <f t="shared" si="19"/>
        <v>200510</v>
      </c>
    </row>
    <row r="370" spans="1:19" x14ac:dyDescent="0.35">
      <c r="A370" s="55" t="s">
        <v>33</v>
      </c>
      <c r="B370" s="55" t="str">
        <f>+VLOOKUP($D370,[1]STS!$A$9:$E$1405,3,0)</f>
        <v>06</v>
      </c>
      <c r="C370" s="86">
        <f>+VLOOKUP($D370,[1]STS!$A$9:$E$1405,4,0)</f>
        <v>21</v>
      </c>
      <c r="D370" s="64" t="s">
        <v>341</v>
      </c>
      <c r="E370" s="104">
        <f>+IF(ISERROR(VLOOKUP($D370,[1]STS!$E$9:$G$1503,3,0)=0),0,VLOOKUP($D370,[1]STS!$E$9:$G$1503,3,0))</f>
        <v>6.28</v>
      </c>
      <c r="F370" s="98">
        <v>466</v>
      </c>
      <c r="G370" s="99">
        <f>+IF(ISERROR(VLOOKUP(D370,[1]STS!$E$9:$AO$1503,37,0)=0),0,VLOOKUP(D370,[1]STS!$E$9:$AO$1503,37,0))</f>
        <v>2.5118517746913613</v>
      </c>
      <c r="H370" s="82" t="str">
        <f>+IF(ISERROR(VLOOKUP(D370,[1]STS!$E$9:$I$1503,5,0)=0),0,VLOOKUP(D370,[1]STS!$E$9:$I$1503,5,0))</f>
        <v>FC</v>
      </c>
      <c r="I370" s="65"/>
      <c r="J370" s="66" t="str">
        <f>VLOOKUP(D370,[1]STS!$E$9:$BC$1359,51,0)</f>
        <v>F18SB</v>
      </c>
      <c r="K370" s="67"/>
      <c r="L370" s="78" t="str">
        <f>+VLOOKUP(N370,'[1]MSTR AKT'!$C$4:$E$460,3,0)</f>
        <v>Widi</v>
      </c>
      <c r="M370" s="83">
        <f>+IF(ISERROR(VLOOKUP($N370,'[1]MSTR AKT'!$C$4:$D$460,2,0)=0),0,VLOOKUP($N370,'[1]MSTR AKT'!$C$4:$D$460,2,0))</f>
        <v>1317111113</v>
      </c>
      <c r="N370" s="72" t="s">
        <v>34</v>
      </c>
      <c r="O370" s="58"/>
      <c r="P370" s="59">
        <v>46004</v>
      </c>
      <c r="Q370" s="100">
        <v>233</v>
      </c>
      <c r="R370" s="101">
        <v>2</v>
      </c>
      <c r="S370" s="102">
        <f t="shared" si="19"/>
        <v>200510</v>
      </c>
    </row>
    <row r="371" spans="1:19" x14ac:dyDescent="0.35">
      <c r="A371" s="55" t="s">
        <v>33</v>
      </c>
      <c r="B371" s="55" t="str">
        <f>+VLOOKUP($D371,[1]STS!$A$9:$E$1405,3,0)</f>
        <v>06</v>
      </c>
      <c r="C371" s="86">
        <f>+VLOOKUP($D371,[1]STS!$A$9:$E$1405,4,0)</f>
        <v>21</v>
      </c>
      <c r="D371" s="64" t="s">
        <v>101</v>
      </c>
      <c r="E371" s="104">
        <f>+IF(ISERROR(VLOOKUP($D371,[1]STS!$E$9:$G$1503,3,0)=0),0,VLOOKUP($D371,[1]STS!$E$9:$G$1503,3,0))</f>
        <v>5.67</v>
      </c>
      <c r="F371" s="98">
        <v>466</v>
      </c>
      <c r="G371" s="99">
        <f>+IF(ISERROR(VLOOKUP(D371,[1]STS!$E$9:$AO$1503,37,0)=0),0,VLOOKUP(D371,[1]STS!$E$9:$AO$1503,37,0))</f>
        <v>6.1118517746913614</v>
      </c>
      <c r="H371" s="82" t="str">
        <f>+IF(ISERROR(VLOOKUP(D371,[1]STS!$E$9:$I$1503,5,0)=0),0,VLOOKUP(D371,[1]STS!$E$9:$I$1503,5,0))</f>
        <v>FC</v>
      </c>
      <c r="I371" s="65"/>
      <c r="J371" s="66" t="str">
        <f>VLOOKUP(D371,[1]STS!$E$9:$BC$1359,51,0)</f>
        <v>F18SB</v>
      </c>
      <c r="K371" s="67"/>
      <c r="L371" s="78" t="str">
        <f>+VLOOKUP(N371,'[1]MSTR AKT'!$C$4:$E$460,3,0)</f>
        <v>Widi</v>
      </c>
      <c r="M371" s="83">
        <f>+IF(ISERROR(VLOOKUP($N371,'[1]MSTR AKT'!$C$4:$D$460,2,0)=0),0,VLOOKUP($N371,'[1]MSTR AKT'!$C$4:$D$460,2,0))</f>
        <v>1317111113</v>
      </c>
      <c r="N371" s="72" t="s">
        <v>34</v>
      </c>
      <c r="O371" s="58"/>
      <c r="P371" s="59">
        <v>46000</v>
      </c>
      <c r="Q371" s="100">
        <v>233</v>
      </c>
      <c r="R371" s="101">
        <v>2</v>
      </c>
      <c r="S371" s="102">
        <f t="shared" si="19"/>
        <v>200510</v>
      </c>
    </row>
    <row r="372" spans="1:19" x14ac:dyDescent="0.35">
      <c r="A372" s="55" t="s">
        <v>33</v>
      </c>
      <c r="B372" s="55" t="str">
        <f>+VLOOKUP($D372,[1]STS!$A$9:$E$1405,3,0)</f>
        <v>06</v>
      </c>
      <c r="C372" s="86">
        <f>+VLOOKUP($D372,[1]STS!$A$9:$E$1405,4,0)</f>
        <v>21</v>
      </c>
      <c r="D372" s="64" t="s">
        <v>349</v>
      </c>
      <c r="E372" s="104">
        <f>+IF(ISERROR(VLOOKUP($D372,[1]STS!$E$9:$G$1503,3,0)=0),0,VLOOKUP($D372,[1]STS!$E$9:$G$1503,3,0))</f>
        <v>6.68</v>
      </c>
      <c r="F372" s="98">
        <v>466</v>
      </c>
      <c r="G372" s="99">
        <f>+IF(ISERROR(VLOOKUP(D372,[1]STS!$E$9:$AO$1503,37,0)=0),0,VLOOKUP(D372,[1]STS!$E$9:$AO$1503,37,0))</f>
        <v>1.8118517746913616</v>
      </c>
      <c r="H372" s="82" t="str">
        <f>+IF(ISERROR(VLOOKUP(D372,[1]STS!$E$9:$I$1503,5,0)=0),0,VLOOKUP(D372,[1]STS!$E$9:$I$1503,5,0))</f>
        <v>FC</v>
      </c>
      <c r="I372" s="65"/>
      <c r="J372" s="66" t="str">
        <f>VLOOKUP(D372,[1]STS!$E$9:$BC$1359,51,0)</f>
        <v>F18SB</v>
      </c>
      <c r="K372" s="67"/>
      <c r="L372" s="78" t="str">
        <f>+VLOOKUP(N372,'[1]MSTR AKT'!$C$4:$E$460,3,0)</f>
        <v>Widi</v>
      </c>
      <c r="M372" s="83">
        <f>+IF(ISERROR(VLOOKUP($N372,'[1]MSTR AKT'!$C$4:$D$460,2,0)=0),0,VLOOKUP($N372,'[1]MSTR AKT'!$C$4:$D$460,2,0))</f>
        <v>1317111113</v>
      </c>
      <c r="N372" s="72" t="s">
        <v>34</v>
      </c>
      <c r="O372" s="58"/>
      <c r="P372" s="59">
        <v>46001</v>
      </c>
      <c r="Q372" s="100">
        <v>233</v>
      </c>
      <c r="R372" s="101">
        <v>2</v>
      </c>
      <c r="S372" s="102">
        <f t="shared" si="19"/>
        <v>200510</v>
      </c>
    </row>
    <row r="373" spans="1:19" x14ac:dyDescent="0.35">
      <c r="A373" s="55" t="s">
        <v>33</v>
      </c>
      <c r="B373" s="55" t="str">
        <f>+VLOOKUP($D373,[1]STS!$A$9:$E$1405,3,0)</f>
        <v>06</v>
      </c>
      <c r="C373" s="86">
        <f>+VLOOKUP($D373,[1]STS!$A$9:$E$1405,4,0)</f>
        <v>21</v>
      </c>
      <c r="D373" s="64" t="s">
        <v>218</v>
      </c>
      <c r="E373" s="104">
        <f>+IF(ISERROR(VLOOKUP($D373,[1]STS!$E$9:$G$1503,3,0)=0),0,VLOOKUP($D373,[1]STS!$E$9:$G$1503,3,0))</f>
        <v>4.8</v>
      </c>
      <c r="F373" s="98">
        <v>466</v>
      </c>
      <c r="G373" s="99">
        <f>+IF(ISERROR(VLOOKUP(D373,[1]STS!$E$9:$AO$1503,37,0)=0),0,VLOOKUP(D373,[1]STS!$E$9:$AO$1503,37,0))</f>
        <v>4.4785184413580286</v>
      </c>
      <c r="H373" s="82" t="str">
        <f>+IF(ISERROR(VLOOKUP(D373,[1]STS!$E$9:$I$1503,5,0)=0),0,VLOOKUP(D373,[1]STS!$E$9:$I$1503,5,0))</f>
        <v>FC</v>
      </c>
      <c r="I373" s="65"/>
      <c r="J373" s="66" t="str">
        <f>VLOOKUP(D373,[1]STS!$E$9:$BC$1359,51,0)</f>
        <v>F18SB</v>
      </c>
      <c r="K373" s="67"/>
      <c r="L373" s="78" t="str">
        <f>+VLOOKUP(N373,'[1]MSTR AKT'!$C$4:$E$460,3,0)</f>
        <v>Widi</v>
      </c>
      <c r="M373" s="83">
        <f>+IF(ISERROR(VLOOKUP($N373,'[1]MSTR AKT'!$C$4:$D$460,2,0)=0),0,VLOOKUP($N373,'[1]MSTR AKT'!$C$4:$D$460,2,0))</f>
        <v>1317111113</v>
      </c>
      <c r="N373" s="72" t="s">
        <v>34</v>
      </c>
      <c r="O373" s="58"/>
      <c r="P373" s="59">
        <v>45998</v>
      </c>
      <c r="Q373" s="100">
        <v>233</v>
      </c>
      <c r="R373" s="101">
        <v>2</v>
      </c>
      <c r="S373" s="102">
        <f t="shared" si="19"/>
        <v>200510</v>
      </c>
    </row>
    <row r="374" spans="1:19" x14ac:dyDescent="0.35">
      <c r="A374" s="55" t="s">
        <v>33</v>
      </c>
      <c r="B374" s="55" t="str">
        <f>+VLOOKUP($D374,[1]STS!$A$9:$E$1405,3,0)</f>
        <v>06</v>
      </c>
      <c r="C374" s="86">
        <f>+VLOOKUP($D374,[1]STS!$A$9:$E$1405,4,0)</f>
        <v>21</v>
      </c>
      <c r="D374" s="64" t="s">
        <v>219</v>
      </c>
      <c r="E374" s="104">
        <f>+IF(ISERROR(VLOOKUP($D374,[1]STS!$E$9:$G$1503,3,0)=0),0,VLOOKUP($D374,[1]STS!$E$9:$G$1503,3,0))</f>
        <v>5.87</v>
      </c>
      <c r="F374" s="98">
        <v>466</v>
      </c>
      <c r="G374" s="99">
        <f>+IF(ISERROR(VLOOKUP(D374,[1]STS!$E$9:$AO$1503,37,0)=0),0,VLOOKUP(D374,[1]STS!$E$9:$AO$1503,37,0))</f>
        <v>4.4118517746913612</v>
      </c>
      <c r="H374" s="82" t="str">
        <f>+IF(ISERROR(VLOOKUP(D374,[1]STS!$E$9:$I$1503,5,0)=0),0,VLOOKUP(D374,[1]STS!$E$9:$I$1503,5,0))</f>
        <v>FC</v>
      </c>
      <c r="I374" s="65"/>
      <c r="J374" s="66" t="str">
        <f>VLOOKUP(D374,[1]STS!$E$9:$BC$1359,51,0)</f>
        <v>F18SS</v>
      </c>
      <c r="K374" s="67"/>
      <c r="L374" s="78" t="str">
        <f>+VLOOKUP(N374,'[1]MSTR AKT'!$C$4:$E$460,3,0)</f>
        <v>Widi</v>
      </c>
      <c r="M374" s="83">
        <f>+IF(ISERROR(VLOOKUP($N374,'[1]MSTR AKT'!$C$4:$D$460,2,0)=0),0,VLOOKUP($N374,'[1]MSTR AKT'!$C$4:$D$460,2,0))</f>
        <v>1317111113</v>
      </c>
      <c r="N374" s="72" t="s">
        <v>34</v>
      </c>
      <c r="O374" s="58"/>
      <c r="P374" s="59">
        <v>46001</v>
      </c>
      <c r="Q374" s="100">
        <v>233</v>
      </c>
      <c r="R374" s="101">
        <v>2</v>
      </c>
      <c r="S374" s="102">
        <f t="shared" si="19"/>
        <v>200510</v>
      </c>
    </row>
    <row r="375" spans="1:19" x14ac:dyDescent="0.35">
      <c r="A375" s="55" t="s">
        <v>33</v>
      </c>
      <c r="B375" s="55" t="str">
        <f>+VLOOKUP($D375,[1]STS!$A$9:$E$1405,3,0)</f>
        <v>06</v>
      </c>
      <c r="C375" s="86">
        <f>+VLOOKUP($D375,[1]STS!$A$9:$E$1405,4,0)</f>
        <v>21</v>
      </c>
      <c r="D375" s="64" t="s">
        <v>296</v>
      </c>
      <c r="E375" s="104">
        <f>+IF(ISERROR(VLOOKUP($D375,[1]STS!$E$9:$G$1503,3,0)=0),0,VLOOKUP($D375,[1]STS!$E$9:$G$1503,3,0))</f>
        <v>11.61</v>
      </c>
      <c r="F375" s="98">
        <v>466</v>
      </c>
      <c r="G375" s="99">
        <f>+IF(ISERROR(VLOOKUP(D375,[1]STS!$E$9:$AO$1503,37,0)=0),0,VLOOKUP(D375,[1]STS!$E$9:$AO$1503,37,0))</f>
        <v>3.7451851080246947</v>
      </c>
      <c r="H375" s="82" t="str">
        <f>+IF(ISERROR(VLOOKUP(D375,[1]STS!$E$9:$I$1503,5,0)=0),0,VLOOKUP(D375,[1]STS!$E$9:$I$1503,5,0))</f>
        <v>FC</v>
      </c>
      <c r="I375" s="65"/>
      <c r="J375" s="66" t="str">
        <f>VLOOKUP(D375,[1]STS!$E$9:$BC$1359,51,0)</f>
        <v>GP3CK</v>
      </c>
      <c r="K375" s="67"/>
      <c r="L375" s="78" t="str">
        <f>+VLOOKUP(N375,'[1]MSTR AKT'!$C$4:$E$460,3,0)</f>
        <v>Widi</v>
      </c>
      <c r="M375" s="83">
        <f>+IF(ISERROR(VLOOKUP($N375,'[1]MSTR AKT'!$C$4:$D$460,2,0)=0),0,VLOOKUP($N375,'[1]MSTR AKT'!$C$4:$D$460,2,0))</f>
        <v>1317111113</v>
      </c>
      <c r="N375" s="72" t="s">
        <v>34</v>
      </c>
      <c r="O375" s="58"/>
      <c r="P375" s="59">
        <v>46001</v>
      </c>
      <c r="Q375" s="100">
        <v>233</v>
      </c>
      <c r="R375" s="101">
        <v>2</v>
      </c>
      <c r="S375" s="102">
        <f t="shared" si="19"/>
        <v>200510</v>
      </c>
    </row>
    <row r="376" spans="1:19" x14ac:dyDescent="0.35">
      <c r="A376" s="55" t="s">
        <v>33</v>
      </c>
      <c r="B376" s="55" t="str">
        <f>+VLOOKUP($D376,[1]STS!$A$9:$E$1405,3,0)</f>
        <v>06</v>
      </c>
      <c r="C376" s="86">
        <f>+VLOOKUP($D376,[1]STS!$A$9:$E$1405,4,0)</f>
        <v>21</v>
      </c>
      <c r="D376" s="64" t="s">
        <v>297</v>
      </c>
      <c r="E376" s="104">
        <f>+IF(ISERROR(VLOOKUP($D376,[1]STS!$E$9:$G$1503,3,0)=0),0,VLOOKUP($D376,[1]STS!$E$9:$G$1503,3,0))</f>
        <v>6.4</v>
      </c>
      <c r="F376" s="98">
        <v>466</v>
      </c>
      <c r="G376" s="99">
        <f>+IF(ISERROR(VLOOKUP(D376,[1]STS!$E$9:$AO$1503,37,0)=0),0,VLOOKUP(D376,[1]STS!$E$9:$AO$1503,37,0))</f>
        <v>3.9451851080246949</v>
      </c>
      <c r="H376" s="82" t="str">
        <f>+IF(ISERROR(VLOOKUP(D376,[1]STS!$E$9:$I$1503,5,0)=0),0,VLOOKUP(D376,[1]STS!$E$9:$I$1503,5,0))</f>
        <v>FC</v>
      </c>
      <c r="I376" s="65"/>
      <c r="J376" s="66" t="str">
        <f>VLOOKUP(D376,[1]STS!$E$9:$BC$1359,51,0)</f>
        <v>GP3CK</v>
      </c>
      <c r="K376" s="67"/>
      <c r="L376" s="78" t="str">
        <f>+VLOOKUP(N376,'[1]MSTR AKT'!$C$4:$E$460,3,0)</f>
        <v>Widi</v>
      </c>
      <c r="M376" s="83">
        <f>+IF(ISERROR(VLOOKUP($N376,'[1]MSTR AKT'!$C$4:$D$460,2,0)=0),0,VLOOKUP($N376,'[1]MSTR AKT'!$C$4:$D$460,2,0))</f>
        <v>1317111113</v>
      </c>
      <c r="N376" s="72" t="s">
        <v>34</v>
      </c>
      <c r="O376" s="58"/>
      <c r="P376" s="59">
        <v>46001</v>
      </c>
      <c r="Q376" s="100">
        <v>233</v>
      </c>
      <c r="R376" s="101">
        <v>2</v>
      </c>
      <c r="S376" s="102">
        <f t="shared" si="19"/>
        <v>200510</v>
      </c>
    </row>
    <row r="377" spans="1:19" x14ac:dyDescent="0.35">
      <c r="A377" s="55" t="s">
        <v>33</v>
      </c>
      <c r="B377" s="55" t="str">
        <f>+VLOOKUP($D377,[1]STS!$A$9:$E$1405,3,0)</f>
        <v>06</v>
      </c>
      <c r="C377" s="86">
        <f>+VLOOKUP($D377,[1]STS!$A$9:$E$1405,4,0)</f>
        <v>21</v>
      </c>
      <c r="D377" s="64" t="s">
        <v>293</v>
      </c>
      <c r="E377" s="104">
        <f>+IF(ISERROR(VLOOKUP($D377,[1]STS!$E$9:$G$1503,3,0)=0),0,VLOOKUP($D377,[1]STS!$E$9:$G$1503,3,0))</f>
        <v>6.14</v>
      </c>
      <c r="F377" s="98">
        <v>466</v>
      </c>
      <c r="G377" s="99">
        <f>+IF(ISERROR(VLOOKUP(D377,[1]STS!$E$9:$AO$1503,37,0)=0),0,VLOOKUP(D377,[1]STS!$E$9:$AO$1503,37,0))</f>
        <v>4.5118517746913618</v>
      </c>
      <c r="H377" s="82" t="str">
        <f>+IF(ISERROR(VLOOKUP(D377,[1]STS!$E$9:$I$1503,5,0)=0),0,VLOOKUP(D377,[1]STS!$E$9:$I$1503,5,0))</f>
        <v>FC</v>
      </c>
      <c r="I377" s="65"/>
      <c r="J377" s="66" t="str">
        <f>VLOOKUP(D377,[1]STS!$E$9:$BC$1359,51,0)</f>
        <v>F18CK</v>
      </c>
      <c r="K377" s="67"/>
      <c r="L377" s="78" t="str">
        <f>+VLOOKUP(N377,'[1]MSTR AKT'!$C$4:$E$460,3,0)</f>
        <v>Widi</v>
      </c>
      <c r="M377" s="83">
        <f>+IF(ISERROR(VLOOKUP($N377,'[1]MSTR AKT'!$C$4:$D$460,2,0)=0),0,VLOOKUP($N377,'[1]MSTR AKT'!$C$4:$D$460,2,0))</f>
        <v>1317111113</v>
      </c>
      <c r="N377" s="72" t="s">
        <v>34</v>
      </c>
      <c r="O377" s="58"/>
      <c r="P377" s="59">
        <v>46001</v>
      </c>
      <c r="Q377" s="100">
        <v>233</v>
      </c>
      <c r="R377" s="101">
        <v>2</v>
      </c>
      <c r="S377" s="102">
        <f t="shared" si="19"/>
        <v>200510</v>
      </c>
    </row>
    <row r="378" spans="1:19" x14ac:dyDescent="0.35">
      <c r="A378" s="55" t="s">
        <v>33</v>
      </c>
      <c r="B378" s="55" t="str">
        <f>+VLOOKUP($D378,[1]STS!$A$9:$E$1405,3,0)</f>
        <v>06</v>
      </c>
      <c r="C378" s="86">
        <f>+VLOOKUP($D378,[1]STS!$A$9:$E$1405,4,0)</f>
        <v>21</v>
      </c>
      <c r="D378" s="64" t="s">
        <v>290</v>
      </c>
      <c r="E378" s="104">
        <f>+IF(ISERROR(VLOOKUP($D378,[1]STS!$E$9:$G$1503,3,0)=0),0,VLOOKUP($D378,[1]STS!$E$9:$G$1503,3,0))</f>
        <v>6.56</v>
      </c>
      <c r="F378" s="98">
        <v>466</v>
      </c>
      <c r="G378" s="99">
        <f>+IF(ISERROR(VLOOKUP(D378,[1]STS!$E$9:$AO$1503,37,0)=0),0,VLOOKUP(D378,[1]STS!$E$9:$AO$1503,37,0))</f>
        <v>4.211851774691362</v>
      </c>
      <c r="H378" s="82" t="str">
        <f>+IF(ISERROR(VLOOKUP(D378,[1]STS!$E$9:$I$1503,5,0)=0),0,VLOOKUP(D378,[1]STS!$E$9:$I$1503,5,0))</f>
        <v>FC</v>
      </c>
      <c r="I378" s="65"/>
      <c r="J378" s="66" t="str">
        <f>VLOOKUP(D378,[1]STS!$E$9:$BC$1359,51,0)</f>
        <v>F18SS</v>
      </c>
      <c r="K378" s="67"/>
      <c r="L378" s="78" t="str">
        <f>+VLOOKUP(N378,'[1]MSTR AKT'!$C$4:$E$460,3,0)</f>
        <v>Widi</v>
      </c>
      <c r="M378" s="83">
        <f>+IF(ISERROR(VLOOKUP($N378,'[1]MSTR AKT'!$C$4:$D$460,2,0)=0),0,VLOOKUP($N378,'[1]MSTR AKT'!$C$4:$D$460,2,0))</f>
        <v>1317111113</v>
      </c>
      <c r="N378" s="72" t="s">
        <v>34</v>
      </c>
      <c r="O378" s="58"/>
      <c r="P378" s="59">
        <v>46003</v>
      </c>
      <c r="Q378" s="100">
        <v>233</v>
      </c>
      <c r="R378" s="101">
        <v>2</v>
      </c>
      <c r="S378" s="102">
        <f t="shared" si="19"/>
        <v>200510</v>
      </c>
    </row>
    <row r="379" spans="1:19" x14ac:dyDescent="0.35">
      <c r="A379" s="55" t="s">
        <v>33</v>
      </c>
      <c r="B379" s="55" t="str">
        <f>+VLOOKUP($D379,[1]STS!$A$9:$E$1405,3,0)</f>
        <v>06</v>
      </c>
      <c r="C379" s="86">
        <f>+VLOOKUP($D379,[1]STS!$A$9:$E$1405,4,0)</f>
        <v>21</v>
      </c>
      <c r="D379" s="64" t="s">
        <v>340</v>
      </c>
      <c r="E379" s="104">
        <f>+IF(ISERROR(VLOOKUP($D379,[1]STS!$E$9:$G$1503,3,0)=0),0,VLOOKUP($D379,[1]STS!$E$9:$G$1503,3,0))</f>
        <v>4.45</v>
      </c>
      <c r="F379" s="98">
        <v>466</v>
      </c>
      <c r="G379" s="99">
        <f>+IF(ISERROR(VLOOKUP(D379,[1]STS!$E$9:$AO$1503,37,0)=0),0,VLOOKUP(D379,[1]STS!$E$9:$AO$1503,37,0))</f>
        <v>2.8451851080246948</v>
      </c>
      <c r="H379" s="82" t="str">
        <f>+IF(ISERROR(VLOOKUP(D379,[1]STS!$E$9:$I$1503,5,0)=0),0,VLOOKUP(D379,[1]STS!$E$9:$I$1503,5,0))</f>
        <v>FC</v>
      </c>
      <c r="I379" s="65"/>
      <c r="J379" s="66" t="str">
        <f>VLOOKUP(D379,[1]STS!$E$9:$BC$1359,51,0)</f>
        <v>GP3SB</v>
      </c>
      <c r="K379" s="67"/>
      <c r="L379" s="78" t="str">
        <f>+VLOOKUP(N379,'[1]MSTR AKT'!$C$4:$E$460,3,0)</f>
        <v>Widi</v>
      </c>
      <c r="M379" s="83">
        <f>+IF(ISERROR(VLOOKUP($N379,'[1]MSTR AKT'!$C$4:$D$460,2,0)=0),0,VLOOKUP($N379,'[1]MSTR AKT'!$C$4:$D$460,2,0))</f>
        <v>1317111113</v>
      </c>
      <c r="N379" s="72" t="s">
        <v>34</v>
      </c>
      <c r="O379" s="58"/>
      <c r="P379" s="59">
        <v>45999</v>
      </c>
      <c r="Q379" s="100">
        <v>233</v>
      </c>
      <c r="R379" s="101">
        <v>2</v>
      </c>
      <c r="S379" s="102">
        <f t="shared" si="19"/>
        <v>200510</v>
      </c>
    </row>
    <row r="380" spans="1:19" x14ac:dyDescent="0.35">
      <c r="A380" s="55" t="s">
        <v>33</v>
      </c>
      <c r="B380" s="55" t="str">
        <f>+VLOOKUP($D380,[1]STS!$A$9:$E$1405,3,0)</f>
        <v>06</v>
      </c>
      <c r="C380" s="86">
        <f>+VLOOKUP($D380,[1]STS!$A$9:$E$1405,4,0)</f>
        <v>21</v>
      </c>
      <c r="D380" s="64" t="s">
        <v>344</v>
      </c>
      <c r="E380" s="104">
        <f>+IF(ISERROR(VLOOKUP($D380,[1]STS!$E$9:$G$1503,3,0)=0),0,VLOOKUP($D380,[1]STS!$E$9:$G$1503,3,0))</f>
        <v>4.9400000000000004</v>
      </c>
      <c r="F380" s="98">
        <v>466</v>
      </c>
      <c r="G380" s="99">
        <f>+IF(ISERROR(VLOOKUP(D380,[1]STS!$E$9:$AO$1503,37,0)=0),0,VLOOKUP(D380,[1]STS!$E$9:$AO$1503,37,0))</f>
        <v>2.8451851080246948</v>
      </c>
      <c r="H380" s="82" t="str">
        <f>+IF(ISERROR(VLOOKUP(D380,[1]STS!$E$9:$I$1503,5,0)=0),0,VLOOKUP(D380,[1]STS!$E$9:$I$1503,5,0))</f>
        <v>FC</v>
      </c>
      <c r="I380" s="65"/>
      <c r="J380" s="66" t="str">
        <f>VLOOKUP(D380,[1]STS!$E$9:$BC$1359,51,0)</f>
        <v>GP3SB</v>
      </c>
      <c r="K380" s="67"/>
      <c r="L380" s="78" t="str">
        <f>+VLOOKUP(N380,'[1]MSTR AKT'!$C$4:$E$460,3,0)</f>
        <v>Widi</v>
      </c>
      <c r="M380" s="83">
        <f>+IF(ISERROR(VLOOKUP($N380,'[1]MSTR AKT'!$C$4:$D$460,2,0)=0),0,VLOOKUP($N380,'[1]MSTR AKT'!$C$4:$D$460,2,0))</f>
        <v>1317111113</v>
      </c>
      <c r="N380" s="72" t="s">
        <v>34</v>
      </c>
      <c r="O380" s="58"/>
      <c r="P380" s="59">
        <v>46004</v>
      </c>
      <c r="Q380" s="100">
        <v>233</v>
      </c>
      <c r="R380" s="101">
        <v>2</v>
      </c>
      <c r="S380" s="102">
        <f t="shared" si="19"/>
        <v>200510</v>
      </c>
    </row>
    <row r="381" spans="1:19" x14ac:dyDescent="0.35">
      <c r="A381" s="55" t="s">
        <v>33</v>
      </c>
      <c r="B381" s="55" t="str">
        <f>+VLOOKUP($D381,[1]STS!$A$9:$E$1405,3,0)</f>
        <v>06</v>
      </c>
      <c r="C381" s="86">
        <f>+VLOOKUP($D381,[1]STS!$A$9:$E$1405,4,0)</f>
        <v>21</v>
      </c>
      <c r="D381" s="64" t="s">
        <v>291</v>
      </c>
      <c r="E381" s="104">
        <f>+IF(ISERROR(VLOOKUP($D381,[1]STS!$E$9:$G$1503,3,0)=0),0,VLOOKUP($D381,[1]STS!$E$9:$G$1503,3,0))</f>
        <v>6.51</v>
      </c>
      <c r="F381" s="98">
        <v>466</v>
      </c>
      <c r="G381" s="99">
        <f>+IF(ISERROR(VLOOKUP(D381,[1]STS!$E$9:$AO$1503,37,0)=0),0,VLOOKUP(D381,[1]STS!$E$9:$AO$1503,37,0))</f>
        <v>4.0118517746913618</v>
      </c>
      <c r="H381" s="82" t="str">
        <f>+IF(ISERROR(VLOOKUP(D381,[1]STS!$E$9:$I$1503,5,0)=0),0,VLOOKUP(D381,[1]STS!$E$9:$I$1503,5,0))</f>
        <v>FC</v>
      </c>
      <c r="I381" s="65"/>
      <c r="J381" s="66" t="str">
        <f>VLOOKUP(D381,[1]STS!$E$9:$BC$1359,51,0)</f>
        <v>F18SB</v>
      </c>
      <c r="K381" s="67"/>
      <c r="L381" s="78" t="str">
        <f>+VLOOKUP(N381,'[1]MSTR AKT'!$C$4:$E$460,3,0)</f>
        <v>Widi</v>
      </c>
      <c r="M381" s="83">
        <f>+IF(ISERROR(VLOOKUP($N381,'[1]MSTR AKT'!$C$4:$D$460,2,0)=0),0,VLOOKUP($N381,'[1]MSTR AKT'!$C$4:$D$460,2,0))</f>
        <v>1317111113</v>
      </c>
      <c r="N381" s="72" t="s">
        <v>34</v>
      </c>
      <c r="O381" s="58"/>
      <c r="P381" s="59">
        <v>46001</v>
      </c>
      <c r="Q381" s="100">
        <v>233</v>
      </c>
      <c r="R381" s="101">
        <v>2</v>
      </c>
      <c r="S381" s="102">
        <f t="shared" si="19"/>
        <v>200510</v>
      </c>
    </row>
    <row r="382" spans="1:19" x14ac:dyDescent="0.35">
      <c r="A382" s="55" t="s">
        <v>33</v>
      </c>
      <c r="B382" s="55" t="str">
        <f>+VLOOKUP($D382,[1]STS!$A$9:$E$1405,3,0)</f>
        <v>06</v>
      </c>
      <c r="C382" s="86">
        <f>+VLOOKUP($D382,[1]STS!$A$9:$E$1405,4,0)</f>
        <v>21</v>
      </c>
      <c r="D382" s="64" t="s">
        <v>292</v>
      </c>
      <c r="E382" s="104">
        <f>+IF(ISERROR(VLOOKUP($D382,[1]STS!$E$9:$G$1503,3,0)=0),0,VLOOKUP($D382,[1]STS!$E$9:$G$1503,3,0))</f>
        <v>5.68</v>
      </c>
      <c r="F382" s="98">
        <v>466</v>
      </c>
      <c r="G382" s="99">
        <f>+IF(ISERROR(VLOOKUP(D382,[1]STS!$E$9:$AO$1503,37,0)=0),0,VLOOKUP(D382,[1]STS!$E$9:$AO$1503,37,0))</f>
        <v>3.7451851080246947</v>
      </c>
      <c r="H382" s="82" t="str">
        <f>+IF(ISERROR(VLOOKUP(D382,[1]STS!$E$9:$I$1503,5,0)=0),0,VLOOKUP(D382,[1]STS!$E$9:$I$1503,5,0))</f>
        <v>FC</v>
      </c>
      <c r="I382" s="65"/>
      <c r="J382" s="66" t="str">
        <f>VLOOKUP(D382,[1]STS!$E$9:$BC$1359,51,0)</f>
        <v>F18SB</v>
      </c>
      <c r="K382" s="67"/>
      <c r="L382" s="78" t="str">
        <f>+VLOOKUP(N382,'[1]MSTR AKT'!$C$4:$E$460,3,0)</f>
        <v>Widi</v>
      </c>
      <c r="M382" s="83">
        <f>+IF(ISERROR(VLOOKUP($N382,'[1]MSTR AKT'!$C$4:$D$460,2,0)=0),0,VLOOKUP($N382,'[1]MSTR AKT'!$C$4:$D$460,2,0))</f>
        <v>1317111113</v>
      </c>
      <c r="N382" s="72" t="s">
        <v>34</v>
      </c>
      <c r="O382" s="58"/>
      <c r="P382" s="59">
        <v>46001</v>
      </c>
      <c r="Q382" s="100">
        <v>233</v>
      </c>
      <c r="R382" s="101">
        <v>2</v>
      </c>
      <c r="S382" s="102">
        <f t="shared" si="19"/>
        <v>200510</v>
      </c>
    </row>
    <row r="383" spans="1:19" x14ac:dyDescent="0.35">
      <c r="A383" s="55" t="s">
        <v>33</v>
      </c>
      <c r="B383" s="55" t="str">
        <f>+VLOOKUP($D383,[1]STS!$A$9:$E$1405,3,0)</f>
        <v>06</v>
      </c>
      <c r="C383" s="86">
        <f>+VLOOKUP($D383,[1]STS!$A$9:$E$1405,4,0)</f>
        <v>21</v>
      </c>
      <c r="D383" s="64" t="s">
        <v>310</v>
      </c>
      <c r="E383" s="104">
        <f>+IF(ISERROR(VLOOKUP($D383,[1]STS!$E$9:$G$1503,3,0)=0),0,VLOOKUP($D383,[1]STS!$E$9:$G$1503,3,0))</f>
        <v>7.64</v>
      </c>
      <c r="F383" s="98">
        <v>466</v>
      </c>
      <c r="G383" s="99">
        <f>+IF(ISERROR(VLOOKUP(D383,[1]STS!$E$9:$AO$1503,37,0)=0),0,VLOOKUP(D383,[1]STS!$E$9:$AO$1503,37,0))</f>
        <v>3.2785184413580284</v>
      </c>
      <c r="H383" s="82" t="str">
        <f>+IF(ISERROR(VLOOKUP(D383,[1]STS!$E$9:$I$1503,5,0)=0),0,VLOOKUP(D383,[1]STS!$E$9:$I$1503,5,0))</f>
        <v>FC</v>
      </c>
      <c r="I383" s="65"/>
      <c r="J383" s="66" t="str">
        <f>VLOOKUP(D383,[1]STS!$E$9:$BC$1359,51,0)</f>
        <v>F18CK</v>
      </c>
      <c r="K383" s="67"/>
      <c r="L383" s="78" t="str">
        <f>+VLOOKUP(N383,'[1]MSTR AKT'!$C$4:$E$460,3,0)</f>
        <v>Widi</v>
      </c>
      <c r="M383" s="83">
        <f>+IF(ISERROR(VLOOKUP($N383,'[1]MSTR AKT'!$C$4:$D$460,2,0)=0),0,VLOOKUP($N383,'[1]MSTR AKT'!$C$4:$D$460,2,0))</f>
        <v>1317111113</v>
      </c>
      <c r="N383" s="72" t="s">
        <v>34</v>
      </c>
      <c r="O383" s="58"/>
      <c r="P383" s="59">
        <v>46001</v>
      </c>
      <c r="Q383" s="100">
        <v>233</v>
      </c>
      <c r="R383" s="101">
        <v>2</v>
      </c>
      <c r="S383" s="102">
        <f t="shared" si="19"/>
        <v>200510</v>
      </c>
    </row>
    <row r="384" spans="1:19" x14ac:dyDescent="0.35">
      <c r="A384" s="55" t="s">
        <v>33</v>
      </c>
      <c r="B384" s="55" t="str">
        <f>+VLOOKUP($D384,[1]STS!$A$9:$E$1405,3,0)</f>
        <v>06</v>
      </c>
      <c r="C384" s="86">
        <f>+VLOOKUP($D384,[1]STS!$A$9:$E$1405,4,0)</f>
        <v>21</v>
      </c>
      <c r="D384" s="64" t="s">
        <v>311</v>
      </c>
      <c r="E384" s="104">
        <f>+IF(ISERROR(VLOOKUP($D384,[1]STS!$E$9:$G$1503,3,0)=0),0,VLOOKUP($D384,[1]STS!$E$9:$G$1503,3,0))</f>
        <v>15.78</v>
      </c>
      <c r="F384" s="98">
        <v>466</v>
      </c>
      <c r="G384" s="99">
        <f>+IF(ISERROR(VLOOKUP(D384,[1]STS!$E$9:$AO$1503,37,0)=0),0,VLOOKUP(D384,[1]STS!$E$9:$AO$1503,37,0))</f>
        <v>3.4785184413580281</v>
      </c>
      <c r="H384" s="82" t="str">
        <f>+IF(ISERROR(VLOOKUP(D384,[1]STS!$E$9:$I$1503,5,0)=0),0,VLOOKUP(D384,[1]STS!$E$9:$I$1503,5,0))</f>
        <v>FC</v>
      </c>
      <c r="I384" s="65"/>
      <c r="J384" s="66" t="str">
        <f>VLOOKUP(D384,[1]STS!$E$9:$BC$1359,51,0)</f>
        <v>F18CK</v>
      </c>
      <c r="K384" s="67"/>
      <c r="L384" s="78" t="str">
        <f>+VLOOKUP(N384,'[1]MSTR AKT'!$C$4:$E$460,3,0)</f>
        <v>Widi</v>
      </c>
      <c r="M384" s="83">
        <f>+IF(ISERROR(VLOOKUP($N384,'[1]MSTR AKT'!$C$4:$D$460,2,0)=0),0,VLOOKUP($N384,'[1]MSTR AKT'!$C$4:$D$460,2,0))</f>
        <v>1317111113</v>
      </c>
      <c r="N384" s="72" t="s">
        <v>34</v>
      </c>
      <c r="O384" s="58"/>
      <c r="P384" s="59">
        <v>46002</v>
      </c>
      <c r="Q384" s="100">
        <v>233</v>
      </c>
      <c r="R384" s="101">
        <v>2</v>
      </c>
      <c r="S384" s="102">
        <f t="shared" si="19"/>
        <v>200510</v>
      </c>
    </row>
    <row r="385" spans="1:19" x14ac:dyDescent="0.35">
      <c r="A385" s="55" t="s">
        <v>33</v>
      </c>
      <c r="B385" s="55" t="str">
        <f>+VLOOKUP($D385,[1]STS!$A$9:$E$1405,3,0)</f>
        <v>06</v>
      </c>
      <c r="C385" s="86">
        <f>+VLOOKUP($D385,[1]STS!$A$9:$E$1405,4,0)</f>
        <v>21</v>
      </c>
      <c r="D385" s="64" t="s">
        <v>314</v>
      </c>
      <c r="E385" s="104">
        <f>+IF(ISERROR(VLOOKUP($D385,[1]STS!$E$9:$G$1503,3,0)=0),0,VLOOKUP($D385,[1]STS!$E$9:$G$1503,3,0))</f>
        <v>5.56</v>
      </c>
      <c r="F385" s="98">
        <v>466</v>
      </c>
      <c r="G385" s="99">
        <f>+IF(ISERROR(VLOOKUP(D385,[1]STS!$E$9:$AO$1503,37,0)=0),0,VLOOKUP(D385,[1]STS!$E$9:$AO$1503,37,0))</f>
        <v>3.2451851080246947</v>
      </c>
      <c r="H385" s="82" t="str">
        <f>+IF(ISERROR(VLOOKUP(D385,[1]STS!$E$9:$I$1503,5,0)=0),0,VLOOKUP(D385,[1]STS!$E$9:$I$1503,5,0))</f>
        <v>FC</v>
      </c>
      <c r="I385" s="65"/>
      <c r="J385" s="66" t="str">
        <f>VLOOKUP(D385,[1]STS!$E$9:$BC$1359,51,0)</f>
        <v>F18CK</v>
      </c>
      <c r="K385" s="67"/>
      <c r="L385" s="78" t="str">
        <f>+VLOOKUP(N385,'[1]MSTR AKT'!$C$4:$E$460,3,0)</f>
        <v>Widi</v>
      </c>
      <c r="M385" s="83">
        <f>+IF(ISERROR(VLOOKUP($N385,'[1]MSTR AKT'!$C$4:$D$460,2,0)=0),0,VLOOKUP($N385,'[1]MSTR AKT'!$C$4:$D$460,2,0))</f>
        <v>1317111113</v>
      </c>
      <c r="N385" s="72" t="s">
        <v>34</v>
      </c>
      <c r="O385" s="58"/>
      <c r="P385" s="59">
        <v>46002</v>
      </c>
      <c r="Q385" s="100">
        <v>233</v>
      </c>
      <c r="R385" s="101">
        <v>2</v>
      </c>
      <c r="S385" s="102">
        <f t="shared" si="19"/>
        <v>200510</v>
      </c>
    </row>
    <row r="386" spans="1:19" x14ac:dyDescent="0.35">
      <c r="A386" s="55" t="s">
        <v>33</v>
      </c>
      <c r="B386" s="55" t="str">
        <f>+VLOOKUP($D386,[1]STS!$A$9:$E$1405,3,0)</f>
        <v>06</v>
      </c>
      <c r="C386" s="86">
        <f>+VLOOKUP($D386,[1]STS!$A$9:$E$1405,4,0)</f>
        <v>21</v>
      </c>
      <c r="D386" s="64" t="s">
        <v>315</v>
      </c>
      <c r="E386" s="104">
        <f>+IF(ISERROR(VLOOKUP($D386,[1]STS!$E$9:$G$1503,3,0)=0),0,VLOOKUP($D386,[1]STS!$E$9:$G$1503,3,0))</f>
        <v>9.92</v>
      </c>
      <c r="F386" s="98">
        <v>466</v>
      </c>
      <c r="G386" s="99">
        <f>+IF(ISERROR(VLOOKUP(D386,[1]STS!$E$9:$AO$1503,37,0)=0),0,VLOOKUP(D386,[1]STS!$E$9:$AO$1503,37,0))</f>
        <v>3.045185108024695</v>
      </c>
      <c r="H386" s="82" t="str">
        <f>+IF(ISERROR(VLOOKUP(D386,[1]STS!$E$9:$I$1503,5,0)=0),0,VLOOKUP(D386,[1]STS!$E$9:$I$1503,5,0))</f>
        <v>FC</v>
      </c>
      <c r="I386" s="65"/>
      <c r="J386" s="66" t="str">
        <f>VLOOKUP(D386,[1]STS!$E$9:$BC$1359,51,0)</f>
        <v>F18CK</v>
      </c>
      <c r="K386" s="67"/>
      <c r="L386" s="78" t="str">
        <f>+VLOOKUP(N386,'[1]MSTR AKT'!$C$4:$E$460,3,0)</f>
        <v>Widi</v>
      </c>
      <c r="M386" s="83">
        <f>+IF(ISERROR(VLOOKUP($N386,'[1]MSTR AKT'!$C$4:$D$460,2,0)=0),0,VLOOKUP($N386,'[1]MSTR AKT'!$C$4:$D$460,2,0))</f>
        <v>1317111113</v>
      </c>
      <c r="N386" s="72" t="s">
        <v>34</v>
      </c>
      <c r="O386" s="58"/>
      <c r="P386" s="59">
        <v>46001</v>
      </c>
      <c r="Q386" s="100">
        <v>233</v>
      </c>
      <c r="R386" s="101">
        <v>2</v>
      </c>
      <c r="S386" s="102">
        <f t="shared" si="19"/>
        <v>200510</v>
      </c>
    </row>
    <row r="387" spans="1:19" x14ac:dyDescent="0.35">
      <c r="A387" s="55" t="s">
        <v>33</v>
      </c>
      <c r="B387" s="55" t="str">
        <f>+VLOOKUP($D387,[1]STS!$A$9:$E$1405,3,0)</f>
        <v>06</v>
      </c>
      <c r="C387" s="86">
        <f>+VLOOKUP($D387,[1]STS!$A$9:$E$1405,4,0)</f>
        <v>21</v>
      </c>
      <c r="D387" s="64" t="s">
        <v>350</v>
      </c>
      <c r="E387" s="104">
        <f>+IF(ISERROR(VLOOKUP($D387,[1]STS!$E$9:$G$1503,3,0)=0),0,VLOOKUP($D387,[1]STS!$E$9:$G$1503,3,0))</f>
        <v>5.29</v>
      </c>
      <c r="F387" s="98">
        <v>466</v>
      </c>
      <c r="G387" s="99">
        <f>+IF(ISERROR(VLOOKUP(D387,[1]STS!$E$9:$AO$1503,37,0)=0),0,VLOOKUP(D387,[1]STS!$E$9:$AO$1503,37,0))</f>
        <v>2.1451851080246951</v>
      </c>
      <c r="H387" s="82" t="str">
        <f>+IF(ISERROR(VLOOKUP(D387,[1]STS!$E$9:$I$1503,5,0)=0),0,VLOOKUP(D387,[1]STS!$E$9:$I$1503,5,0))</f>
        <v>FC</v>
      </c>
      <c r="I387" s="65"/>
      <c r="J387" s="66" t="str">
        <f>VLOOKUP(D387,[1]STS!$E$9:$BC$1359,51,0)</f>
        <v>GP3SS</v>
      </c>
      <c r="K387" s="67"/>
      <c r="L387" s="78" t="str">
        <f>+VLOOKUP(N387,'[1]MSTR AKT'!$C$4:$E$460,3,0)</f>
        <v>Widi</v>
      </c>
      <c r="M387" s="83">
        <f>+IF(ISERROR(VLOOKUP($N387,'[1]MSTR AKT'!$C$4:$D$460,2,0)=0),0,VLOOKUP($N387,'[1]MSTR AKT'!$C$4:$D$460,2,0))</f>
        <v>1317111113</v>
      </c>
      <c r="N387" s="72" t="s">
        <v>34</v>
      </c>
      <c r="O387" s="58"/>
      <c r="P387" s="59">
        <v>46001</v>
      </c>
      <c r="Q387" s="100">
        <v>233</v>
      </c>
      <c r="R387" s="101">
        <v>2</v>
      </c>
      <c r="S387" s="102">
        <f t="shared" si="19"/>
        <v>200510</v>
      </c>
    </row>
    <row r="388" spans="1:19" x14ac:dyDescent="0.35">
      <c r="A388" s="55" t="s">
        <v>33</v>
      </c>
      <c r="B388" s="55" t="str">
        <f>+VLOOKUP($D388,[1]STS!$A$9:$E$1405,3,0)</f>
        <v>06</v>
      </c>
      <c r="C388" s="86">
        <f>+VLOOKUP($D388,[1]STS!$A$9:$E$1405,4,0)</f>
        <v>21</v>
      </c>
      <c r="D388" s="64" t="s">
        <v>348</v>
      </c>
      <c r="E388" s="104">
        <f>+IF(ISERROR(VLOOKUP($D388,[1]STS!$E$9:$G$1503,3,0)=0),0,VLOOKUP($D388,[1]STS!$E$9:$G$1503,3,0))</f>
        <v>4.84</v>
      </c>
      <c r="F388" s="98">
        <v>466</v>
      </c>
      <c r="G388" s="99">
        <f>+IF(ISERROR(VLOOKUP(D388,[1]STS!$E$9:$AO$1503,37,0)=0),0,VLOOKUP(D388,[1]STS!$E$9:$AO$1503,37,0))</f>
        <v>2.1451851080246951</v>
      </c>
      <c r="H388" s="82" t="str">
        <f>+IF(ISERROR(VLOOKUP(D388,[1]STS!$E$9:$I$1503,5,0)=0),0,VLOOKUP(D388,[1]STS!$E$9:$I$1503,5,0))</f>
        <v>FC</v>
      </c>
      <c r="I388" s="65"/>
      <c r="J388" s="66" t="str">
        <f>VLOOKUP(D388,[1]STS!$E$9:$BC$1359,51,0)</f>
        <v>GP3SS</v>
      </c>
      <c r="K388" s="67"/>
      <c r="L388" s="78" t="str">
        <f>+VLOOKUP(N388,'[1]MSTR AKT'!$C$4:$E$460,3,0)</f>
        <v>Widi</v>
      </c>
      <c r="M388" s="83">
        <f>+IF(ISERROR(VLOOKUP($N388,'[1]MSTR AKT'!$C$4:$D$460,2,0)=0),0,VLOOKUP($N388,'[1]MSTR AKT'!$C$4:$D$460,2,0))</f>
        <v>1317111113</v>
      </c>
      <c r="N388" s="72" t="s">
        <v>34</v>
      </c>
      <c r="O388" s="58"/>
      <c r="P388" s="59">
        <v>46001</v>
      </c>
      <c r="Q388" s="100">
        <v>233</v>
      </c>
      <c r="R388" s="101">
        <v>2</v>
      </c>
      <c r="S388" s="102">
        <f t="shared" si="19"/>
        <v>200510</v>
      </c>
    </row>
    <row r="389" spans="1:19" x14ac:dyDescent="0.35">
      <c r="A389" s="55" t="s">
        <v>33</v>
      </c>
      <c r="B389" s="55" t="str">
        <f>+VLOOKUP($D389,[1]STS!$A$9:$E$1405,3,0)</f>
        <v>06</v>
      </c>
      <c r="C389" s="86">
        <f>+VLOOKUP($D389,[1]STS!$A$9:$E$1405,4,0)</f>
        <v>21</v>
      </c>
      <c r="D389" s="64" t="s">
        <v>347</v>
      </c>
      <c r="E389" s="104">
        <f>+IF(ISERROR(VLOOKUP($D389,[1]STS!$E$9:$G$1503,3,0)=0),0,VLOOKUP($D389,[1]STS!$E$9:$G$1503,3,0))</f>
        <v>5.74</v>
      </c>
      <c r="F389" s="98">
        <v>466</v>
      </c>
      <c r="G389" s="99">
        <f>+IF(ISERROR(VLOOKUP(D389,[1]STS!$E$9:$AO$1503,37,0)=0),0,VLOOKUP(D389,[1]STS!$E$9:$AO$1503,37,0))</f>
        <v>2.2785184413580284</v>
      </c>
      <c r="H389" s="82" t="str">
        <f>+IF(ISERROR(VLOOKUP(D389,[1]STS!$E$9:$I$1503,5,0)=0),0,VLOOKUP(D389,[1]STS!$E$9:$I$1503,5,0))</f>
        <v>FC</v>
      </c>
      <c r="I389" s="65"/>
      <c r="J389" s="66" t="str">
        <f>VLOOKUP(D389,[1]STS!$E$9:$BC$1359,51,0)</f>
        <v>F18CK</v>
      </c>
      <c r="K389" s="67"/>
      <c r="L389" s="78" t="str">
        <f>+VLOOKUP(N389,'[1]MSTR AKT'!$C$4:$E$460,3,0)</f>
        <v>Widi</v>
      </c>
      <c r="M389" s="83">
        <f>+IF(ISERROR(VLOOKUP($N389,'[1]MSTR AKT'!$C$4:$D$460,2,0)=0),0,VLOOKUP($N389,'[1]MSTR AKT'!$C$4:$D$460,2,0))</f>
        <v>1317111113</v>
      </c>
      <c r="N389" s="72" t="s">
        <v>34</v>
      </c>
      <c r="O389" s="58"/>
      <c r="P389" s="59">
        <v>46001</v>
      </c>
      <c r="Q389" s="100">
        <v>233</v>
      </c>
      <c r="R389" s="101">
        <v>2</v>
      </c>
      <c r="S389" s="102">
        <f t="shared" si="19"/>
        <v>200510</v>
      </c>
    </row>
    <row r="390" spans="1:19" x14ac:dyDescent="0.35">
      <c r="A390" s="55" t="s">
        <v>33</v>
      </c>
      <c r="B390" s="55" t="str">
        <f>+VLOOKUP($D390,[1]STS!$A$9:$E$1405,3,0)</f>
        <v>06</v>
      </c>
      <c r="C390" s="86">
        <f>+VLOOKUP($D390,[1]STS!$A$9:$E$1405,4,0)</f>
        <v>21</v>
      </c>
      <c r="D390" s="64" t="s">
        <v>288</v>
      </c>
      <c r="E390" s="104">
        <f>+IF(ISERROR(VLOOKUP($D390,[1]STS!$E$9:$G$1503,3,0)=0),0,VLOOKUP($D390,[1]STS!$E$9:$G$1503,3,0))</f>
        <v>5.31</v>
      </c>
      <c r="F390" s="98">
        <v>466</v>
      </c>
      <c r="G390" s="99">
        <f>+IF(ISERROR(VLOOKUP(D390,[1]STS!$E$9:$AO$1503,37,0)=0),0,VLOOKUP(D390,[1]STS!$E$9:$AO$1503,37,0))</f>
        <v>2.5785184413580282</v>
      </c>
      <c r="H390" s="82" t="str">
        <f>+IF(ISERROR(VLOOKUP(D390,[1]STS!$E$9:$I$1503,5,0)=0),0,VLOOKUP(D390,[1]STS!$E$9:$I$1503,5,0))</f>
        <v>FC</v>
      </c>
      <c r="I390" s="65"/>
      <c r="J390" s="66" t="str">
        <f>VLOOKUP(D390,[1]STS!$E$9:$BC$1359,51,0)</f>
        <v>F18CK</v>
      </c>
      <c r="K390" s="67"/>
      <c r="L390" s="78" t="str">
        <f>+VLOOKUP(N390,'[1]MSTR AKT'!$C$4:$E$460,3,0)</f>
        <v>Widi</v>
      </c>
      <c r="M390" s="83">
        <f>+IF(ISERROR(VLOOKUP($N390,'[1]MSTR AKT'!$C$4:$D$460,2,0)=0),0,VLOOKUP($N390,'[1]MSTR AKT'!$C$4:$D$460,2,0))</f>
        <v>1317111113</v>
      </c>
      <c r="N390" s="72" t="s">
        <v>34</v>
      </c>
      <c r="O390" s="58"/>
      <c r="P390" s="59">
        <v>46001</v>
      </c>
      <c r="Q390" s="100">
        <v>233</v>
      </c>
      <c r="R390" s="101">
        <v>2</v>
      </c>
      <c r="S390" s="102">
        <f t="shared" si="19"/>
        <v>200510</v>
      </c>
    </row>
    <row r="391" spans="1:19" x14ac:dyDescent="0.35">
      <c r="A391" s="55" t="s">
        <v>33</v>
      </c>
      <c r="B391" s="55" t="str">
        <f>+VLOOKUP($D391,[1]STS!$A$9:$E$1405,3,0)</f>
        <v>06</v>
      </c>
      <c r="C391" s="86">
        <f>+VLOOKUP($D391,[1]STS!$A$9:$E$1405,4,0)</f>
        <v>21</v>
      </c>
      <c r="D391" s="64" t="s">
        <v>126</v>
      </c>
      <c r="E391" s="104">
        <f>+IF(ISERROR(VLOOKUP($D391,[1]STS!$E$9:$G$1503,3,0)=0),0,VLOOKUP($D391,[1]STS!$E$9:$G$1503,3,0))</f>
        <v>13.08</v>
      </c>
      <c r="F391" s="98">
        <v>466</v>
      </c>
      <c r="G391" s="99">
        <f>+IF(ISERROR(VLOOKUP(D391,[1]STS!$E$9:$AO$1503,37,0)=0),0,VLOOKUP(D391,[1]STS!$E$9:$AO$1503,37,0))</f>
        <v>5.211851774691362</v>
      </c>
      <c r="H391" s="82" t="str">
        <f>+IF(ISERROR(VLOOKUP(D391,[1]STS!$E$9:$I$1503,5,0)=0),0,VLOOKUP(D391,[1]STS!$E$9:$I$1503,5,0))</f>
        <v>FC</v>
      </c>
      <c r="I391" s="65"/>
      <c r="J391" s="66" t="str">
        <f>VLOOKUP(D391,[1]STS!$E$9:$BC$1359,51,0)</f>
        <v>GP3CK</v>
      </c>
      <c r="K391" s="67"/>
      <c r="L391" s="78" t="str">
        <f>+VLOOKUP(N391,'[1]MSTR AKT'!$C$4:$E$460,3,0)</f>
        <v>Widi</v>
      </c>
      <c r="M391" s="83">
        <f>+IF(ISERROR(VLOOKUP($N391,'[1]MSTR AKT'!$C$4:$D$460,2,0)=0),0,VLOOKUP($N391,'[1]MSTR AKT'!$C$4:$D$460,2,0))</f>
        <v>1317111113</v>
      </c>
      <c r="N391" s="72" t="s">
        <v>34</v>
      </c>
      <c r="O391" s="58"/>
      <c r="P391" s="59">
        <v>46002</v>
      </c>
      <c r="Q391" s="100">
        <v>233</v>
      </c>
      <c r="R391" s="101">
        <v>2</v>
      </c>
      <c r="S391" s="102">
        <f t="shared" si="19"/>
        <v>200510</v>
      </c>
    </row>
    <row r="392" spans="1:19" x14ac:dyDescent="0.35">
      <c r="A392" s="55" t="s">
        <v>33</v>
      </c>
      <c r="B392" s="55" t="str">
        <f>+VLOOKUP($D392,[1]STS!$A$9:$E$1405,3,0)</f>
        <v>06</v>
      </c>
      <c r="C392" s="86">
        <f>+VLOOKUP($D392,[1]STS!$A$9:$E$1405,4,0)</f>
        <v>21</v>
      </c>
      <c r="D392" s="64" t="s">
        <v>220</v>
      </c>
      <c r="E392" s="104">
        <f>+IF(ISERROR(VLOOKUP($D392,[1]STS!$E$9:$G$1503,3,0)=0),0,VLOOKUP($D392,[1]STS!$E$9:$G$1503,3,0))</f>
        <v>4.49</v>
      </c>
      <c r="F392" s="98">
        <v>466</v>
      </c>
      <c r="G392" s="99">
        <f>+IF(ISERROR(VLOOKUP(D392,[1]STS!$E$9:$AO$1503,37,0)=0),0,VLOOKUP(D392,[1]STS!$E$9:$AO$1503,37,0))</f>
        <v>1.8118517746913616</v>
      </c>
      <c r="H392" s="82" t="str">
        <f>+IF(ISERROR(VLOOKUP(D392,[1]STS!$E$9:$I$1503,5,0)=0),0,VLOOKUP(D392,[1]STS!$E$9:$I$1503,5,0))</f>
        <v>FC</v>
      </c>
      <c r="I392" s="65"/>
      <c r="J392" s="66" t="str">
        <f>VLOOKUP(D392,[1]STS!$E$9:$BC$1359,51,0)</f>
        <v>F18CK</v>
      </c>
      <c r="K392" s="67"/>
      <c r="L392" s="78" t="str">
        <f>+VLOOKUP(N392,'[1]MSTR AKT'!$C$4:$E$460,3,0)</f>
        <v>Widi</v>
      </c>
      <c r="M392" s="83">
        <f>+IF(ISERROR(VLOOKUP($N392,'[1]MSTR AKT'!$C$4:$D$460,2,0)=0),0,VLOOKUP($N392,'[1]MSTR AKT'!$C$4:$D$460,2,0))</f>
        <v>1317111113</v>
      </c>
      <c r="N392" s="72" t="s">
        <v>34</v>
      </c>
      <c r="O392" s="58"/>
      <c r="P392" s="59">
        <v>46004</v>
      </c>
      <c r="Q392" s="100">
        <v>233</v>
      </c>
      <c r="R392" s="101">
        <v>2</v>
      </c>
      <c r="S392" s="102">
        <f>+R392*100255</f>
        <v>200510</v>
      </c>
    </row>
    <row r="393" spans="1:19" x14ac:dyDescent="0.35">
      <c r="A393" s="55" t="s">
        <v>33</v>
      </c>
      <c r="B393" s="55" t="str">
        <f>+VLOOKUP($D393,[1]STS!$A$9:$E$1405,3,0)</f>
        <v>06</v>
      </c>
      <c r="C393" s="86">
        <f>+VLOOKUP($D393,[1]STS!$A$9:$E$1405,4,0)</f>
        <v>21</v>
      </c>
      <c r="D393" s="64" t="s">
        <v>341</v>
      </c>
      <c r="E393" s="104">
        <f>+IF(ISERROR(VLOOKUP($D393,[1]STS!$E$9:$G$1503,3,0)=0),0,VLOOKUP($D393,[1]STS!$E$9:$G$1503,3,0))</f>
        <v>6.28</v>
      </c>
      <c r="F393" s="98">
        <v>1.3</v>
      </c>
      <c r="G393" s="99">
        <f>+IF(ISERROR(VLOOKUP(D393,[1]STS!$E$9:$AO$1503,37,0)=0),0,VLOOKUP(D393,[1]STS!$E$9:$AO$1503,37,0))</f>
        <v>2.5118517746913613</v>
      </c>
      <c r="H393" s="82" t="str">
        <f>+IF(ISERROR(VLOOKUP(D393,[1]STS!$E$9:$I$1503,5,0)=0),0,VLOOKUP(D393,[1]STS!$E$9:$I$1503,5,0))</f>
        <v>FC</v>
      </c>
      <c r="I393" s="65"/>
      <c r="J393" s="66" t="str">
        <f>VLOOKUP(D393,[1]STS!$E$9:$BC$1359,51,0)</f>
        <v>F18SB</v>
      </c>
      <c r="K393" s="67"/>
      <c r="L393" s="78" t="str">
        <f>+VLOOKUP(N393,'[1]MSTR AKT'!$C$4:$E$460,3,0)</f>
        <v>Etri 2</v>
      </c>
      <c r="M393" s="83">
        <f>+IF(ISERROR(VLOOKUP($N393,'[1]MSTR AKT'!$C$4:$D$460,2,0)=0),0,VLOOKUP($N393,'[1]MSTR AKT'!$C$4:$D$460,2,0))</f>
        <v>1315131317</v>
      </c>
      <c r="N393" s="72" t="s">
        <v>5</v>
      </c>
      <c r="O393" s="58"/>
      <c r="P393" s="59">
        <v>46000</v>
      </c>
      <c r="Q393" s="100">
        <v>1</v>
      </c>
      <c r="R393" s="101">
        <v>4</v>
      </c>
      <c r="S393" s="102">
        <f>+R393*100255</f>
        <v>401020</v>
      </c>
    </row>
    <row r="394" spans="1:19" x14ac:dyDescent="0.35">
      <c r="A394" s="55" t="s">
        <v>33</v>
      </c>
      <c r="B394" s="55" t="str">
        <f>+VLOOKUP($D394,[1]STS!$A$9:$E$1405,3,0)</f>
        <v>06</v>
      </c>
      <c r="C394" s="86">
        <f>+VLOOKUP($D394,[1]STS!$A$9:$E$1405,4,0)</f>
        <v>21</v>
      </c>
      <c r="D394" s="64" t="s">
        <v>342</v>
      </c>
      <c r="E394" s="104">
        <f>+IF(ISERROR(VLOOKUP($D394,[1]STS!$E$9:$G$1503,3,0)=0),0,VLOOKUP($D394,[1]STS!$E$9:$G$1503,3,0))</f>
        <v>7.13</v>
      </c>
      <c r="F394" s="98">
        <v>1.2560000000000002</v>
      </c>
      <c r="G394" s="99">
        <f>+IF(ISERROR(VLOOKUP(D394,[1]STS!$E$9:$AO$1503,37,0)=0),0,VLOOKUP(D394,[1]STS!$E$9:$AO$1503,37,0))</f>
        <v>2.0118517746913613</v>
      </c>
      <c r="H394" s="82" t="str">
        <f>+IF(ISERROR(VLOOKUP(D394,[1]STS!$E$9:$I$1503,5,0)=0),0,VLOOKUP(D394,[1]STS!$E$9:$I$1503,5,0))</f>
        <v>FC</v>
      </c>
      <c r="I394" s="65"/>
      <c r="J394" s="66" t="str">
        <f>VLOOKUP(D394,[1]STS!$E$9:$BC$1359,51,0)</f>
        <v>F18SS</v>
      </c>
      <c r="K394" s="67"/>
      <c r="L394" s="78" t="str">
        <f>+VLOOKUP(N394,'[1]MSTR AKT'!$C$4:$E$460,3,0)</f>
        <v>Etri 2</v>
      </c>
      <c r="M394" s="83">
        <f>+IF(ISERROR(VLOOKUP($N394,'[1]MSTR AKT'!$C$4:$D$460,2,0)=0),0,VLOOKUP($N394,'[1]MSTR AKT'!$C$4:$D$460,2,0))</f>
        <v>1315131317</v>
      </c>
      <c r="N394" s="72" t="s">
        <v>5</v>
      </c>
      <c r="O394" s="58"/>
      <c r="P394" s="59">
        <v>46001</v>
      </c>
      <c r="Q394" s="100">
        <v>1</v>
      </c>
      <c r="R394" s="101">
        <v>4</v>
      </c>
      <c r="S394" s="102">
        <f>+R394*100255</f>
        <v>401020</v>
      </c>
    </row>
    <row r="395" spans="1:19" x14ac:dyDescent="0.35">
      <c r="A395" s="55" t="s">
        <v>33</v>
      </c>
      <c r="B395" s="55" t="str">
        <f>+VLOOKUP($D395,[1]STS!$A$9:$E$1405,3,0)</f>
        <v>06</v>
      </c>
      <c r="C395" s="86">
        <f>+VLOOKUP($D395,[1]STS!$A$9:$E$1405,4,0)</f>
        <v>21</v>
      </c>
      <c r="D395" s="64" t="s">
        <v>142</v>
      </c>
      <c r="E395" s="104">
        <f>+IF(ISERROR(VLOOKUP($D395,[1]STS!$E$9:$G$1503,3,0)=0),0,VLOOKUP($D395,[1]STS!$E$9:$G$1503,3,0))</f>
        <v>5.1100000000000003</v>
      </c>
      <c r="F395" s="98">
        <v>1.036</v>
      </c>
      <c r="G395" s="99">
        <f>+IF(ISERROR(VLOOKUP(D395,[1]STS!$E$9:$AO$1503,37,0)=0),0,VLOOKUP(D395,[1]STS!$E$9:$AO$1503,37,0))</f>
        <v>3.1785184413580283</v>
      </c>
      <c r="H395" s="82" t="str">
        <f>+IF(ISERROR(VLOOKUP(D395,[1]STS!$E$9:$I$1503,5,0)=0),0,VLOOKUP(D395,[1]STS!$E$9:$I$1503,5,0))</f>
        <v>SC</v>
      </c>
      <c r="I395" s="65"/>
      <c r="J395" s="66" t="str">
        <f>VLOOKUP(D395,[1]STS!$E$9:$BC$1359,51,0)</f>
        <v>F18</v>
      </c>
      <c r="K395" s="67"/>
      <c r="L395" s="78" t="str">
        <f>+VLOOKUP(N395,'[1]MSTR AKT'!$C$4:$E$460,3,0)</f>
        <v>Etri 2</v>
      </c>
      <c r="M395" s="83">
        <f>+IF(ISERROR(VLOOKUP($N395,'[1]MSTR AKT'!$C$4:$D$460,2,0)=0),0,VLOOKUP($N395,'[1]MSTR AKT'!$C$4:$D$460,2,0))</f>
        <v>1315131317</v>
      </c>
      <c r="N395" s="72" t="s">
        <v>5</v>
      </c>
      <c r="O395" s="58"/>
      <c r="P395" s="59">
        <v>45998</v>
      </c>
      <c r="Q395" s="100">
        <v>1</v>
      </c>
      <c r="R395" s="101">
        <v>4</v>
      </c>
      <c r="S395" s="102">
        <f>+R395*100255</f>
        <v>401020</v>
      </c>
    </row>
    <row r="396" spans="1:19" x14ac:dyDescent="0.35">
      <c r="A396" s="55" t="s">
        <v>33</v>
      </c>
      <c r="B396" s="55" t="str">
        <f>+VLOOKUP($D396,[1]STS!$A$9:$E$1405,3,0)</f>
        <v>06</v>
      </c>
      <c r="C396" s="86">
        <f>+VLOOKUP($D396,[1]STS!$A$9:$E$1405,4,0)</f>
        <v>21</v>
      </c>
      <c r="D396" s="64" t="s">
        <v>143</v>
      </c>
      <c r="E396" s="104">
        <f>+IF(ISERROR(VLOOKUP($D396,[1]STS!$E$9:$G$1503,3,0)=0),0,VLOOKUP($D396,[1]STS!$E$9:$G$1503,3,0))</f>
        <v>5.1100000000000003</v>
      </c>
      <c r="F396" s="98">
        <v>1.026</v>
      </c>
      <c r="G396" s="99">
        <f>+IF(ISERROR(VLOOKUP(D396,[1]STS!$E$9:$AO$1503,37,0)=0),0,VLOOKUP(D396,[1]STS!$E$9:$AO$1503,37,0))</f>
        <v>3.1785184413580283</v>
      </c>
      <c r="H396" s="82" t="str">
        <f>+IF(ISERROR(VLOOKUP(D396,[1]STS!$E$9:$I$1503,5,0)=0),0,VLOOKUP(D396,[1]STS!$E$9:$I$1503,5,0))</f>
        <v>SC</v>
      </c>
      <c r="I396" s="65"/>
      <c r="J396" s="66" t="str">
        <f>VLOOKUP(D396,[1]STS!$E$9:$BC$1359,51,0)</f>
        <v>F18</v>
      </c>
      <c r="K396" s="67"/>
      <c r="L396" s="78" t="str">
        <f>+VLOOKUP(N396,'[1]MSTR AKT'!$C$4:$E$460,3,0)</f>
        <v>Etri 2</v>
      </c>
      <c r="M396" s="83">
        <f>+IF(ISERROR(VLOOKUP($N396,'[1]MSTR AKT'!$C$4:$D$460,2,0)=0),0,VLOOKUP($N396,'[1]MSTR AKT'!$C$4:$D$460,2,0))</f>
        <v>1315131317</v>
      </c>
      <c r="N396" s="72" t="s">
        <v>5</v>
      </c>
      <c r="O396" s="58"/>
      <c r="P396" s="59">
        <v>46001</v>
      </c>
      <c r="Q396" s="100">
        <v>1</v>
      </c>
      <c r="R396" s="101">
        <v>4</v>
      </c>
      <c r="S396" s="102">
        <f>+R396*100255</f>
        <v>401020</v>
      </c>
    </row>
    <row r="397" spans="1:19" x14ac:dyDescent="0.35">
      <c r="A397" s="55" t="s">
        <v>33</v>
      </c>
      <c r="B397" s="55" t="str">
        <f>+VLOOKUP($D397,[1]STS!$A$9:$E$1405,3,0)</f>
        <v>06</v>
      </c>
      <c r="C397" s="86">
        <f>+VLOOKUP($D397,[1]STS!$A$9:$E$1405,4,0)</f>
        <v>21</v>
      </c>
      <c r="D397" s="64" t="s">
        <v>144</v>
      </c>
      <c r="E397" s="104">
        <f>+IF(ISERROR(VLOOKUP($D397,[1]STS!$E$9:$G$1503,3,0)=0),0,VLOOKUP($D397,[1]STS!$E$9:$G$1503,3,0))</f>
        <v>10.29</v>
      </c>
      <c r="F397" s="98">
        <v>2.0720000000000001</v>
      </c>
      <c r="G397" s="99">
        <f>+IF(ISERROR(VLOOKUP(D397,[1]STS!$E$9:$AO$1503,37,0)=0),0,VLOOKUP(D397,[1]STS!$E$9:$AO$1503,37,0))</f>
        <v>3.1785184413580283</v>
      </c>
      <c r="H397" s="82" t="str">
        <f>+IF(ISERROR(VLOOKUP(D397,[1]STS!$E$9:$I$1503,5,0)=0),0,VLOOKUP(D397,[1]STS!$E$9:$I$1503,5,0))</f>
        <v>SC</v>
      </c>
      <c r="I397" s="65"/>
      <c r="J397" s="66" t="str">
        <f>VLOOKUP(D397,[1]STS!$E$9:$BC$1359,51,0)</f>
        <v>F18</v>
      </c>
      <c r="K397" s="67"/>
      <c r="L397" s="78" t="str">
        <f>+VLOOKUP(N397,'[1]MSTR AKT'!$C$4:$E$460,3,0)</f>
        <v>Etri 2</v>
      </c>
      <c r="M397" s="83">
        <f>+IF(ISERROR(VLOOKUP($N397,'[1]MSTR AKT'!$C$4:$D$460,2,0)=0),0,VLOOKUP($N397,'[1]MSTR AKT'!$C$4:$D$460,2,0))</f>
        <v>1315131317</v>
      </c>
      <c r="N397" s="72" t="s">
        <v>5</v>
      </c>
      <c r="O397" s="58"/>
      <c r="P397" s="59">
        <v>46001</v>
      </c>
      <c r="Q397" s="100">
        <v>1</v>
      </c>
      <c r="R397" s="101">
        <v>4</v>
      </c>
      <c r="S397" s="102">
        <f t="shared" ref="S397:S413" si="20">+R397*100255</f>
        <v>401020</v>
      </c>
    </row>
    <row r="398" spans="1:19" x14ac:dyDescent="0.35">
      <c r="A398" s="55" t="s">
        <v>33</v>
      </c>
      <c r="B398" s="55" t="str">
        <f>+VLOOKUP($D398,[1]STS!$A$9:$E$1405,3,0)</f>
        <v>06</v>
      </c>
      <c r="C398" s="86">
        <f>+VLOOKUP($D398,[1]STS!$A$9:$E$1405,4,0)</f>
        <v>21</v>
      </c>
      <c r="D398" s="64" t="s">
        <v>140</v>
      </c>
      <c r="E398" s="104">
        <f>+IF(ISERROR(VLOOKUP($D398,[1]STS!$E$9:$G$1503,3,0)=0),0,VLOOKUP($D398,[1]STS!$E$9:$G$1503,3,0))</f>
        <v>13.33</v>
      </c>
      <c r="F398" s="98">
        <v>2.7840000000000003</v>
      </c>
      <c r="G398" s="99">
        <f>+IF(ISERROR(VLOOKUP(D398,[1]STS!$E$9:$AO$1503,37,0)=0),0,VLOOKUP(D398,[1]STS!$E$9:$AO$1503,37,0))</f>
        <v>3.4451851080246949</v>
      </c>
      <c r="H398" s="82" t="str">
        <f>+IF(ISERROR(VLOOKUP(D398,[1]STS!$E$9:$I$1503,5,0)=0),0,VLOOKUP(D398,[1]STS!$E$9:$I$1503,5,0))</f>
        <v>SC</v>
      </c>
      <c r="I398" s="65"/>
      <c r="J398" s="66" t="str">
        <f>VLOOKUP(D398,[1]STS!$E$9:$BC$1359,51,0)</f>
        <v>F18</v>
      </c>
      <c r="K398" s="67"/>
      <c r="L398" s="78" t="str">
        <f>+VLOOKUP(N398,'[1]MSTR AKT'!$C$4:$E$460,3,0)</f>
        <v>Etri 2</v>
      </c>
      <c r="M398" s="83">
        <f>+IF(ISERROR(VLOOKUP($N398,'[1]MSTR AKT'!$C$4:$D$460,2,0)=0),0,VLOOKUP($N398,'[1]MSTR AKT'!$C$4:$D$460,2,0))</f>
        <v>1315131317</v>
      </c>
      <c r="N398" s="72" t="s">
        <v>5</v>
      </c>
      <c r="O398" s="58"/>
      <c r="P398" s="59">
        <v>46001</v>
      </c>
      <c r="Q398" s="100">
        <v>1</v>
      </c>
      <c r="R398" s="101">
        <v>4</v>
      </c>
      <c r="S398" s="102">
        <f t="shared" si="20"/>
        <v>401020</v>
      </c>
    </row>
    <row r="399" spans="1:19" x14ac:dyDescent="0.35">
      <c r="A399" s="55" t="s">
        <v>33</v>
      </c>
      <c r="B399" s="55" t="str">
        <f>+VLOOKUP($D399,[1]STS!$A$9:$E$1405,3,0)</f>
        <v>06</v>
      </c>
      <c r="C399" s="86">
        <f>+VLOOKUP($D399,[1]STS!$A$9:$E$1405,4,0)</f>
        <v>21</v>
      </c>
      <c r="D399" s="64" t="s">
        <v>141</v>
      </c>
      <c r="E399" s="104">
        <f>+IF(ISERROR(VLOOKUP($D399,[1]STS!$E$9:$G$1503,3,0)=0),0,VLOOKUP($D399,[1]STS!$E$9:$G$1503,3,0))</f>
        <v>7.07</v>
      </c>
      <c r="F399" s="98">
        <v>1.4460000000000002</v>
      </c>
      <c r="G399" s="99">
        <f>+IF(ISERROR(VLOOKUP(D399,[1]STS!$E$9:$AO$1503,37,0)=0),0,VLOOKUP(D399,[1]STS!$E$9:$AO$1503,37,0))</f>
        <v>2.045185108024695</v>
      </c>
      <c r="H399" s="82" t="str">
        <f>+IF(ISERROR(VLOOKUP(D399,[1]STS!$E$9:$I$1503,5,0)=0),0,VLOOKUP(D399,[1]STS!$E$9:$I$1503,5,0))</f>
        <v>SC</v>
      </c>
      <c r="I399" s="65"/>
      <c r="J399" s="66" t="str">
        <f>VLOOKUP(D399,[1]STS!$E$9:$BC$1359,51,0)</f>
        <v>F18</v>
      </c>
      <c r="K399" s="67"/>
      <c r="L399" s="78" t="str">
        <f>+VLOOKUP(N399,'[1]MSTR AKT'!$C$4:$E$460,3,0)</f>
        <v>Etri 2</v>
      </c>
      <c r="M399" s="83">
        <f>+IF(ISERROR(VLOOKUP($N399,'[1]MSTR AKT'!$C$4:$D$460,2,0)=0),0,VLOOKUP($N399,'[1]MSTR AKT'!$C$4:$D$460,2,0))</f>
        <v>1315131317</v>
      </c>
      <c r="N399" s="72" t="s">
        <v>5</v>
      </c>
      <c r="O399" s="58"/>
      <c r="P399" s="59">
        <v>46001</v>
      </c>
      <c r="Q399" s="100">
        <v>1</v>
      </c>
      <c r="R399" s="101">
        <v>4</v>
      </c>
      <c r="S399" s="102">
        <f t="shared" si="20"/>
        <v>401020</v>
      </c>
    </row>
    <row r="400" spans="1:19" x14ac:dyDescent="0.35">
      <c r="A400" s="55" t="s">
        <v>33</v>
      </c>
      <c r="B400" s="55" t="str">
        <f>+VLOOKUP($D400,[1]STS!$A$9:$E$1405,3,0)</f>
        <v>06</v>
      </c>
      <c r="C400" s="86">
        <f>+VLOOKUP($D400,[1]STS!$A$9:$E$1405,4,0)</f>
        <v>21</v>
      </c>
      <c r="D400" s="64" t="s">
        <v>138</v>
      </c>
      <c r="E400" s="104">
        <f>+IF(ISERROR(VLOOKUP($D400,[1]STS!$E$9:$G$1503,3,0)=0),0,VLOOKUP($D400,[1]STS!$E$9:$G$1503,3,0))</f>
        <v>5.57</v>
      </c>
      <c r="F400" s="98">
        <v>1.1140000000000001</v>
      </c>
      <c r="G400" s="99">
        <f>+IF(ISERROR(VLOOKUP(D400,[1]STS!$E$9:$AO$1503,37,0)=0),0,VLOOKUP(D400,[1]STS!$E$9:$AO$1503,37,0))</f>
        <v>0.24518510802469487</v>
      </c>
      <c r="H400" s="82" t="str">
        <f>+IF(ISERROR(VLOOKUP(D400,[1]STS!$E$9:$I$1503,5,0)=0),0,VLOOKUP(D400,[1]STS!$E$9:$I$1503,5,0))</f>
        <v>SC</v>
      </c>
      <c r="I400" s="65"/>
      <c r="J400" s="66" t="str">
        <f>VLOOKUP(D400,[1]STS!$E$9:$BC$1359,51,0)</f>
        <v>F18</v>
      </c>
      <c r="K400" s="67"/>
      <c r="L400" s="78" t="str">
        <f>+VLOOKUP(N400,'[1]MSTR AKT'!$C$4:$E$460,3,0)</f>
        <v>Etri 2</v>
      </c>
      <c r="M400" s="83">
        <f>+IF(ISERROR(VLOOKUP($N400,'[1]MSTR AKT'!$C$4:$D$460,2,0)=0),0,VLOOKUP($N400,'[1]MSTR AKT'!$C$4:$D$460,2,0))</f>
        <v>1315131317</v>
      </c>
      <c r="N400" s="72" t="s">
        <v>5</v>
      </c>
      <c r="O400" s="58"/>
      <c r="P400" s="59">
        <v>46003</v>
      </c>
      <c r="Q400" s="100">
        <v>1</v>
      </c>
      <c r="R400" s="101">
        <v>4</v>
      </c>
      <c r="S400" s="102">
        <f t="shared" si="20"/>
        <v>401020</v>
      </c>
    </row>
    <row r="401" spans="1:19" x14ac:dyDescent="0.35">
      <c r="A401" s="55" t="s">
        <v>33</v>
      </c>
      <c r="B401" s="55" t="str">
        <f>+VLOOKUP($D401,[1]STS!$A$9:$E$1405,3,0)</f>
        <v>06</v>
      </c>
      <c r="C401" s="86">
        <f>+VLOOKUP($D401,[1]STS!$A$9:$E$1405,4,0)</f>
        <v>21</v>
      </c>
      <c r="D401" s="64" t="s">
        <v>139</v>
      </c>
      <c r="E401" s="104">
        <f>+IF(ISERROR(VLOOKUP($D401,[1]STS!$E$9:$G$1503,3,0)=0),0,VLOOKUP($D401,[1]STS!$E$9:$G$1503,3,0))</f>
        <v>7.62</v>
      </c>
      <c r="F401" s="98">
        <v>1.524</v>
      </c>
      <c r="G401" s="99">
        <f>+IF(ISERROR(VLOOKUP(D401,[1]STS!$E$9:$AO$1503,37,0)=0),0,VLOOKUP(D401,[1]STS!$E$9:$AO$1503,37,0))</f>
        <v>0.24518510802469487</v>
      </c>
      <c r="H401" s="82" t="str">
        <f>+IF(ISERROR(VLOOKUP(D401,[1]STS!$E$9:$I$1503,5,0)=0),0,VLOOKUP(D401,[1]STS!$E$9:$I$1503,5,0))</f>
        <v>SC</v>
      </c>
      <c r="I401" s="65"/>
      <c r="J401" s="66" t="str">
        <f>VLOOKUP(D401,[1]STS!$E$9:$BC$1359,51,0)</f>
        <v>F18</v>
      </c>
      <c r="K401" s="67"/>
      <c r="L401" s="78" t="str">
        <f>+VLOOKUP(N401,'[1]MSTR AKT'!$C$4:$E$460,3,0)</f>
        <v>Etri 2</v>
      </c>
      <c r="M401" s="83">
        <f>+IF(ISERROR(VLOOKUP($N401,'[1]MSTR AKT'!$C$4:$D$460,2,0)=0),0,VLOOKUP($N401,'[1]MSTR AKT'!$C$4:$D$460,2,0))</f>
        <v>1315131317</v>
      </c>
      <c r="N401" s="72" t="s">
        <v>5</v>
      </c>
      <c r="O401" s="58"/>
      <c r="P401" s="59">
        <v>45999</v>
      </c>
      <c r="Q401" s="100">
        <v>1</v>
      </c>
      <c r="R401" s="101">
        <v>4</v>
      </c>
      <c r="S401" s="102">
        <f t="shared" si="20"/>
        <v>401020</v>
      </c>
    </row>
    <row r="402" spans="1:19" x14ac:dyDescent="0.35">
      <c r="A402" s="55" t="s">
        <v>33</v>
      </c>
      <c r="B402" s="55" t="str">
        <f>+VLOOKUP($D402,[1]STS!$A$9:$E$1405,3,0)</f>
        <v>06</v>
      </c>
      <c r="C402" s="86">
        <f>+VLOOKUP($D402,[1]STS!$A$9:$E$1405,4,0)</f>
        <v>21</v>
      </c>
      <c r="D402" s="64" t="s">
        <v>289</v>
      </c>
      <c r="E402" s="104">
        <f>+IF(ISERROR(VLOOKUP($D402,[1]STS!$E$9:$G$1503,3,0)=0),0,VLOOKUP($D402,[1]STS!$E$9:$G$1503,3,0))</f>
        <v>7.59</v>
      </c>
      <c r="F402" s="98">
        <v>1.5960000000000001</v>
      </c>
      <c r="G402" s="99">
        <f>+IF(ISERROR(VLOOKUP(D402,[1]STS!$E$9:$AO$1503,37,0)=0),0,VLOOKUP(D402,[1]STS!$E$9:$AO$1503,37,0))</f>
        <v>4.211851774691362</v>
      </c>
      <c r="H402" s="82" t="str">
        <f>+IF(ISERROR(VLOOKUP(D402,[1]STS!$E$9:$I$1503,5,0)=0),0,VLOOKUP(D402,[1]STS!$E$9:$I$1503,5,0))</f>
        <v>SC</v>
      </c>
      <c r="I402" s="65"/>
      <c r="J402" s="66" t="str">
        <f>VLOOKUP(D402,[1]STS!$E$9:$BC$1359,51,0)</f>
        <v>F18</v>
      </c>
      <c r="K402" s="67"/>
      <c r="L402" s="78" t="str">
        <f>+VLOOKUP(N402,'[1]MSTR AKT'!$C$4:$E$460,3,0)</f>
        <v>Etri 2</v>
      </c>
      <c r="M402" s="83">
        <f>+IF(ISERROR(VLOOKUP($N402,'[1]MSTR AKT'!$C$4:$D$460,2,0)=0),0,VLOOKUP($N402,'[1]MSTR AKT'!$C$4:$D$460,2,0))</f>
        <v>1315131317</v>
      </c>
      <c r="N402" s="72" t="s">
        <v>5</v>
      </c>
      <c r="O402" s="58"/>
      <c r="P402" s="59">
        <v>46004</v>
      </c>
      <c r="Q402" s="100">
        <v>1</v>
      </c>
      <c r="R402" s="101">
        <v>4</v>
      </c>
      <c r="S402" s="102">
        <f t="shared" si="20"/>
        <v>401020</v>
      </c>
    </row>
    <row r="403" spans="1:19" x14ac:dyDescent="0.35">
      <c r="A403" s="55" t="s">
        <v>33</v>
      </c>
      <c r="B403" s="55" t="str">
        <f>+VLOOKUP($D403,[1]STS!$A$9:$E$1405,3,0)</f>
        <v>06</v>
      </c>
      <c r="C403" s="86">
        <f>+VLOOKUP($D403,[1]STS!$A$9:$E$1405,4,0)</f>
        <v>21</v>
      </c>
      <c r="D403" s="64" t="s">
        <v>137</v>
      </c>
      <c r="E403" s="104">
        <f>+IF(ISERROR(VLOOKUP($D403,[1]STS!$E$9:$G$1503,3,0)=0),0,VLOOKUP($D403,[1]STS!$E$9:$G$1503,3,0))</f>
        <v>8.1199999999999992</v>
      </c>
      <c r="F403" s="98">
        <v>1.6539999999999999</v>
      </c>
      <c r="G403" s="99">
        <f>+IF(ISERROR(VLOOKUP(D403,[1]STS!$E$9:$AO$1503,37,0)=0),0,VLOOKUP(D403,[1]STS!$E$9:$AO$1503,37,0))</f>
        <v>4.0118517746913618</v>
      </c>
      <c r="H403" s="82" t="str">
        <f>+IF(ISERROR(VLOOKUP(D403,[1]STS!$E$9:$I$1503,5,0)=0),0,VLOOKUP(D403,[1]STS!$E$9:$I$1503,5,0))</f>
        <v>SC</v>
      </c>
      <c r="I403" s="65"/>
      <c r="J403" s="66" t="str">
        <f>VLOOKUP(D403,[1]STS!$E$9:$BC$1359,51,0)</f>
        <v>F18</v>
      </c>
      <c r="K403" s="67"/>
      <c r="L403" s="78" t="str">
        <f>+VLOOKUP(N403,'[1]MSTR AKT'!$C$4:$E$460,3,0)</f>
        <v>Etri 2</v>
      </c>
      <c r="M403" s="83">
        <f>+IF(ISERROR(VLOOKUP($N403,'[1]MSTR AKT'!$C$4:$D$460,2,0)=0),0,VLOOKUP($N403,'[1]MSTR AKT'!$C$4:$D$460,2,0))</f>
        <v>1315131317</v>
      </c>
      <c r="N403" s="72" t="s">
        <v>5</v>
      </c>
      <c r="O403" s="58"/>
      <c r="P403" s="59">
        <v>46001</v>
      </c>
      <c r="Q403" s="100">
        <v>1</v>
      </c>
      <c r="R403" s="101">
        <v>4</v>
      </c>
      <c r="S403" s="102">
        <f t="shared" si="20"/>
        <v>401020</v>
      </c>
    </row>
    <row r="404" spans="1:19" x14ac:dyDescent="0.35">
      <c r="A404" s="55" t="s">
        <v>33</v>
      </c>
      <c r="B404" s="55" t="str">
        <f>+VLOOKUP($D404,[1]STS!$A$9:$E$1405,3,0)</f>
        <v>06</v>
      </c>
      <c r="C404" s="86">
        <f>+VLOOKUP($D404,[1]STS!$A$9:$E$1405,4,0)</f>
        <v>21</v>
      </c>
      <c r="D404" s="64" t="s">
        <v>312</v>
      </c>
      <c r="E404" s="104">
        <f>+IF(ISERROR(VLOOKUP($D404,[1]STS!$E$9:$G$1503,3,0)=0),0,VLOOKUP($D404,[1]STS!$E$9:$G$1503,3,0))</f>
        <v>9.0399999999999991</v>
      </c>
      <c r="F404" s="98">
        <v>1.7480000000000002</v>
      </c>
      <c r="G404" s="99">
        <f>+IF(ISERROR(VLOOKUP(D404,[1]STS!$E$9:$AO$1503,37,0)=0),0,VLOOKUP(D404,[1]STS!$E$9:$AO$1503,37,0))</f>
        <v>1.1118517746913616</v>
      </c>
      <c r="H404" s="82" t="str">
        <f>+IF(ISERROR(VLOOKUP(D404,[1]STS!$E$9:$I$1503,5,0)=0),0,VLOOKUP(D404,[1]STS!$E$9:$I$1503,5,0))</f>
        <v>FC</v>
      </c>
      <c r="I404" s="65"/>
      <c r="J404" s="66" t="str">
        <f>VLOOKUP(D404,[1]STS!$E$9:$BC$1359,51,0)</f>
        <v>F18CK</v>
      </c>
      <c r="K404" s="67"/>
      <c r="L404" s="78" t="str">
        <f>+VLOOKUP(N404,'[1]MSTR AKT'!$C$4:$E$460,3,0)</f>
        <v>Etri 2</v>
      </c>
      <c r="M404" s="83">
        <f>+IF(ISERROR(VLOOKUP($N404,'[1]MSTR AKT'!$C$4:$D$460,2,0)=0),0,VLOOKUP($N404,'[1]MSTR AKT'!$C$4:$D$460,2,0))</f>
        <v>1315131317</v>
      </c>
      <c r="N404" s="72" t="s">
        <v>5</v>
      </c>
      <c r="O404" s="58"/>
      <c r="P404" s="59">
        <v>46001</v>
      </c>
      <c r="Q404" s="100">
        <v>1</v>
      </c>
      <c r="R404" s="101">
        <v>4</v>
      </c>
      <c r="S404" s="102">
        <f t="shared" si="20"/>
        <v>401020</v>
      </c>
    </row>
    <row r="405" spans="1:19" x14ac:dyDescent="0.35">
      <c r="A405" s="55" t="s">
        <v>33</v>
      </c>
      <c r="B405" s="55" t="str">
        <f>+VLOOKUP($D405,[1]STS!$A$9:$E$1405,3,0)</f>
        <v>06</v>
      </c>
      <c r="C405" s="86">
        <f>+VLOOKUP($D405,[1]STS!$A$9:$E$1405,4,0)</f>
        <v>21</v>
      </c>
      <c r="D405" s="64" t="s">
        <v>290</v>
      </c>
      <c r="E405" s="104">
        <f>+IF(ISERROR(VLOOKUP($D405,[1]STS!$E$9:$G$1503,3,0)=0),0,VLOOKUP($D405,[1]STS!$E$9:$G$1503,3,0))</f>
        <v>6.56</v>
      </c>
      <c r="F405" s="98">
        <v>1.1100000000000001</v>
      </c>
      <c r="G405" s="99">
        <f>+IF(ISERROR(VLOOKUP(D405,[1]STS!$E$9:$AO$1503,37,0)=0),0,VLOOKUP(D405,[1]STS!$E$9:$AO$1503,37,0))</f>
        <v>4.211851774691362</v>
      </c>
      <c r="H405" s="82" t="str">
        <f>+IF(ISERROR(VLOOKUP(D405,[1]STS!$E$9:$I$1503,5,0)=0),0,VLOOKUP(D405,[1]STS!$E$9:$I$1503,5,0))</f>
        <v>FC</v>
      </c>
      <c r="I405" s="65"/>
      <c r="J405" s="66" t="str">
        <f>VLOOKUP(D405,[1]STS!$E$9:$BC$1359,51,0)</f>
        <v>F18SS</v>
      </c>
      <c r="K405" s="67"/>
      <c r="L405" s="78" t="str">
        <f>+VLOOKUP(N405,'[1]MSTR AKT'!$C$4:$E$460,3,0)</f>
        <v>Etri 2</v>
      </c>
      <c r="M405" s="83">
        <f>+IF(ISERROR(VLOOKUP($N405,'[1]MSTR AKT'!$C$4:$D$460,2,0)=0),0,VLOOKUP($N405,'[1]MSTR AKT'!$C$4:$D$460,2,0))</f>
        <v>1315131317</v>
      </c>
      <c r="N405" s="72" t="s">
        <v>5</v>
      </c>
      <c r="O405" s="58"/>
      <c r="P405" s="59">
        <v>46001</v>
      </c>
      <c r="Q405" s="100">
        <v>1</v>
      </c>
      <c r="R405" s="101">
        <v>4</v>
      </c>
      <c r="S405" s="102">
        <f t="shared" si="20"/>
        <v>401020</v>
      </c>
    </row>
    <row r="406" spans="1:19" x14ac:dyDescent="0.35">
      <c r="A406" s="55" t="s">
        <v>33</v>
      </c>
      <c r="B406" s="55" t="str">
        <f>+VLOOKUP($D406,[1]STS!$A$9:$E$1405,3,0)</f>
        <v>06</v>
      </c>
      <c r="C406" s="86">
        <f>+VLOOKUP($D406,[1]STS!$A$9:$E$1405,4,0)</f>
        <v>21</v>
      </c>
      <c r="D406" s="64" t="s">
        <v>291</v>
      </c>
      <c r="E406" s="104">
        <f>+IF(ISERROR(VLOOKUP($D406,[1]STS!$E$9:$G$1503,3,0)=0),0,VLOOKUP($D406,[1]STS!$E$9:$G$1503,3,0))</f>
        <v>6.51</v>
      </c>
      <c r="F406" s="98">
        <v>1.3140000000000001</v>
      </c>
      <c r="G406" s="99">
        <f>+IF(ISERROR(VLOOKUP(D406,[1]STS!$E$9:$AO$1503,37,0)=0),0,VLOOKUP(D406,[1]STS!$E$9:$AO$1503,37,0))</f>
        <v>4.0118517746913618</v>
      </c>
      <c r="H406" s="82" t="str">
        <f>+IF(ISERROR(VLOOKUP(D406,[1]STS!$E$9:$I$1503,5,0)=0),0,VLOOKUP(D406,[1]STS!$E$9:$I$1503,5,0))</f>
        <v>FC</v>
      </c>
      <c r="I406" s="65"/>
      <c r="J406" s="66" t="str">
        <f>VLOOKUP(D406,[1]STS!$E$9:$BC$1359,51,0)</f>
        <v>F18SB</v>
      </c>
      <c r="K406" s="67"/>
      <c r="L406" s="78" t="str">
        <f>+VLOOKUP(N406,'[1]MSTR AKT'!$C$4:$E$460,3,0)</f>
        <v>Etri 2</v>
      </c>
      <c r="M406" s="83">
        <f>+IF(ISERROR(VLOOKUP($N406,'[1]MSTR AKT'!$C$4:$D$460,2,0)=0),0,VLOOKUP($N406,'[1]MSTR AKT'!$C$4:$D$460,2,0))</f>
        <v>1315131317</v>
      </c>
      <c r="N406" s="72" t="s">
        <v>5</v>
      </c>
      <c r="O406" s="58"/>
      <c r="P406" s="59">
        <v>46002</v>
      </c>
      <c r="Q406" s="100">
        <v>1</v>
      </c>
      <c r="R406" s="101">
        <v>4</v>
      </c>
      <c r="S406" s="102">
        <f t="shared" si="20"/>
        <v>401020</v>
      </c>
    </row>
    <row r="407" spans="1:19" x14ac:dyDescent="0.35">
      <c r="A407" s="55" t="s">
        <v>33</v>
      </c>
      <c r="B407" s="55" t="str">
        <f>+VLOOKUP($D407,[1]STS!$A$9:$E$1405,3,0)</f>
        <v>06</v>
      </c>
      <c r="C407" s="86">
        <f>+VLOOKUP($D407,[1]STS!$A$9:$E$1405,4,0)</f>
        <v>21</v>
      </c>
      <c r="D407" s="64" t="s">
        <v>292</v>
      </c>
      <c r="E407" s="104">
        <f>+IF(ISERROR(VLOOKUP($D407,[1]STS!$E$9:$G$1503,3,0)=0),0,VLOOKUP($D407,[1]STS!$E$9:$G$1503,3,0))</f>
        <v>5.68</v>
      </c>
      <c r="F407" s="98">
        <v>1.1199999999999999</v>
      </c>
      <c r="G407" s="99">
        <f>+IF(ISERROR(VLOOKUP(D407,[1]STS!$E$9:$AO$1503,37,0)=0),0,VLOOKUP(D407,[1]STS!$E$9:$AO$1503,37,0))</f>
        <v>3.7451851080246947</v>
      </c>
      <c r="H407" s="82" t="str">
        <f>+IF(ISERROR(VLOOKUP(D407,[1]STS!$E$9:$I$1503,5,0)=0),0,VLOOKUP(D407,[1]STS!$E$9:$I$1503,5,0))</f>
        <v>FC</v>
      </c>
      <c r="I407" s="65"/>
      <c r="J407" s="66" t="str">
        <f>VLOOKUP(D407,[1]STS!$E$9:$BC$1359,51,0)</f>
        <v>F18SB</v>
      </c>
      <c r="K407" s="67"/>
      <c r="L407" s="78" t="str">
        <f>+VLOOKUP(N407,'[1]MSTR AKT'!$C$4:$E$460,3,0)</f>
        <v>Etri 2</v>
      </c>
      <c r="M407" s="83">
        <f>+IF(ISERROR(VLOOKUP($N407,'[1]MSTR AKT'!$C$4:$D$460,2,0)=0),0,VLOOKUP($N407,'[1]MSTR AKT'!$C$4:$D$460,2,0))</f>
        <v>1315131317</v>
      </c>
      <c r="N407" s="72" t="s">
        <v>5</v>
      </c>
      <c r="O407" s="58"/>
      <c r="P407" s="59">
        <v>46002</v>
      </c>
      <c r="Q407" s="100">
        <v>1</v>
      </c>
      <c r="R407" s="101">
        <v>4</v>
      </c>
      <c r="S407" s="102">
        <f t="shared" si="20"/>
        <v>401020</v>
      </c>
    </row>
    <row r="408" spans="1:19" x14ac:dyDescent="0.35">
      <c r="A408" s="55" t="s">
        <v>33</v>
      </c>
      <c r="B408" s="55" t="str">
        <f>+VLOOKUP($D408,[1]STS!$A$9:$E$1405,3,0)</f>
        <v>06</v>
      </c>
      <c r="C408" s="86">
        <f>+VLOOKUP($D408,[1]STS!$A$9:$E$1405,4,0)</f>
        <v>21</v>
      </c>
      <c r="D408" s="64" t="s">
        <v>296</v>
      </c>
      <c r="E408" s="104">
        <f>+IF(ISERROR(VLOOKUP($D408,[1]STS!$E$9:$G$1503,3,0)=0),0,VLOOKUP($D408,[1]STS!$E$9:$G$1503,3,0))</f>
        <v>11.61</v>
      </c>
      <c r="F408" s="98">
        <v>3.3089999999999997</v>
      </c>
      <c r="G408" s="99">
        <f>+IF(ISERROR(VLOOKUP(D408,[1]STS!$E$9:$AO$1503,37,0)=0),0,VLOOKUP(D408,[1]STS!$E$9:$AO$1503,37,0))</f>
        <v>3.7451851080246947</v>
      </c>
      <c r="H408" s="82" t="str">
        <f>+IF(ISERROR(VLOOKUP(D408,[1]STS!$E$9:$I$1503,5,0)=0),0,VLOOKUP(D408,[1]STS!$E$9:$I$1503,5,0))</f>
        <v>FC</v>
      </c>
      <c r="I408" s="65"/>
      <c r="J408" s="66" t="str">
        <f>VLOOKUP(D408,[1]STS!$E$9:$BC$1359,51,0)</f>
        <v>GP3CK</v>
      </c>
      <c r="K408" s="67"/>
      <c r="L408" s="78" t="str">
        <f>+VLOOKUP(N408,'[1]MSTR AKT'!$C$4:$E$460,3,0)</f>
        <v>Etri 2</v>
      </c>
      <c r="M408" s="83">
        <f>+IF(ISERROR(VLOOKUP($N408,'[1]MSTR AKT'!$C$4:$D$460,2,0)=0),0,VLOOKUP($N408,'[1]MSTR AKT'!$C$4:$D$460,2,0))</f>
        <v>1315131315</v>
      </c>
      <c r="N408" s="72" t="s">
        <v>7</v>
      </c>
      <c r="O408" s="58"/>
      <c r="P408" s="59">
        <v>46001</v>
      </c>
      <c r="Q408" s="100">
        <v>1</v>
      </c>
      <c r="R408" s="101">
        <v>4</v>
      </c>
      <c r="S408" s="102">
        <f t="shared" si="20"/>
        <v>401020</v>
      </c>
    </row>
    <row r="409" spans="1:19" x14ac:dyDescent="0.35">
      <c r="A409" s="55" t="s">
        <v>33</v>
      </c>
      <c r="B409" s="55" t="str">
        <f>+VLOOKUP($D409,[1]STS!$A$9:$E$1405,3,0)</f>
        <v>06</v>
      </c>
      <c r="C409" s="86">
        <f>+VLOOKUP($D409,[1]STS!$A$9:$E$1405,4,0)</f>
        <v>21</v>
      </c>
      <c r="D409" s="64" t="s">
        <v>297</v>
      </c>
      <c r="E409" s="104">
        <f>+IF(ISERROR(VLOOKUP($D409,[1]STS!$E$9:$G$1503,3,0)=0),0,VLOOKUP($D409,[1]STS!$E$9:$G$1503,3,0))</f>
        <v>6.4</v>
      </c>
      <c r="F409" s="98">
        <v>1.77</v>
      </c>
      <c r="G409" s="99">
        <f>+IF(ISERROR(VLOOKUP(D409,[1]STS!$E$9:$AO$1503,37,0)=0),0,VLOOKUP(D409,[1]STS!$E$9:$AO$1503,37,0))</f>
        <v>3.9451851080246949</v>
      </c>
      <c r="H409" s="82" t="str">
        <f>+IF(ISERROR(VLOOKUP(D409,[1]STS!$E$9:$I$1503,5,0)=0),0,VLOOKUP(D409,[1]STS!$E$9:$I$1503,5,0))</f>
        <v>FC</v>
      </c>
      <c r="I409" s="65"/>
      <c r="J409" s="66" t="str">
        <f>VLOOKUP(D409,[1]STS!$E$9:$BC$1359,51,0)</f>
        <v>GP3CK</v>
      </c>
      <c r="K409" s="67"/>
      <c r="L409" s="78" t="str">
        <f>+VLOOKUP(N409,'[1]MSTR AKT'!$C$4:$E$460,3,0)</f>
        <v>Etri 2</v>
      </c>
      <c r="M409" s="83">
        <f>+IF(ISERROR(VLOOKUP($N409,'[1]MSTR AKT'!$C$4:$D$460,2,0)=0),0,VLOOKUP($N409,'[1]MSTR AKT'!$C$4:$D$460,2,0))</f>
        <v>1315131315</v>
      </c>
      <c r="N409" s="72" t="s">
        <v>7</v>
      </c>
      <c r="O409" s="58"/>
      <c r="P409" s="59">
        <v>46001</v>
      </c>
      <c r="Q409" s="100">
        <v>1</v>
      </c>
      <c r="R409" s="101">
        <v>4</v>
      </c>
      <c r="S409" s="102">
        <f t="shared" si="20"/>
        <v>401020</v>
      </c>
    </row>
    <row r="410" spans="1:19" x14ac:dyDescent="0.35">
      <c r="A410" s="55" t="s">
        <v>33</v>
      </c>
      <c r="B410" s="55" t="str">
        <f>+VLOOKUP($D410,[1]STS!$A$9:$E$1405,3,0)</f>
        <v>06</v>
      </c>
      <c r="C410" s="86">
        <f>+VLOOKUP($D410,[1]STS!$A$9:$E$1405,4,0)</f>
        <v>21</v>
      </c>
      <c r="D410" s="64" t="s">
        <v>293</v>
      </c>
      <c r="E410" s="104">
        <f>+IF(ISERROR(VLOOKUP($D410,[1]STS!$E$9:$G$1503,3,0)=0),0,VLOOKUP($D410,[1]STS!$E$9:$G$1503,3,0))</f>
        <v>6.14</v>
      </c>
      <c r="F410" s="98">
        <v>1.8119999999999998</v>
      </c>
      <c r="G410" s="99">
        <f>+IF(ISERROR(VLOOKUP(D410,[1]STS!$E$9:$AO$1503,37,0)=0),0,VLOOKUP(D410,[1]STS!$E$9:$AO$1503,37,0))</f>
        <v>4.5118517746913618</v>
      </c>
      <c r="H410" s="82" t="str">
        <f>+IF(ISERROR(VLOOKUP(D410,[1]STS!$E$9:$I$1503,5,0)=0),0,VLOOKUP(D410,[1]STS!$E$9:$I$1503,5,0))</f>
        <v>FC</v>
      </c>
      <c r="I410" s="65"/>
      <c r="J410" s="66" t="str">
        <f>VLOOKUP(D410,[1]STS!$E$9:$BC$1359,51,0)</f>
        <v>F18CK</v>
      </c>
      <c r="K410" s="67"/>
      <c r="L410" s="78" t="str">
        <f>+VLOOKUP(N410,'[1]MSTR AKT'!$C$4:$E$460,3,0)</f>
        <v>Etri 2</v>
      </c>
      <c r="M410" s="83">
        <f>+IF(ISERROR(VLOOKUP($N410,'[1]MSTR AKT'!$C$4:$D$460,2,0)=0),0,VLOOKUP($N410,'[1]MSTR AKT'!$C$4:$D$460,2,0))</f>
        <v>1315131315</v>
      </c>
      <c r="N410" s="72" t="s">
        <v>7</v>
      </c>
      <c r="O410" s="58"/>
      <c r="P410" s="59">
        <v>46001</v>
      </c>
      <c r="Q410" s="100">
        <v>1</v>
      </c>
      <c r="R410" s="101">
        <v>4</v>
      </c>
      <c r="S410" s="102">
        <f t="shared" si="20"/>
        <v>401020</v>
      </c>
    </row>
    <row r="411" spans="1:19" x14ac:dyDescent="0.35">
      <c r="A411" s="55" t="s">
        <v>33</v>
      </c>
      <c r="B411" s="55" t="str">
        <f>+VLOOKUP($D411,[1]STS!$A$9:$E$1405,3,0)</f>
        <v>06</v>
      </c>
      <c r="C411" s="86">
        <f>+VLOOKUP($D411,[1]STS!$A$9:$E$1405,4,0)</f>
        <v>21</v>
      </c>
      <c r="D411" s="64" t="s">
        <v>163</v>
      </c>
      <c r="E411" s="104">
        <f>+IF(ISERROR(VLOOKUP($D411,[1]STS!$E$9:$G$1503,3,0)=0),0,VLOOKUP($D411,[1]STS!$E$9:$G$1503,3,0))</f>
        <v>10.210000000000001</v>
      </c>
      <c r="F411" s="98">
        <v>3.246</v>
      </c>
      <c r="G411" s="99">
        <f>+IF(ISERROR(VLOOKUP(D411,[1]STS!$E$9:$AO$1503,37,0)=0),0,VLOOKUP(D411,[1]STS!$E$9:$AO$1503,37,0))</f>
        <v>10.311851774691361</v>
      </c>
      <c r="H411" s="82" t="str">
        <f>+IF(ISERROR(VLOOKUP(D411,[1]STS!$E$9:$I$1503,5,0)=0),0,VLOOKUP(D411,[1]STS!$E$9:$I$1503,5,0))</f>
        <v>SC</v>
      </c>
      <c r="I411" s="65"/>
      <c r="J411" s="66" t="str">
        <f>VLOOKUP(D411,[1]STS!$E$9:$BC$1359,51,0)</f>
        <v>F18</v>
      </c>
      <c r="K411" s="67"/>
      <c r="L411" s="78" t="str">
        <f>+VLOOKUP(N411,'[1]MSTR AKT'!$C$4:$E$460,3,0)</f>
        <v>Etri 2</v>
      </c>
      <c r="M411" s="83">
        <f>+IF(ISERROR(VLOOKUP($N411,'[1]MSTR AKT'!$C$4:$D$460,2,0)=0),0,VLOOKUP($N411,'[1]MSTR AKT'!$C$4:$D$460,2,0))</f>
        <v>1315131315</v>
      </c>
      <c r="N411" s="72" t="s">
        <v>7</v>
      </c>
      <c r="O411" s="58"/>
      <c r="P411" s="59">
        <v>46001</v>
      </c>
      <c r="Q411" s="100">
        <v>1</v>
      </c>
      <c r="R411" s="101">
        <v>4</v>
      </c>
      <c r="S411" s="102">
        <f t="shared" si="20"/>
        <v>401020</v>
      </c>
    </row>
    <row r="412" spans="1:19" x14ac:dyDescent="0.35">
      <c r="A412" s="55" t="s">
        <v>33</v>
      </c>
      <c r="B412" s="55" t="str">
        <f>+VLOOKUP($D412,[1]STS!$A$9:$E$1405,3,0)</f>
        <v>06</v>
      </c>
      <c r="C412" s="86">
        <f>+VLOOKUP($D412,[1]STS!$A$9:$E$1405,4,0)</f>
        <v>21</v>
      </c>
      <c r="D412" s="64" t="s">
        <v>148</v>
      </c>
      <c r="E412" s="104">
        <f>+IF(ISERROR(VLOOKUP($D412,[1]STS!$E$9:$G$1503,3,0)=0),0,VLOOKUP($D412,[1]STS!$E$9:$G$1503,3,0))</f>
        <v>7.92</v>
      </c>
      <c r="F412" s="98">
        <v>2.544</v>
      </c>
      <c r="G412" s="99">
        <f>+IF(ISERROR(VLOOKUP(D412,[1]STS!$E$9:$AO$1503,37,0)=0),0,VLOOKUP(D412,[1]STS!$E$9:$AO$1503,37,0))</f>
        <v>9.3785184413580289</v>
      </c>
      <c r="H412" s="82" t="str">
        <f>+IF(ISERROR(VLOOKUP(D412,[1]STS!$E$9:$I$1503,5,0)=0),0,VLOOKUP(D412,[1]STS!$E$9:$I$1503,5,0))</f>
        <v>SC</v>
      </c>
      <c r="I412" s="65"/>
      <c r="J412" s="66" t="str">
        <f>VLOOKUP(D412,[1]STS!$E$9:$BC$1359,51,0)</f>
        <v>F18</v>
      </c>
      <c r="K412" s="67"/>
      <c r="L412" s="78" t="str">
        <f>+VLOOKUP(N412,'[1]MSTR AKT'!$C$4:$E$460,3,0)</f>
        <v>Etri 2</v>
      </c>
      <c r="M412" s="83">
        <f>+IF(ISERROR(VLOOKUP($N412,'[1]MSTR AKT'!$C$4:$D$460,2,0)=0),0,VLOOKUP($N412,'[1]MSTR AKT'!$C$4:$D$460,2,0))</f>
        <v>1315131315</v>
      </c>
      <c r="N412" s="72" t="s">
        <v>7</v>
      </c>
      <c r="O412" s="58"/>
      <c r="P412" s="59">
        <v>46001</v>
      </c>
      <c r="Q412" s="100">
        <v>1</v>
      </c>
      <c r="R412" s="101">
        <v>4</v>
      </c>
      <c r="S412" s="102">
        <f t="shared" si="20"/>
        <v>401020</v>
      </c>
    </row>
    <row r="413" spans="1:19" x14ac:dyDescent="0.35">
      <c r="A413" s="55" t="s">
        <v>33</v>
      </c>
      <c r="B413" s="55" t="str">
        <f>+VLOOKUP($D413,[1]STS!$A$9:$E$1405,3,0)</f>
        <v>06</v>
      </c>
      <c r="C413" s="86">
        <f>+VLOOKUP($D413,[1]STS!$A$9:$E$1405,4,0)</f>
        <v>21</v>
      </c>
      <c r="D413" s="64" t="s">
        <v>145</v>
      </c>
      <c r="E413" s="104">
        <f>+IF(ISERROR(VLOOKUP($D413,[1]STS!$E$9:$G$1503,3,0)=0),0,VLOOKUP($D413,[1]STS!$E$9:$G$1503,3,0))</f>
        <v>7.61</v>
      </c>
      <c r="F413" s="98">
        <v>2.4510000000000001</v>
      </c>
      <c r="G413" s="99">
        <f>+IF(ISERROR(VLOOKUP(D413,[1]STS!$E$9:$AO$1503,37,0)=0),0,VLOOKUP(D413,[1]STS!$E$9:$AO$1503,37,0))</f>
        <v>5.5118517746913618</v>
      </c>
      <c r="H413" s="82" t="str">
        <f>+IF(ISERROR(VLOOKUP(D413,[1]STS!$E$9:$I$1503,5,0)=0),0,VLOOKUP(D413,[1]STS!$E$9:$I$1503,5,0))</f>
        <v>SC</v>
      </c>
      <c r="I413" s="65"/>
      <c r="J413" s="66" t="str">
        <f>VLOOKUP(D413,[1]STS!$E$9:$BC$1359,51,0)</f>
        <v>F18</v>
      </c>
      <c r="K413" s="67"/>
      <c r="L413" s="78" t="str">
        <f>+VLOOKUP(N413,'[1]MSTR AKT'!$C$4:$E$460,3,0)</f>
        <v>Etri 2</v>
      </c>
      <c r="M413" s="83">
        <f>+IF(ISERROR(VLOOKUP($N413,'[1]MSTR AKT'!$C$4:$D$460,2,0)=0),0,VLOOKUP($N413,'[1]MSTR AKT'!$C$4:$D$460,2,0))</f>
        <v>1315131315</v>
      </c>
      <c r="N413" s="72" t="s">
        <v>7</v>
      </c>
      <c r="O413" s="58"/>
      <c r="P413" s="59">
        <v>46002</v>
      </c>
      <c r="Q413" s="100">
        <v>1</v>
      </c>
      <c r="R413" s="101">
        <v>4</v>
      </c>
      <c r="S413" s="102">
        <f t="shared" si="20"/>
        <v>401020</v>
      </c>
    </row>
    <row r="414" spans="1:19" x14ac:dyDescent="0.35">
      <c r="A414" s="55" t="s">
        <v>33</v>
      </c>
      <c r="B414" s="55" t="str">
        <f>+VLOOKUP($D414,[1]STS!$A$9:$E$1405,3,0)</f>
        <v>06</v>
      </c>
      <c r="C414" s="86">
        <f>+VLOOKUP($D414,[1]STS!$A$9:$E$1405,4,0)</f>
        <v>21</v>
      </c>
      <c r="D414" s="64" t="s">
        <v>146</v>
      </c>
      <c r="E414" s="104">
        <f>+IF(ISERROR(VLOOKUP($D414,[1]STS!$E$9:$G$1503,3,0)=0),0,VLOOKUP($D414,[1]STS!$E$9:$G$1503,3,0))</f>
        <v>10.91</v>
      </c>
      <c r="F414" s="98">
        <v>3.4950000000000001</v>
      </c>
      <c r="G414" s="99">
        <f>+IF(ISERROR(VLOOKUP(D414,[1]STS!$E$9:$AO$1503,37,0)=0),0,VLOOKUP(D414,[1]STS!$E$9:$AO$1503,37,0))</f>
        <v>5.5118517746913618</v>
      </c>
      <c r="H414" s="82" t="str">
        <f>+IF(ISERROR(VLOOKUP(D414,[1]STS!$E$9:$I$1503,5,0)=0),0,VLOOKUP(D414,[1]STS!$E$9:$I$1503,5,0))</f>
        <v>SC</v>
      </c>
      <c r="I414" s="65"/>
      <c r="J414" s="66" t="str">
        <f>VLOOKUP(D414,[1]STS!$E$9:$BC$1359,51,0)</f>
        <v>F18</v>
      </c>
      <c r="K414" s="67"/>
      <c r="L414" s="78" t="str">
        <f>+VLOOKUP(N414,'[1]MSTR AKT'!$C$4:$E$460,3,0)</f>
        <v>Etri 2</v>
      </c>
      <c r="M414" s="83">
        <f>+IF(ISERROR(VLOOKUP($N414,'[1]MSTR AKT'!$C$4:$D$460,2,0)=0),0,VLOOKUP($N414,'[1]MSTR AKT'!$C$4:$D$460,2,0))</f>
        <v>1315131315</v>
      </c>
      <c r="N414" s="72" t="s">
        <v>7</v>
      </c>
      <c r="O414" s="58"/>
      <c r="P414" s="59">
        <v>46001</v>
      </c>
      <c r="Q414" s="100">
        <v>1</v>
      </c>
      <c r="R414" s="101">
        <v>4</v>
      </c>
      <c r="S414" s="102">
        <f>+R414*100255</f>
        <v>401020</v>
      </c>
    </row>
    <row r="415" spans="1:19" x14ac:dyDescent="0.35">
      <c r="A415" s="55" t="s">
        <v>33</v>
      </c>
      <c r="B415" s="55" t="str">
        <f>+VLOOKUP($D415,[1]STS!$A$9:$E$1405,3,0)</f>
        <v>06</v>
      </c>
      <c r="C415" s="86">
        <f>+VLOOKUP($D415,[1]STS!$A$9:$E$1405,4,0)</f>
        <v>21</v>
      </c>
      <c r="D415" s="64" t="s">
        <v>350</v>
      </c>
      <c r="E415" s="104">
        <f>+IF(ISERROR(VLOOKUP($D415,[1]STS!$E$9:$G$1503,3,0)=0),0,VLOOKUP($D415,[1]STS!$E$9:$G$1503,3,0))</f>
        <v>5.29</v>
      </c>
      <c r="F415" s="98">
        <v>1.1300000000000001</v>
      </c>
      <c r="G415" s="99">
        <f>+IF(ISERROR(VLOOKUP(D415,[1]STS!$E$9:$AO$1503,37,0)=0),0,VLOOKUP(D415,[1]STS!$E$9:$AO$1503,37,0))</f>
        <v>2.1451851080246951</v>
      </c>
      <c r="H415" s="82" t="str">
        <f>+IF(ISERROR(VLOOKUP(D415,[1]STS!$E$9:$I$1503,5,0)=0),0,VLOOKUP(D415,[1]STS!$E$9:$I$1503,5,0))</f>
        <v>FC</v>
      </c>
      <c r="I415" s="65"/>
      <c r="J415" s="66" t="str">
        <f>VLOOKUP(D415,[1]STS!$E$9:$BC$1359,51,0)</f>
        <v>GP3SS</v>
      </c>
      <c r="K415" s="67"/>
      <c r="L415" s="78" t="str">
        <f>+VLOOKUP(N415,'[1]MSTR AKT'!$C$4:$E$460,3,0)</f>
        <v>Etri 2</v>
      </c>
      <c r="M415" s="83">
        <f>+IF(ISERROR(VLOOKUP($N415,'[1]MSTR AKT'!$C$4:$D$460,2,0)=0),0,VLOOKUP($N415,'[1]MSTR AKT'!$C$4:$D$460,2,0))</f>
        <v>1315131517</v>
      </c>
      <c r="N415" s="72" t="s">
        <v>4</v>
      </c>
      <c r="O415" s="58"/>
      <c r="P415" s="59">
        <v>46001</v>
      </c>
      <c r="Q415" s="100">
        <v>1</v>
      </c>
      <c r="R415" s="101">
        <v>4</v>
      </c>
      <c r="S415" s="102">
        <f t="shared" ref="S415:S474" si="21">+R415*100255</f>
        <v>401020</v>
      </c>
    </row>
    <row r="416" spans="1:19" x14ac:dyDescent="0.35">
      <c r="A416" s="55" t="s">
        <v>33</v>
      </c>
      <c r="B416" s="55" t="str">
        <f>+VLOOKUP($D416,[1]STS!$A$9:$E$1405,3,0)</f>
        <v>06</v>
      </c>
      <c r="C416" s="86">
        <f>+VLOOKUP($D416,[1]STS!$A$9:$E$1405,4,0)</f>
        <v>21</v>
      </c>
      <c r="D416" s="64" t="s">
        <v>348</v>
      </c>
      <c r="E416" s="104">
        <f>+IF(ISERROR(VLOOKUP($D416,[1]STS!$E$9:$G$1503,3,0)=0),0,VLOOKUP($D416,[1]STS!$E$9:$G$1503,3,0))</f>
        <v>4.84</v>
      </c>
      <c r="F416" s="98">
        <v>0.95600000000000007</v>
      </c>
      <c r="G416" s="99">
        <f>+IF(ISERROR(VLOOKUP(D416,[1]STS!$E$9:$AO$1503,37,0)=0),0,VLOOKUP(D416,[1]STS!$E$9:$AO$1503,37,0))</f>
        <v>2.1451851080246951</v>
      </c>
      <c r="H416" s="82" t="str">
        <f>+IF(ISERROR(VLOOKUP(D416,[1]STS!$E$9:$I$1503,5,0)=0),0,VLOOKUP(D416,[1]STS!$E$9:$I$1503,5,0))</f>
        <v>FC</v>
      </c>
      <c r="I416" s="65"/>
      <c r="J416" s="66" t="str">
        <f>VLOOKUP(D416,[1]STS!$E$9:$BC$1359,51,0)</f>
        <v>GP3SS</v>
      </c>
      <c r="K416" s="67"/>
      <c r="L416" s="78" t="str">
        <f>+VLOOKUP(N416,'[1]MSTR AKT'!$C$4:$E$460,3,0)</f>
        <v>Etri 2</v>
      </c>
      <c r="M416" s="83">
        <f>+IF(ISERROR(VLOOKUP($N416,'[1]MSTR AKT'!$C$4:$D$460,2,0)=0),0,VLOOKUP($N416,'[1]MSTR AKT'!$C$4:$D$460,2,0))</f>
        <v>1315131517</v>
      </c>
      <c r="N416" s="72" t="s">
        <v>4</v>
      </c>
      <c r="O416" s="58"/>
      <c r="P416" s="59">
        <v>46001</v>
      </c>
      <c r="Q416" s="100">
        <v>1</v>
      </c>
      <c r="R416" s="101">
        <v>4</v>
      </c>
      <c r="S416" s="102">
        <f t="shared" si="21"/>
        <v>401020</v>
      </c>
    </row>
    <row r="417" spans="1:19" x14ac:dyDescent="0.35">
      <c r="A417" s="55" t="s">
        <v>33</v>
      </c>
      <c r="B417" s="55" t="str">
        <f>+VLOOKUP($D417,[1]STS!$A$9:$E$1405,3,0)</f>
        <v>06</v>
      </c>
      <c r="C417" s="86">
        <f>+VLOOKUP($D417,[1]STS!$A$9:$E$1405,4,0)</f>
        <v>21</v>
      </c>
      <c r="D417" s="64" t="s">
        <v>347</v>
      </c>
      <c r="E417" s="104">
        <f>+IF(ISERROR(VLOOKUP($D417,[1]STS!$E$9:$G$1503,3,0)=0),0,VLOOKUP($D417,[1]STS!$E$9:$G$1503,3,0))</f>
        <v>5.74</v>
      </c>
      <c r="F417" s="98">
        <v>1.194</v>
      </c>
      <c r="G417" s="99">
        <f>+IF(ISERROR(VLOOKUP(D417,[1]STS!$E$9:$AO$1503,37,0)=0),0,VLOOKUP(D417,[1]STS!$E$9:$AO$1503,37,0))</f>
        <v>2.2785184413580284</v>
      </c>
      <c r="H417" s="82" t="str">
        <f>+IF(ISERROR(VLOOKUP(D417,[1]STS!$E$9:$I$1503,5,0)=0),0,VLOOKUP(D417,[1]STS!$E$9:$I$1503,5,0))</f>
        <v>FC</v>
      </c>
      <c r="I417" s="65"/>
      <c r="J417" s="66" t="str">
        <f>VLOOKUP(D417,[1]STS!$E$9:$BC$1359,51,0)</f>
        <v>F18CK</v>
      </c>
      <c r="K417" s="67"/>
      <c r="L417" s="78" t="str">
        <f>+VLOOKUP(N417,'[1]MSTR AKT'!$C$4:$E$460,3,0)</f>
        <v>Etri 2</v>
      </c>
      <c r="M417" s="83">
        <f>+IF(ISERROR(VLOOKUP($N417,'[1]MSTR AKT'!$C$4:$D$460,2,0)=0),0,VLOOKUP($N417,'[1]MSTR AKT'!$C$4:$D$460,2,0))</f>
        <v>1315131517</v>
      </c>
      <c r="N417" s="72" t="s">
        <v>4</v>
      </c>
      <c r="O417" s="58"/>
      <c r="P417" s="59">
        <v>46001</v>
      </c>
      <c r="Q417" s="100">
        <v>1</v>
      </c>
      <c r="R417" s="101">
        <v>4</v>
      </c>
      <c r="S417" s="102">
        <f t="shared" si="21"/>
        <v>401020</v>
      </c>
    </row>
    <row r="418" spans="1:19" x14ac:dyDescent="0.35">
      <c r="A418" s="55" t="s">
        <v>33</v>
      </c>
      <c r="B418" s="55" t="str">
        <f>+VLOOKUP($D418,[1]STS!$A$9:$E$1405,3,0)</f>
        <v>06</v>
      </c>
      <c r="C418" s="86">
        <f>+VLOOKUP($D418,[1]STS!$A$9:$E$1405,4,0)</f>
        <v>21</v>
      </c>
      <c r="D418" s="64" t="s">
        <v>288</v>
      </c>
      <c r="E418" s="104">
        <f>+IF(ISERROR(VLOOKUP($D418,[1]STS!$E$9:$G$1503,3,0)=0),0,VLOOKUP($D418,[1]STS!$E$9:$G$1503,3,0))</f>
        <v>5.31</v>
      </c>
      <c r="F418" s="98">
        <v>1.024</v>
      </c>
      <c r="G418" s="99">
        <f>+IF(ISERROR(VLOOKUP(D418,[1]STS!$E$9:$AO$1503,37,0)=0),0,VLOOKUP(D418,[1]STS!$E$9:$AO$1503,37,0))</f>
        <v>2.5785184413580282</v>
      </c>
      <c r="H418" s="82" t="str">
        <f>+IF(ISERROR(VLOOKUP(D418,[1]STS!$E$9:$I$1503,5,0)=0),0,VLOOKUP(D418,[1]STS!$E$9:$I$1503,5,0))</f>
        <v>FC</v>
      </c>
      <c r="I418" s="65"/>
      <c r="J418" s="66" t="str">
        <f>VLOOKUP(D418,[1]STS!$E$9:$BC$1359,51,0)</f>
        <v>F18CK</v>
      </c>
      <c r="K418" s="67"/>
      <c r="L418" s="78" t="str">
        <f>+VLOOKUP(N418,'[1]MSTR AKT'!$C$4:$E$460,3,0)</f>
        <v>Etri 2</v>
      </c>
      <c r="M418" s="83">
        <f>+IF(ISERROR(VLOOKUP($N418,'[1]MSTR AKT'!$C$4:$D$460,2,0)=0),0,VLOOKUP($N418,'[1]MSTR AKT'!$C$4:$D$460,2,0))</f>
        <v>1315131517</v>
      </c>
      <c r="N418" s="72" t="s">
        <v>4</v>
      </c>
      <c r="O418" s="58"/>
      <c r="P418" s="59">
        <v>46003</v>
      </c>
      <c r="Q418" s="100">
        <v>1</v>
      </c>
      <c r="R418" s="101">
        <v>4</v>
      </c>
      <c r="S418" s="102">
        <f t="shared" si="21"/>
        <v>401020</v>
      </c>
    </row>
    <row r="419" spans="1:19" x14ac:dyDescent="0.35">
      <c r="A419" s="55" t="s">
        <v>33</v>
      </c>
      <c r="B419" s="55" t="str">
        <f>+VLOOKUP($D419,[1]STS!$A$9:$E$1405,3,0)</f>
        <v>06</v>
      </c>
      <c r="C419" s="86">
        <f>+VLOOKUP($D419,[1]STS!$A$9:$E$1405,4,0)</f>
        <v>21</v>
      </c>
      <c r="D419" s="64" t="s">
        <v>338</v>
      </c>
      <c r="E419" s="104">
        <f>+IF(ISERROR(VLOOKUP($D419,[1]STS!$E$9:$G$1503,3,0)=0),0,VLOOKUP($D419,[1]STS!$E$9:$G$1503,3,0))</f>
        <v>3.89</v>
      </c>
      <c r="F419" s="98">
        <v>0.96299999999999997</v>
      </c>
      <c r="G419" s="99">
        <f>+IF(ISERROR(VLOOKUP(D419,[1]STS!$E$9:$AO$1503,37,0)=0),0,VLOOKUP(D419,[1]STS!$E$9:$AO$1503,37,0))</f>
        <v>2.8451851080246948</v>
      </c>
      <c r="H419" s="82" t="str">
        <f>+IF(ISERROR(VLOOKUP(D419,[1]STS!$E$9:$I$1503,5,0)=0),0,VLOOKUP(D419,[1]STS!$E$9:$I$1503,5,0))</f>
        <v>FC</v>
      </c>
      <c r="I419" s="65"/>
      <c r="J419" s="66" t="str">
        <f>VLOOKUP(D419,[1]STS!$E$9:$BC$1359,51,0)</f>
        <v>F18SS</v>
      </c>
      <c r="K419" s="67"/>
      <c r="L419" s="78" t="str">
        <f>+VLOOKUP(N419,'[1]MSTR AKT'!$C$4:$E$460,3,0)</f>
        <v>Etri 2</v>
      </c>
      <c r="M419" s="83">
        <f>+IF(ISERROR(VLOOKUP($N419,'[1]MSTR AKT'!$C$4:$D$460,2,0)=0),0,VLOOKUP($N419,'[1]MSTR AKT'!$C$4:$D$460,2,0))</f>
        <v>1315131513</v>
      </c>
      <c r="N419" s="72" t="s">
        <v>8</v>
      </c>
      <c r="O419" s="58"/>
      <c r="P419" s="59">
        <v>45999</v>
      </c>
      <c r="Q419" s="100">
        <v>3</v>
      </c>
      <c r="R419" s="101">
        <v>2.8889999999999998</v>
      </c>
      <c r="S419" s="102">
        <f t="shared" si="21"/>
        <v>289636.69500000001</v>
      </c>
    </row>
    <row r="420" spans="1:19" x14ac:dyDescent="0.35">
      <c r="A420" s="55" t="s">
        <v>33</v>
      </c>
      <c r="B420" s="55" t="str">
        <f>+VLOOKUP($D420,[1]STS!$A$9:$E$1405,3,0)</f>
        <v>06</v>
      </c>
      <c r="C420" s="86">
        <f>+VLOOKUP($D420,[1]STS!$A$9:$E$1405,4,0)</f>
        <v>21</v>
      </c>
      <c r="D420" s="64" t="s">
        <v>339</v>
      </c>
      <c r="E420" s="104">
        <f>+IF(ISERROR(VLOOKUP($D420,[1]STS!$E$9:$G$1503,3,0)=0),0,VLOOKUP($D420,[1]STS!$E$9:$G$1503,3,0))</f>
        <v>5.53</v>
      </c>
      <c r="F420" s="98">
        <v>1.3379999999999999</v>
      </c>
      <c r="G420" s="99">
        <f>+IF(ISERROR(VLOOKUP(D420,[1]STS!$E$9:$AO$1503,37,0)=0),0,VLOOKUP(D420,[1]STS!$E$9:$AO$1503,37,0))</f>
        <v>2.6451851080246951</v>
      </c>
      <c r="H420" s="82" t="str">
        <f>+IF(ISERROR(VLOOKUP(D420,[1]STS!$E$9:$I$1503,5,0)=0),0,VLOOKUP(D420,[1]STS!$E$9:$I$1503,5,0))</f>
        <v>FC</v>
      </c>
      <c r="I420" s="65"/>
      <c r="J420" s="66" t="str">
        <f>VLOOKUP(D420,[1]STS!$E$9:$BC$1359,51,0)</f>
        <v>F18SS</v>
      </c>
      <c r="K420" s="67"/>
      <c r="L420" s="78" t="str">
        <f>+VLOOKUP(N420,'[1]MSTR AKT'!$C$4:$E$460,3,0)</f>
        <v>Etri 2</v>
      </c>
      <c r="M420" s="83">
        <f>+IF(ISERROR(VLOOKUP($N420,'[1]MSTR AKT'!$C$4:$D$460,2,0)=0),0,VLOOKUP($N420,'[1]MSTR AKT'!$C$4:$D$460,2,0))</f>
        <v>1315131513</v>
      </c>
      <c r="N420" s="72" t="s">
        <v>8</v>
      </c>
      <c r="O420" s="58"/>
      <c r="P420" s="59">
        <v>46004</v>
      </c>
      <c r="Q420" s="100">
        <v>3</v>
      </c>
      <c r="R420" s="101">
        <v>4.0139999999999993</v>
      </c>
      <c r="S420" s="102">
        <f t="shared" si="21"/>
        <v>402423.56999999995</v>
      </c>
    </row>
    <row r="421" spans="1:19" x14ac:dyDescent="0.35">
      <c r="A421" s="55" t="s">
        <v>33</v>
      </c>
      <c r="B421" s="55" t="str">
        <f>+VLOOKUP($D421,[1]STS!$A$9:$E$1405,3,0)</f>
        <v>06</v>
      </c>
      <c r="C421" s="86">
        <f>+VLOOKUP($D421,[1]STS!$A$9:$E$1405,4,0)</f>
        <v>21</v>
      </c>
      <c r="D421" s="64" t="s">
        <v>341</v>
      </c>
      <c r="E421" s="104">
        <f>+IF(ISERROR(VLOOKUP($D421,[1]STS!$E$9:$G$1503,3,0)=0),0,VLOOKUP($D421,[1]STS!$E$9:$G$1503,3,0))</f>
        <v>6.28</v>
      </c>
      <c r="F421" s="98">
        <v>1.95</v>
      </c>
      <c r="G421" s="99">
        <f>+IF(ISERROR(VLOOKUP(D421,[1]STS!$E$9:$AO$1503,37,0)=0),0,VLOOKUP(D421,[1]STS!$E$9:$AO$1503,37,0))</f>
        <v>2.5118517746913613</v>
      </c>
      <c r="H421" s="82" t="str">
        <f>+IF(ISERROR(VLOOKUP(D421,[1]STS!$E$9:$I$1503,5,0)=0),0,VLOOKUP(D421,[1]STS!$E$9:$I$1503,5,0))</f>
        <v>FC</v>
      </c>
      <c r="I421" s="65"/>
      <c r="J421" s="66" t="str">
        <f>VLOOKUP(D421,[1]STS!$E$9:$BC$1359,51,0)</f>
        <v>F18SB</v>
      </c>
      <c r="K421" s="67"/>
      <c r="L421" s="78" t="str">
        <f>+VLOOKUP(N421,'[1]MSTR AKT'!$C$4:$E$460,3,0)</f>
        <v>Etri 2</v>
      </c>
      <c r="M421" s="83">
        <f>+IF(ISERROR(VLOOKUP($N421,'[1]MSTR AKT'!$C$4:$D$460,2,0)=0),0,VLOOKUP($N421,'[1]MSTR AKT'!$C$4:$D$460,2,0))</f>
        <v>1315131513</v>
      </c>
      <c r="N421" s="72" t="s">
        <v>8</v>
      </c>
      <c r="O421" s="58"/>
      <c r="P421" s="59">
        <v>46001</v>
      </c>
      <c r="Q421" s="100">
        <v>3</v>
      </c>
      <c r="R421" s="101">
        <v>5.85</v>
      </c>
      <c r="S421" s="102">
        <f t="shared" si="21"/>
        <v>586491.75</v>
      </c>
    </row>
    <row r="422" spans="1:19" x14ac:dyDescent="0.35">
      <c r="A422" s="55" t="s">
        <v>33</v>
      </c>
      <c r="B422" s="55" t="str">
        <f>+VLOOKUP($D422,[1]STS!$A$9:$E$1405,3,0)</f>
        <v>06</v>
      </c>
      <c r="C422" s="86">
        <f>+VLOOKUP($D422,[1]STS!$A$9:$E$1405,4,0)</f>
        <v>21</v>
      </c>
      <c r="D422" s="64" t="s">
        <v>343</v>
      </c>
      <c r="E422" s="104">
        <f>+IF(ISERROR(VLOOKUP($D422,[1]STS!$E$9:$G$1503,3,0)=0),0,VLOOKUP($D422,[1]STS!$E$9:$G$1503,3,0))</f>
        <v>8.08</v>
      </c>
      <c r="F422" s="98">
        <v>2.1240000000000001</v>
      </c>
      <c r="G422" s="99">
        <f>+IF(ISERROR(VLOOKUP(D422,[1]STS!$E$9:$AO$1503,37,0)=0),0,VLOOKUP(D422,[1]STS!$E$9:$AO$1503,37,0))</f>
        <v>1.7118517746913615</v>
      </c>
      <c r="H422" s="82" t="str">
        <f>+IF(ISERROR(VLOOKUP(D422,[1]STS!$E$9:$I$1503,5,0)=0),0,VLOOKUP(D422,[1]STS!$E$9:$I$1503,5,0))</f>
        <v>FC</v>
      </c>
      <c r="I422" s="65"/>
      <c r="J422" s="66" t="str">
        <f>VLOOKUP(D422,[1]STS!$E$9:$BC$1359,51,0)</f>
        <v>F18SS</v>
      </c>
      <c r="K422" s="67"/>
      <c r="L422" s="78" t="str">
        <f>+VLOOKUP(N422,'[1]MSTR AKT'!$C$4:$E$460,3,0)</f>
        <v>Etri 2</v>
      </c>
      <c r="M422" s="83">
        <f>+IF(ISERROR(VLOOKUP($N422,'[1]MSTR AKT'!$C$4:$D$460,2,0)=0),0,VLOOKUP($N422,'[1]MSTR AKT'!$C$4:$D$460,2,0))</f>
        <v>1315131513</v>
      </c>
      <c r="N422" s="72" t="s">
        <v>8</v>
      </c>
      <c r="O422" s="58"/>
      <c r="P422" s="59">
        <v>46001</v>
      </c>
      <c r="Q422" s="100">
        <v>3</v>
      </c>
      <c r="R422" s="101">
        <v>6.3719999999999999</v>
      </c>
      <c r="S422" s="102">
        <f t="shared" si="21"/>
        <v>638824.86</v>
      </c>
    </row>
    <row r="423" spans="1:19" x14ac:dyDescent="0.35">
      <c r="A423" s="55" t="s">
        <v>33</v>
      </c>
      <c r="B423" s="55" t="str">
        <f>+VLOOKUP($D423,[1]STS!$A$9:$E$1405,3,0)</f>
        <v>06</v>
      </c>
      <c r="C423" s="86">
        <f>+VLOOKUP($D423,[1]STS!$A$9:$E$1405,4,0)</f>
        <v>21</v>
      </c>
      <c r="D423" s="64" t="s">
        <v>140</v>
      </c>
      <c r="E423" s="104">
        <f>+IF(ISERROR(VLOOKUP($D423,[1]STS!$E$9:$G$1503,3,0)=0),0,VLOOKUP($D423,[1]STS!$E$9:$G$1503,3,0))</f>
        <v>13.33</v>
      </c>
      <c r="F423" s="98">
        <v>4.1760000000000002</v>
      </c>
      <c r="G423" s="99">
        <f>+IF(ISERROR(VLOOKUP(D423,[1]STS!$E$9:$AO$1503,37,0)=0),0,VLOOKUP(D423,[1]STS!$E$9:$AO$1503,37,0))</f>
        <v>3.4451851080246949</v>
      </c>
      <c r="H423" s="82" t="str">
        <f>+IF(ISERROR(VLOOKUP(D423,[1]STS!$E$9:$I$1503,5,0)=0),0,VLOOKUP(D423,[1]STS!$E$9:$I$1503,5,0))</f>
        <v>SC</v>
      </c>
      <c r="I423" s="65"/>
      <c r="J423" s="66" t="str">
        <f>VLOOKUP(D423,[1]STS!$E$9:$BC$1359,51,0)</f>
        <v>F18</v>
      </c>
      <c r="K423" s="67"/>
      <c r="L423" s="78" t="str">
        <f>+VLOOKUP(N423,'[1]MSTR AKT'!$C$4:$E$460,3,0)</f>
        <v>Etri 2</v>
      </c>
      <c r="M423" s="83">
        <f>+IF(ISERROR(VLOOKUP($N423,'[1]MSTR AKT'!$C$4:$D$460,2,0)=0),0,VLOOKUP($N423,'[1]MSTR AKT'!$C$4:$D$460,2,0))</f>
        <v>1315131513</v>
      </c>
      <c r="N423" s="72" t="s">
        <v>8</v>
      </c>
      <c r="O423" s="58"/>
      <c r="P423" s="59">
        <v>46001</v>
      </c>
      <c r="Q423" s="100">
        <v>3</v>
      </c>
      <c r="R423" s="101">
        <v>12.528</v>
      </c>
      <c r="S423" s="102">
        <f t="shared" si="21"/>
        <v>1255994.6400000001</v>
      </c>
    </row>
    <row r="424" spans="1:19" x14ac:dyDescent="0.35">
      <c r="A424" s="55" t="s">
        <v>33</v>
      </c>
      <c r="B424" s="55" t="str">
        <f>+VLOOKUP($D424,[1]STS!$A$9:$E$1405,3,0)</f>
        <v>06</v>
      </c>
      <c r="C424" s="86">
        <f>+VLOOKUP($D424,[1]STS!$A$9:$E$1405,4,0)</f>
        <v>21</v>
      </c>
      <c r="D424" s="64" t="s">
        <v>342</v>
      </c>
      <c r="E424" s="104">
        <f>+IF(ISERROR(VLOOKUP($D424,[1]STS!$E$9:$G$1503,3,0)=0),0,VLOOKUP($D424,[1]STS!$E$9:$G$1503,3,0))</f>
        <v>7.13</v>
      </c>
      <c r="F424" s="98">
        <v>1.8839999999999999</v>
      </c>
      <c r="G424" s="99">
        <f>+IF(ISERROR(VLOOKUP(D424,[1]STS!$E$9:$AO$1503,37,0)=0),0,VLOOKUP(D424,[1]STS!$E$9:$AO$1503,37,0))</f>
        <v>2.0118517746913613</v>
      </c>
      <c r="H424" s="82" t="str">
        <f>+IF(ISERROR(VLOOKUP(D424,[1]STS!$E$9:$I$1503,5,0)=0),0,VLOOKUP(D424,[1]STS!$E$9:$I$1503,5,0))</f>
        <v>FC</v>
      </c>
      <c r="I424" s="65"/>
      <c r="J424" s="66" t="str">
        <f>VLOOKUP(D424,[1]STS!$E$9:$BC$1359,51,0)</f>
        <v>F18SS</v>
      </c>
      <c r="K424" s="67"/>
      <c r="L424" s="78" t="str">
        <f>+VLOOKUP(N424,'[1]MSTR AKT'!$C$4:$E$460,3,0)</f>
        <v>Etri 2</v>
      </c>
      <c r="M424" s="83">
        <f>+IF(ISERROR(VLOOKUP($N424,'[1]MSTR AKT'!$C$4:$D$460,2,0)=0),0,VLOOKUP($N424,'[1]MSTR AKT'!$C$4:$D$460,2,0))</f>
        <v>1315131513</v>
      </c>
      <c r="N424" s="72" t="s">
        <v>8</v>
      </c>
      <c r="O424" s="58"/>
      <c r="P424" s="59">
        <v>46002</v>
      </c>
      <c r="Q424" s="100">
        <v>3</v>
      </c>
      <c r="R424" s="101">
        <v>5.6519999999999992</v>
      </c>
      <c r="S424" s="102">
        <f t="shared" si="21"/>
        <v>566641.25999999989</v>
      </c>
    </row>
    <row r="425" spans="1:19" x14ac:dyDescent="0.35">
      <c r="A425" s="55" t="s">
        <v>33</v>
      </c>
      <c r="B425" s="55" t="str">
        <f>+VLOOKUP($D425,[1]STS!$A$9:$E$1405,3,0)</f>
        <v>06</v>
      </c>
      <c r="C425" s="86">
        <f>+VLOOKUP($D425,[1]STS!$A$9:$E$1405,4,0)</f>
        <v>21</v>
      </c>
      <c r="D425" s="64" t="s">
        <v>109</v>
      </c>
      <c r="E425" s="104">
        <f>+IF(ISERROR(VLOOKUP($D425,[1]STS!$E$9:$G$1503,3,0)=0),0,VLOOKUP($D425,[1]STS!$E$9:$G$1503,3,0))</f>
        <v>4.3499999999999996</v>
      </c>
      <c r="F425" s="98">
        <v>1.3049999999999999</v>
      </c>
      <c r="G425" s="99">
        <f>+IF(ISERROR(VLOOKUP(D425,[1]STS!$E$9:$AO$1503,37,0)=0),0,VLOOKUP(D425,[1]STS!$E$9:$AO$1503,37,0))</f>
        <v>6.9785184413580286</v>
      </c>
      <c r="H425" s="82" t="str">
        <f>+IF(ISERROR(VLOOKUP(D425,[1]STS!$E$9:$I$1503,5,0)=0),0,VLOOKUP(D425,[1]STS!$E$9:$I$1503,5,0))</f>
        <v>FC</v>
      </c>
      <c r="I425" s="65"/>
      <c r="J425" s="66" t="str">
        <f>VLOOKUP(D425,[1]STS!$E$9:$BC$1359,51,0)</f>
        <v>F18CK</v>
      </c>
      <c r="K425" s="67"/>
      <c r="L425" s="78" t="str">
        <f>+VLOOKUP(N425,'[1]MSTR AKT'!$C$4:$E$460,3,0)</f>
        <v>Etri 2</v>
      </c>
      <c r="M425" s="83">
        <f>+IF(ISERROR(VLOOKUP($N425,'[1]MSTR AKT'!$C$4:$D$460,2,0)=0),0,VLOOKUP($N425,'[1]MSTR AKT'!$C$4:$D$460,2,0))</f>
        <v>1315131513</v>
      </c>
      <c r="N425" s="72" t="s">
        <v>8</v>
      </c>
      <c r="O425" s="58"/>
      <c r="P425" s="59">
        <v>46002</v>
      </c>
      <c r="Q425" s="100">
        <v>3</v>
      </c>
      <c r="R425" s="101">
        <v>3.915</v>
      </c>
      <c r="S425" s="102">
        <f t="shared" si="21"/>
        <v>392498.32500000001</v>
      </c>
    </row>
    <row r="426" spans="1:19" x14ac:dyDescent="0.35">
      <c r="A426" s="55" t="s">
        <v>33</v>
      </c>
      <c r="B426" s="55" t="str">
        <f>+VLOOKUP($D426,[1]STS!$A$9:$E$1405,3,0)</f>
        <v>06</v>
      </c>
      <c r="C426" s="86">
        <f>+VLOOKUP($D426,[1]STS!$A$9:$E$1405,4,0)</f>
        <v>21</v>
      </c>
      <c r="D426" s="64" t="s">
        <v>110</v>
      </c>
      <c r="E426" s="104">
        <f>+IF(ISERROR(VLOOKUP($D426,[1]STS!$E$9:$G$1503,3,0)=0),0,VLOOKUP($D426,[1]STS!$E$9:$G$1503,3,0))</f>
        <v>6.04</v>
      </c>
      <c r="F426" s="98">
        <v>1.8119999999999998</v>
      </c>
      <c r="G426" s="99">
        <f>+IF(ISERROR(VLOOKUP(D426,[1]STS!$E$9:$AO$1503,37,0)=0),0,VLOOKUP(D426,[1]STS!$E$9:$AO$1503,37,0))</f>
        <v>6.6451851080246946</v>
      </c>
      <c r="H426" s="82" t="str">
        <f>+IF(ISERROR(VLOOKUP(D426,[1]STS!$E$9:$I$1503,5,0)=0),0,VLOOKUP(D426,[1]STS!$E$9:$I$1503,5,0))</f>
        <v>FC</v>
      </c>
      <c r="I426" s="65"/>
      <c r="J426" s="66" t="str">
        <f>VLOOKUP(D426,[1]STS!$E$9:$BC$1359,51,0)</f>
        <v>F18SB</v>
      </c>
      <c r="K426" s="67"/>
      <c r="L426" s="78" t="str">
        <f>+VLOOKUP(N426,'[1]MSTR AKT'!$C$4:$E$460,3,0)</f>
        <v>Etri 2</v>
      </c>
      <c r="M426" s="83">
        <f>+IF(ISERROR(VLOOKUP($N426,'[1]MSTR AKT'!$C$4:$D$460,2,0)=0),0,VLOOKUP($N426,'[1]MSTR AKT'!$C$4:$D$460,2,0))</f>
        <v>1315131513</v>
      </c>
      <c r="N426" s="72" t="s">
        <v>8</v>
      </c>
      <c r="O426" s="58"/>
      <c r="P426" s="59">
        <v>46001</v>
      </c>
      <c r="Q426" s="100">
        <v>3</v>
      </c>
      <c r="R426" s="101">
        <v>5.4359999999999999</v>
      </c>
      <c r="S426" s="102">
        <f t="shared" si="21"/>
        <v>544986.18000000005</v>
      </c>
    </row>
    <row r="427" spans="1:19" x14ac:dyDescent="0.35">
      <c r="A427" s="55" t="s">
        <v>33</v>
      </c>
      <c r="B427" s="55" t="str">
        <f>+VLOOKUP($D427,[1]STS!$A$9:$E$1405,3,0)</f>
        <v>06</v>
      </c>
      <c r="C427" s="86">
        <f>+VLOOKUP($D427,[1]STS!$A$9:$E$1405,4,0)</f>
        <v>21</v>
      </c>
      <c r="D427" s="64" t="s">
        <v>347</v>
      </c>
      <c r="E427" s="104">
        <f>+IF(ISERROR(VLOOKUP($D427,[1]STS!$E$9:$G$1503,3,0)=0),0,VLOOKUP($D427,[1]STS!$E$9:$G$1503,3,0))</f>
        <v>5.74</v>
      </c>
      <c r="F427" s="98">
        <v>1.7909999999999999</v>
      </c>
      <c r="G427" s="99">
        <f>+IF(ISERROR(VLOOKUP(D427,[1]STS!$E$9:$AO$1503,37,0)=0),0,VLOOKUP(D427,[1]STS!$E$9:$AO$1503,37,0))</f>
        <v>2.2785184413580284</v>
      </c>
      <c r="H427" s="82" t="str">
        <f>+IF(ISERROR(VLOOKUP(D427,[1]STS!$E$9:$I$1503,5,0)=0),0,VLOOKUP(D427,[1]STS!$E$9:$I$1503,5,0))</f>
        <v>FC</v>
      </c>
      <c r="I427" s="65"/>
      <c r="J427" s="66" t="str">
        <f>VLOOKUP(D427,[1]STS!$E$9:$BC$1359,51,0)</f>
        <v>F18CK</v>
      </c>
      <c r="K427" s="67"/>
      <c r="L427" s="78" t="str">
        <f>+VLOOKUP(N427,'[1]MSTR AKT'!$C$4:$E$460,3,0)</f>
        <v>Etri 2</v>
      </c>
      <c r="M427" s="83">
        <f>+IF(ISERROR(VLOOKUP($N427,'[1]MSTR AKT'!$C$4:$D$460,2,0)=0),0,VLOOKUP($N427,'[1]MSTR AKT'!$C$4:$D$460,2,0))</f>
        <v>1315131513</v>
      </c>
      <c r="N427" s="72" t="s">
        <v>8</v>
      </c>
      <c r="O427" s="58"/>
      <c r="P427" s="59">
        <v>46001</v>
      </c>
      <c r="Q427" s="100">
        <v>3</v>
      </c>
      <c r="R427" s="101">
        <v>5.3729999999999993</v>
      </c>
      <c r="S427" s="102">
        <f t="shared" si="21"/>
        <v>538670.11499999999</v>
      </c>
    </row>
    <row r="428" spans="1:19" x14ac:dyDescent="0.35">
      <c r="A428" s="55" t="s">
        <v>33</v>
      </c>
      <c r="B428" s="55" t="str">
        <f>+VLOOKUP($D428,[1]STS!$A$9:$E$1405,3,0)</f>
        <v>06</v>
      </c>
      <c r="C428" s="86">
        <f>+VLOOKUP($D428,[1]STS!$A$9:$E$1405,4,0)</f>
        <v>21</v>
      </c>
      <c r="D428" s="64" t="s">
        <v>348</v>
      </c>
      <c r="E428" s="104">
        <f>+IF(ISERROR(VLOOKUP($D428,[1]STS!$E$9:$G$1503,3,0)=0),0,VLOOKUP($D428,[1]STS!$E$9:$G$1503,3,0))</f>
        <v>4.84</v>
      </c>
      <c r="F428" s="98">
        <v>4.056</v>
      </c>
      <c r="G428" s="99">
        <f>+IF(ISERROR(VLOOKUP(D428,[1]STS!$E$9:$AO$1503,37,0)=0),0,VLOOKUP(D428,[1]STS!$E$9:$AO$1503,37,0))</f>
        <v>2.1451851080246951</v>
      </c>
      <c r="H428" s="82" t="str">
        <f>+IF(ISERROR(VLOOKUP(D428,[1]STS!$E$9:$I$1503,5,0)=0),0,VLOOKUP(D428,[1]STS!$E$9:$I$1503,5,0))</f>
        <v>FC</v>
      </c>
      <c r="I428" s="65"/>
      <c r="J428" s="66" t="str">
        <f>VLOOKUP(D428,[1]STS!$E$9:$BC$1359,51,0)</f>
        <v>GP3SS</v>
      </c>
      <c r="K428" s="67"/>
      <c r="L428" s="78" t="str">
        <f>+VLOOKUP(N428,'[1]MSTR AKT'!$C$4:$E$460,3,0)</f>
        <v>Etri 2</v>
      </c>
      <c r="M428" s="83">
        <f>+IF(ISERROR(VLOOKUP($N428,'[1]MSTR AKT'!$C$4:$D$460,2,0)=0),0,VLOOKUP($N428,'[1]MSTR AKT'!$C$4:$D$460,2,0))</f>
        <v>1315131513</v>
      </c>
      <c r="N428" s="72" t="s">
        <v>8</v>
      </c>
      <c r="O428" s="58"/>
      <c r="P428" s="59">
        <v>46001</v>
      </c>
      <c r="Q428" s="100">
        <v>3</v>
      </c>
      <c r="R428" s="101">
        <v>12.167999999999999</v>
      </c>
      <c r="S428" s="102">
        <f t="shared" si="21"/>
        <v>1219902.8399999999</v>
      </c>
    </row>
    <row r="429" spans="1:19" x14ac:dyDescent="0.35">
      <c r="A429" s="55" t="s">
        <v>33</v>
      </c>
      <c r="B429" s="55" t="str">
        <f>+VLOOKUP($D429,[1]STS!$A$9:$E$1405,3,0)</f>
        <v>06</v>
      </c>
      <c r="C429" s="86">
        <f>+VLOOKUP($D429,[1]STS!$A$9:$E$1405,4,0)</f>
        <v>21</v>
      </c>
      <c r="D429" s="64" t="s">
        <v>350</v>
      </c>
      <c r="E429" s="104">
        <f>+IF(ISERROR(VLOOKUP($D429,[1]STS!$E$9:$G$1503,3,0)=0),0,VLOOKUP($D429,[1]STS!$E$9:$G$1503,3,0))</f>
        <v>5.29</v>
      </c>
      <c r="F429" s="98">
        <v>1.6950000000000001</v>
      </c>
      <c r="G429" s="99">
        <f>+IF(ISERROR(VLOOKUP(D429,[1]STS!$E$9:$AO$1503,37,0)=0),0,VLOOKUP(D429,[1]STS!$E$9:$AO$1503,37,0))</f>
        <v>2.1451851080246951</v>
      </c>
      <c r="H429" s="82" t="str">
        <f>+IF(ISERROR(VLOOKUP(D429,[1]STS!$E$9:$I$1503,5,0)=0),0,VLOOKUP(D429,[1]STS!$E$9:$I$1503,5,0))</f>
        <v>FC</v>
      </c>
      <c r="I429" s="65"/>
      <c r="J429" s="66" t="str">
        <f>VLOOKUP(D429,[1]STS!$E$9:$BC$1359,51,0)</f>
        <v>GP3SS</v>
      </c>
      <c r="K429" s="67"/>
      <c r="L429" s="78" t="str">
        <f>+VLOOKUP(N429,'[1]MSTR AKT'!$C$4:$E$460,3,0)</f>
        <v>Etri 2</v>
      </c>
      <c r="M429" s="83">
        <f>+IF(ISERROR(VLOOKUP($N429,'[1]MSTR AKT'!$C$4:$D$460,2,0)=0),0,VLOOKUP($N429,'[1]MSTR AKT'!$C$4:$D$460,2,0))</f>
        <v>1315131513</v>
      </c>
      <c r="N429" s="72" t="s">
        <v>8</v>
      </c>
      <c r="O429" s="58"/>
      <c r="P429" s="59">
        <v>46001</v>
      </c>
      <c r="Q429" s="100">
        <v>3</v>
      </c>
      <c r="R429" s="101">
        <v>5.085</v>
      </c>
      <c r="S429" s="102">
        <f t="shared" si="21"/>
        <v>509796.67499999999</v>
      </c>
    </row>
    <row r="430" spans="1:19" x14ac:dyDescent="0.35">
      <c r="A430" s="55" t="s">
        <v>33</v>
      </c>
      <c r="B430" s="55" t="str">
        <f>+VLOOKUP($D430,[1]STS!$A$9:$E$1405,3,0)</f>
        <v>06</v>
      </c>
      <c r="C430" s="86">
        <f>+VLOOKUP($D430,[1]STS!$A$9:$E$1405,4,0)</f>
        <v>21</v>
      </c>
      <c r="D430" s="64" t="s">
        <v>220</v>
      </c>
      <c r="E430" s="104">
        <f>+IF(ISERROR(VLOOKUP($D430,[1]STS!$E$9:$G$1503,3,0)=0),0,VLOOKUP($D430,[1]STS!$E$9:$G$1503,3,0))</f>
        <v>4.49</v>
      </c>
      <c r="F430" s="98">
        <v>1.26</v>
      </c>
      <c r="G430" s="99">
        <f>+IF(ISERROR(VLOOKUP(D430,[1]STS!$E$9:$AO$1503,37,0)=0),0,VLOOKUP(D430,[1]STS!$E$9:$AO$1503,37,0))</f>
        <v>1.8118517746913616</v>
      </c>
      <c r="H430" s="82" t="str">
        <f>+IF(ISERROR(VLOOKUP(D430,[1]STS!$E$9:$I$1503,5,0)=0),0,VLOOKUP(D430,[1]STS!$E$9:$I$1503,5,0))</f>
        <v>FC</v>
      </c>
      <c r="I430" s="65"/>
      <c r="J430" s="66" t="str">
        <f>VLOOKUP(D430,[1]STS!$E$9:$BC$1359,51,0)</f>
        <v>F18CK</v>
      </c>
      <c r="K430" s="67"/>
      <c r="L430" s="78" t="str">
        <f>+VLOOKUP(N430,'[1]MSTR AKT'!$C$4:$E$460,3,0)</f>
        <v>Etri 2</v>
      </c>
      <c r="M430" s="83">
        <f>+IF(ISERROR(VLOOKUP($N430,'[1]MSTR AKT'!$C$4:$D$460,2,0)=0),0,VLOOKUP($N430,'[1]MSTR AKT'!$C$4:$D$460,2,0))</f>
        <v>1315131513</v>
      </c>
      <c r="N430" s="72" t="s">
        <v>8</v>
      </c>
      <c r="O430" s="58"/>
      <c r="P430" s="59">
        <v>46001</v>
      </c>
      <c r="Q430" s="100">
        <v>3</v>
      </c>
      <c r="R430" s="101">
        <v>3.7800000000000002</v>
      </c>
      <c r="S430" s="102">
        <f t="shared" si="21"/>
        <v>378963.9</v>
      </c>
    </row>
    <row r="431" spans="1:19" x14ac:dyDescent="0.35">
      <c r="A431" s="55" t="s">
        <v>33</v>
      </c>
      <c r="B431" s="55" t="str">
        <f>+VLOOKUP($D431,[1]STS!$A$9:$E$1405,3,0)</f>
        <v>06</v>
      </c>
      <c r="C431" s="86">
        <f>+VLOOKUP($D431,[1]STS!$A$9:$E$1405,4,0)</f>
        <v>21</v>
      </c>
      <c r="D431" s="64" t="s">
        <v>218</v>
      </c>
      <c r="E431" s="104">
        <f>+IF(ISERROR(VLOOKUP($D431,[1]STS!$E$9:$G$1503,3,0)=0),0,VLOOKUP($D431,[1]STS!$E$9:$G$1503,3,0))</f>
        <v>4.8</v>
      </c>
      <c r="F431" s="98">
        <v>1.44</v>
      </c>
      <c r="G431" s="99">
        <f>+IF(ISERROR(VLOOKUP(D431,[1]STS!$E$9:$AO$1503,37,0)=0),0,VLOOKUP(D431,[1]STS!$E$9:$AO$1503,37,0))</f>
        <v>4.4785184413580286</v>
      </c>
      <c r="H431" s="82" t="str">
        <f>+IF(ISERROR(VLOOKUP(D431,[1]STS!$E$9:$I$1503,5,0)=0),0,VLOOKUP(D431,[1]STS!$E$9:$I$1503,5,0))</f>
        <v>FC</v>
      </c>
      <c r="I431" s="65"/>
      <c r="J431" s="66" t="str">
        <f>VLOOKUP(D431,[1]STS!$E$9:$BC$1359,51,0)</f>
        <v>F18SB</v>
      </c>
      <c r="K431" s="67"/>
      <c r="L431" s="78" t="str">
        <f>+VLOOKUP(N431,'[1]MSTR AKT'!$C$4:$E$460,3,0)</f>
        <v>Etri 2</v>
      </c>
      <c r="M431" s="83">
        <f>+IF(ISERROR(VLOOKUP($N431,'[1]MSTR AKT'!$C$4:$D$460,2,0)=0),0,VLOOKUP($N431,'[1]MSTR AKT'!$C$4:$D$460,2,0))</f>
        <v>1315131513</v>
      </c>
      <c r="N431" s="72" t="s">
        <v>8</v>
      </c>
      <c r="O431" s="58"/>
      <c r="P431" s="59">
        <v>46002</v>
      </c>
      <c r="Q431" s="100">
        <v>3</v>
      </c>
      <c r="R431" s="101">
        <v>4.32</v>
      </c>
      <c r="S431" s="102">
        <f t="shared" si="21"/>
        <v>433101.60000000003</v>
      </c>
    </row>
    <row r="432" spans="1:19" x14ac:dyDescent="0.35">
      <c r="A432" s="55" t="s">
        <v>33</v>
      </c>
      <c r="B432" s="55" t="str">
        <f>+VLOOKUP($D432,[1]STS!$A$9:$E$1405,3,0)</f>
        <v>06</v>
      </c>
      <c r="C432" s="86">
        <f>+VLOOKUP($D432,[1]STS!$A$9:$E$1405,4,0)</f>
        <v>21</v>
      </c>
      <c r="D432" s="64" t="s">
        <v>219</v>
      </c>
      <c r="E432" s="104">
        <f>+IF(ISERROR(VLOOKUP($D432,[1]STS!$E$9:$G$1503,3,0)=0),0,VLOOKUP($D432,[1]STS!$E$9:$G$1503,3,0))</f>
        <v>5.87</v>
      </c>
      <c r="F432" s="98">
        <v>1.7609999999999999</v>
      </c>
      <c r="G432" s="99">
        <f>+IF(ISERROR(VLOOKUP(D432,[1]STS!$E$9:$AO$1503,37,0)=0),0,VLOOKUP(D432,[1]STS!$E$9:$AO$1503,37,0))</f>
        <v>4.4118517746913612</v>
      </c>
      <c r="H432" s="82" t="str">
        <f>+IF(ISERROR(VLOOKUP(D432,[1]STS!$E$9:$I$1503,5,0)=0),0,VLOOKUP(D432,[1]STS!$E$9:$I$1503,5,0))</f>
        <v>FC</v>
      </c>
      <c r="I432" s="65"/>
      <c r="J432" s="66" t="str">
        <f>VLOOKUP(D432,[1]STS!$E$9:$BC$1359,51,0)</f>
        <v>F18SS</v>
      </c>
      <c r="K432" s="67"/>
      <c r="L432" s="78" t="str">
        <f>+VLOOKUP(N432,'[1]MSTR AKT'!$C$4:$E$460,3,0)</f>
        <v>Etri 2</v>
      </c>
      <c r="M432" s="83">
        <f>+IF(ISERROR(VLOOKUP($N432,'[1]MSTR AKT'!$C$4:$D$460,2,0)=0),0,VLOOKUP($N432,'[1]MSTR AKT'!$C$4:$D$460,2,0))</f>
        <v>1315131513</v>
      </c>
      <c r="N432" s="72" t="s">
        <v>8</v>
      </c>
      <c r="O432" s="58"/>
      <c r="P432" s="59">
        <v>46002</v>
      </c>
      <c r="Q432" s="100">
        <v>3</v>
      </c>
      <c r="R432" s="101">
        <v>5.2829999999999995</v>
      </c>
      <c r="S432" s="102">
        <f t="shared" si="21"/>
        <v>529647.16499999992</v>
      </c>
    </row>
    <row r="433" spans="1:19" x14ac:dyDescent="0.35">
      <c r="A433" s="55" t="s">
        <v>33</v>
      </c>
      <c r="B433" s="55" t="str">
        <f>+VLOOKUP($D433,[1]STS!$A$9:$E$1405,3,0)</f>
        <v>06</v>
      </c>
      <c r="C433" s="86">
        <f>+VLOOKUP($D433,[1]STS!$A$9:$E$1405,4,0)</f>
        <v>21</v>
      </c>
      <c r="D433" s="64" t="s">
        <v>298</v>
      </c>
      <c r="E433" s="104">
        <f>+IF(ISERROR(VLOOKUP($D433,[1]STS!$E$9:$G$1503,3,0)=0),0,VLOOKUP($D433,[1]STS!$E$9:$G$1503,3,0))</f>
        <v>4.42</v>
      </c>
      <c r="F433" s="98">
        <v>1.3259999999999998</v>
      </c>
      <c r="G433" s="99">
        <f>+IF(ISERROR(VLOOKUP(D433,[1]STS!$E$9:$AO$1503,37,0)=0),0,VLOOKUP(D433,[1]STS!$E$9:$AO$1503,37,0))</f>
        <v>9.3451851080246957</v>
      </c>
      <c r="H433" s="82" t="str">
        <f>+IF(ISERROR(VLOOKUP(D433,[1]STS!$E$9:$I$1503,5,0)=0),0,VLOOKUP(D433,[1]STS!$E$9:$I$1503,5,0))</f>
        <v>FC</v>
      </c>
      <c r="I433" s="65"/>
      <c r="J433" s="66" t="str">
        <f>VLOOKUP(D433,[1]STS!$E$9:$BC$1359,51,0)</f>
        <v>F18SS</v>
      </c>
      <c r="K433" s="67"/>
      <c r="L433" s="78" t="str">
        <f>+VLOOKUP(N433,'[1]MSTR AKT'!$C$4:$E$460,3,0)</f>
        <v>Etri 2</v>
      </c>
      <c r="M433" s="83">
        <f>+IF(ISERROR(VLOOKUP($N433,'[1]MSTR AKT'!$C$4:$D$460,2,0)=0),0,VLOOKUP($N433,'[1]MSTR AKT'!$C$4:$D$460,2,0))</f>
        <v>1315131513</v>
      </c>
      <c r="N433" s="72" t="s">
        <v>8</v>
      </c>
      <c r="O433" s="58"/>
      <c r="P433" s="59">
        <v>46001</v>
      </c>
      <c r="Q433" s="100">
        <v>3</v>
      </c>
      <c r="R433" s="101">
        <v>3.9779999999999998</v>
      </c>
      <c r="S433" s="102">
        <f t="shared" si="21"/>
        <v>398814.38999999996</v>
      </c>
    </row>
    <row r="434" spans="1:19" x14ac:dyDescent="0.35">
      <c r="A434" s="55" t="s">
        <v>33</v>
      </c>
      <c r="B434" s="55" t="str">
        <f>+VLOOKUP($D434,[1]STS!$A$9:$E$1405,3,0)</f>
        <v>06</v>
      </c>
      <c r="C434" s="86">
        <f>+VLOOKUP($D434,[1]STS!$A$9:$E$1405,4,0)</f>
        <v>21</v>
      </c>
      <c r="D434" s="64" t="s">
        <v>349</v>
      </c>
      <c r="E434" s="104">
        <f>+IF(ISERROR(VLOOKUP($D434,[1]STS!$E$9:$G$1503,3,0)=0),0,VLOOKUP($D434,[1]STS!$E$9:$G$1503,3,0))</f>
        <v>6.68</v>
      </c>
      <c r="F434" s="98">
        <v>1.746</v>
      </c>
      <c r="G434" s="99">
        <f>+IF(ISERROR(VLOOKUP(D434,[1]STS!$E$9:$AO$1503,37,0)=0),0,VLOOKUP(D434,[1]STS!$E$9:$AO$1503,37,0))</f>
        <v>1.8118517746913616</v>
      </c>
      <c r="H434" s="82" t="str">
        <f>+IF(ISERROR(VLOOKUP(D434,[1]STS!$E$9:$I$1503,5,0)=0),0,VLOOKUP(D434,[1]STS!$E$9:$I$1503,5,0))</f>
        <v>FC</v>
      </c>
      <c r="I434" s="65"/>
      <c r="J434" s="66" t="str">
        <f>VLOOKUP(D434,[1]STS!$E$9:$BC$1359,51,0)</f>
        <v>F18SB</v>
      </c>
      <c r="K434" s="67"/>
      <c r="L434" s="78" t="str">
        <f>+VLOOKUP(N434,'[1]MSTR AKT'!$C$4:$E$460,3,0)</f>
        <v>Etri 2</v>
      </c>
      <c r="M434" s="83">
        <f>+IF(ISERROR(VLOOKUP($N434,'[1]MSTR AKT'!$C$4:$D$460,2,0)=0),0,VLOOKUP($N434,'[1]MSTR AKT'!$C$4:$D$460,2,0))</f>
        <v>1315131513</v>
      </c>
      <c r="N434" s="72" t="s">
        <v>8</v>
      </c>
      <c r="O434" s="58"/>
      <c r="P434" s="59">
        <v>46001</v>
      </c>
      <c r="Q434" s="100">
        <v>3</v>
      </c>
      <c r="R434" s="101">
        <v>5.2379999999999995</v>
      </c>
      <c r="S434" s="102">
        <f t="shared" si="21"/>
        <v>525135.68999999994</v>
      </c>
    </row>
    <row r="435" spans="1:19" x14ac:dyDescent="0.35">
      <c r="A435" s="55" t="s">
        <v>33</v>
      </c>
      <c r="B435" s="55" t="str">
        <f>+VLOOKUP($D435,[1]STS!$A$9:$E$1405,3,0)</f>
        <v>06</v>
      </c>
      <c r="C435" s="86">
        <f>+VLOOKUP($D435,[1]STS!$A$9:$E$1405,4,0)</f>
        <v>21</v>
      </c>
      <c r="D435" s="64" t="s">
        <v>296</v>
      </c>
      <c r="E435" s="104">
        <f>+IF(ISERROR(VLOOKUP($D435,[1]STS!$E$9:$G$1503,3,0)=0),0,VLOOKUP($D435,[1]STS!$E$9:$G$1503,3,0))</f>
        <v>11.61</v>
      </c>
      <c r="F435" s="98">
        <v>3.3089999999999997</v>
      </c>
      <c r="G435" s="99">
        <f>+IF(ISERROR(VLOOKUP(D435,[1]STS!$E$9:$AO$1503,37,0)=0),0,VLOOKUP(D435,[1]STS!$E$9:$AO$1503,37,0))</f>
        <v>3.7451851080246947</v>
      </c>
      <c r="H435" s="82" t="str">
        <f>+IF(ISERROR(VLOOKUP(D435,[1]STS!$E$9:$I$1503,5,0)=0),0,VLOOKUP(D435,[1]STS!$E$9:$I$1503,5,0))</f>
        <v>FC</v>
      </c>
      <c r="I435" s="65"/>
      <c r="J435" s="66" t="str">
        <f>VLOOKUP(D435,[1]STS!$E$9:$BC$1359,51,0)</f>
        <v>GP3CK</v>
      </c>
      <c r="K435" s="67"/>
      <c r="L435" s="78" t="str">
        <f>+VLOOKUP(N435,'[1]MSTR AKT'!$C$4:$E$460,3,0)</f>
        <v>Etri 2</v>
      </c>
      <c r="M435" s="83">
        <f>+IF(ISERROR(VLOOKUP($N435,'[1]MSTR AKT'!$C$4:$D$460,2,0)=0),0,VLOOKUP($N435,'[1]MSTR AKT'!$C$4:$D$460,2,0))</f>
        <v>1315131513</v>
      </c>
      <c r="N435" s="72" t="s">
        <v>8</v>
      </c>
      <c r="O435" s="58"/>
      <c r="P435" s="59">
        <v>46002</v>
      </c>
      <c r="Q435" s="100">
        <v>3</v>
      </c>
      <c r="R435" s="101">
        <v>9.9269999999999996</v>
      </c>
      <c r="S435" s="102">
        <f t="shared" si="21"/>
        <v>995231.38500000001</v>
      </c>
    </row>
    <row r="436" spans="1:19" x14ac:dyDescent="0.35">
      <c r="A436" s="55" t="s">
        <v>33</v>
      </c>
      <c r="B436" s="55" t="str">
        <f>+VLOOKUP($D436,[1]STS!$A$9:$E$1405,3,0)</f>
        <v>06</v>
      </c>
      <c r="C436" s="86">
        <f>+VLOOKUP($D436,[1]STS!$A$9:$E$1405,4,0)</f>
        <v>21</v>
      </c>
      <c r="D436" s="64" t="s">
        <v>297</v>
      </c>
      <c r="E436" s="104">
        <f>+IF(ISERROR(VLOOKUP($D436,[1]STS!$E$9:$G$1503,3,0)=0),0,VLOOKUP($D436,[1]STS!$E$9:$G$1503,3,0))</f>
        <v>6.4</v>
      </c>
      <c r="F436" s="98">
        <v>1.77</v>
      </c>
      <c r="G436" s="99">
        <f>+IF(ISERROR(VLOOKUP(D436,[1]STS!$E$9:$AO$1503,37,0)=0),0,VLOOKUP(D436,[1]STS!$E$9:$AO$1503,37,0))</f>
        <v>3.9451851080246949</v>
      </c>
      <c r="H436" s="82" t="str">
        <f>+IF(ISERROR(VLOOKUP(D436,[1]STS!$E$9:$I$1503,5,0)=0),0,VLOOKUP(D436,[1]STS!$E$9:$I$1503,5,0))</f>
        <v>FC</v>
      </c>
      <c r="I436" s="65"/>
      <c r="J436" s="66" t="str">
        <f>VLOOKUP(D436,[1]STS!$E$9:$BC$1359,51,0)</f>
        <v>GP3CK</v>
      </c>
      <c r="K436" s="67"/>
      <c r="L436" s="78" t="str">
        <f>+VLOOKUP(N436,'[1]MSTR AKT'!$C$4:$E$460,3,0)</f>
        <v>Etri 2</v>
      </c>
      <c r="M436" s="83">
        <f>+IF(ISERROR(VLOOKUP($N436,'[1]MSTR AKT'!$C$4:$D$460,2,0)=0),0,VLOOKUP($N436,'[1]MSTR AKT'!$C$4:$D$460,2,0))</f>
        <v>1315131513</v>
      </c>
      <c r="N436" s="72" t="s">
        <v>8</v>
      </c>
      <c r="O436" s="58"/>
      <c r="P436" s="59">
        <v>46001</v>
      </c>
      <c r="Q436" s="100">
        <v>3</v>
      </c>
      <c r="R436" s="101">
        <v>5.3100000000000005</v>
      </c>
      <c r="S436" s="102">
        <f t="shared" si="21"/>
        <v>532354.05000000005</v>
      </c>
    </row>
    <row r="437" spans="1:19" x14ac:dyDescent="0.35">
      <c r="A437" s="55" t="s">
        <v>33</v>
      </c>
      <c r="B437" s="55" t="str">
        <f>+VLOOKUP($D437,[1]STS!$A$9:$E$1405,3,0)</f>
        <v>06</v>
      </c>
      <c r="C437" s="86">
        <f>+VLOOKUP($D437,[1]STS!$A$9:$E$1405,4,0)</f>
        <v>21</v>
      </c>
      <c r="D437" s="64" t="s">
        <v>290</v>
      </c>
      <c r="E437" s="104">
        <f>+IF(ISERROR(VLOOKUP($D437,[1]STS!$E$9:$G$1503,3,0)=0),0,VLOOKUP($D437,[1]STS!$E$9:$G$1503,3,0))</f>
        <v>6.56</v>
      </c>
      <c r="F437" s="98">
        <v>1.6649999999999998</v>
      </c>
      <c r="G437" s="99">
        <f>+IF(ISERROR(VLOOKUP(D437,[1]STS!$E$9:$AO$1503,37,0)=0),0,VLOOKUP(D437,[1]STS!$E$9:$AO$1503,37,0))</f>
        <v>4.211851774691362</v>
      </c>
      <c r="H437" s="82" t="str">
        <f>+IF(ISERROR(VLOOKUP(D437,[1]STS!$E$9:$I$1503,5,0)=0),0,VLOOKUP(D437,[1]STS!$E$9:$I$1503,5,0))</f>
        <v>FC</v>
      </c>
      <c r="I437" s="65"/>
      <c r="J437" s="66" t="str">
        <f>VLOOKUP(D437,[1]STS!$E$9:$BC$1359,51,0)</f>
        <v>F18SS</v>
      </c>
      <c r="K437" s="67"/>
      <c r="L437" s="78" t="str">
        <f>+VLOOKUP(N437,'[1]MSTR AKT'!$C$4:$E$460,3,0)</f>
        <v>Etri 2</v>
      </c>
      <c r="M437" s="83">
        <f>+IF(ISERROR(VLOOKUP($N437,'[1]MSTR AKT'!$C$4:$D$460,2,0)=0),0,VLOOKUP($N437,'[1]MSTR AKT'!$C$4:$D$460,2,0))</f>
        <v>1315131513</v>
      </c>
      <c r="N437" s="72" t="s">
        <v>8</v>
      </c>
      <c r="O437" s="58"/>
      <c r="P437" s="59">
        <v>46001</v>
      </c>
      <c r="Q437" s="100">
        <v>3</v>
      </c>
      <c r="R437" s="101">
        <v>4.9949999999999992</v>
      </c>
      <c r="S437" s="102">
        <f t="shared" si="21"/>
        <v>500773.72499999992</v>
      </c>
    </row>
    <row r="438" spans="1:19" x14ac:dyDescent="0.35">
      <c r="A438" s="55" t="s">
        <v>33</v>
      </c>
      <c r="B438" s="55" t="str">
        <f>+VLOOKUP($D438,[1]STS!$A$9:$E$1405,3,0)</f>
        <v>06</v>
      </c>
      <c r="C438" s="86">
        <f>+VLOOKUP($D438,[1]STS!$A$9:$E$1405,4,0)</f>
        <v>21</v>
      </c>
      <c r="D438" s="64" t="s">
        <v>291</v>
      </c>
      <c r="E438" s="104">
        <f>+IF(ISERROR(VLOOKUP($D438,[1]STS!$E$9:$G$1503,3,0)=0),0,VLOOKUP($D438,[1]STS!$E$9:$G$1503,3,0))</f>
        <v>6.51</v>
      </c>
      <c r="F438" s="98">
        <v>1.9710000000000001</v>
      </c>
      <c r="G438" s="99">
        <f>+IF(ISERROR(VLOOKUP(D438,[1]STS!$E$9:$AO$1503,37,0)=0),0,VLOOKUP(D438,[1]STS!$E$9:$AO$1503,37,0))</f>
        <v>4.0118517746913618</v>
      </c>
      <c r="H438" s="82" t="str">
        <f>+IF(ISERROR(VLOOKUP(D438,[1]STS!$E$9:$I$1503,5,0)=0),0,VLOOKUP(D438,[1]STS!$E$9:$I$1503,5,0))</f>
        <v>FC</v>
      </c>
      <c r="I438" s="65"/>
      <c r="J438" s="66" t="str">
        <f>VLOOKUP(D438,[1]STS!$E$9:$BC$1359,51,0)</f>
        <v>F18SB</v>
      </c>
      <c r="K438" s="67"/>
      <c r="L438" s="78" t="str">
        <f>+VLOOKUP(N438,'[1]MSTR AKT'!$C$4:$E$460,3,0)</f>
        <v>Etri 2</v>
      </c>
      <c r="M438" s="83">
        <f>+IF(ISERROR(VLOOKUP($N438,'[1]MSTR AKT'!$C$4:$D$460,2,0)=0),0,VLOOKUP($N438,'[1]MSTR AKT'!$C$4:$D$460,2,0))</f>
        <v>1315131513</v>
      </c>
      <c r="N438" s="72" t="s">
        <v>8</v>
      </c>
      <c r="O438" s="58"/>
      <c r="P438" s="59">
        <v>46001</v>
      </c>
      <c r="Q438" s="100">
        <v>3</v>
      </c>
      <c r="R438" s="101">
        <v>5.9130000000000003</v>
      </c>
      <c r="S438" s="102">
        <f t="shared" si="21"/>
        <v>592807.81500000006</v>
      </c>
    </row>
    <row r="439" spans="1:19" x14ac:dyDescent="0.35">
      <c r="A439" s="55" t="s">
        <v>33</v>
      </c>
      <c r="B439" s="55" t="str">
        <f>+VLOOKUP($D439,[1]STS!$A$9:$E$1405,3,0)</f>
        <v>06</v>
      </c>
      <c r="C439" s="86">
        <f>+VLOOKUP($D439,[1]STS!$A$9:$E$1405,4,0)</f>
        <v>21</v>
      </c>
      <c r="D439" s="64" t="s">
        <v>292</v>
      </c>
      <c r="E439" s="104">
        <f>+IF(ISERROR(VLOOKUP($D439,[1]STS!$E$9:$G$1503,3,0)=0),0,VLOOKUP($D439,[1]STS!$E$9:$G$1503,3,0))</f>
        <v>5.68</v>
      </c>
      <c r="F439" s="98">
        <v>1.68</v>
      </c>
      <c r="G439" s="99">
        <f>+IF(ISERROR(VLOOKUP(D439,[1]STS!$E$9:$AO$1503,37,0)=0),0,VLOOKUP(D439,[1]STS!$E$9:$AO$1503,37,0))</f>
        <v>3.7451851080246947</v>
      </c>
      <c r="H439" s="82" t="str">
        <f>+IF(ISERROR(VLOOKUP(D439,[1]STS!$E$9:$I$1503,5,0)=0),0,VLOOKUP(D439,[1]STS!$E$9:$I$1503,5,0))</f>
        <v>FC</v>
      </c>
      <c r="I439" s="65"/>
      <c r="J439" s="66" t="str">
        <f>VLOOKUP(D439,[1]STS!$E$9:$BC$1359,51,0)</f>
        <v>F18SB</v>
      </c>
      <c r="K439" s="67"/>
      <c r="L439" s="78" t="str">
        <f>+VLOOKUP(N439,'[1]MSTR AKT'!$C$4:$E$460,3,0)</f>
        <v>Etri 2</v>
      </c>
      <c r="M439" s="83">
        <f>+IF(ISERROR(VLOOKUP($N439,'[1]MSTR AKT'!$C$4:$D$460,2,0)=0),0,VLOOKUP($N439,'[1]MSTR AKT'!$C$4:$D$460,2,0))</f>
        <v>1315131513</v>
      </c>
      <c r="N439" s="72" t="s">
        <v>8</v>
      </c>
      <c r="O439" s="58"/>
      <c r="P439" s="59">
        <v>46001</v>
      </c>
      <c r="Q439" s="100">
        <v>3</v>
      </c>
      <c r="R439" s="101">
        <v>5.04</v>
      </c>
      <c r="S439" s="102">
        <f t="shared" si="21"/>
        <v>505285.2</v>
      </c>
    </row>
    <row r="440" spans="1:19" x14ac:dyDescent="0.35">
      <c r="A440" s="55" t="s">
        <v>33</v>
      </c>
      <c r="B440" s="55" t="str">
        <f>+VLOOKUP($D440,[1]STS!$A$9:$E$1405,3,0)</f>
        <v>06</v>
      </c>
      <c r="C440" s="86">
        <f>+VLOOKUP($D440,[1]STS!$A$9:$E$1405,4,0)</f>
        <v>21</v>
      </c>
      <c r="D440" s="64" t="s">
        <v>340</v>
      </c>
      <c r="E440" s="104">
        <f>+IF(ISERROR(VLOOKUP($D440,[1]STS!$E$9:$G$1503,3,0)=0),0,VLOOKUP($D440,[1]STS!$E$9:$G$1503,3,0))</f>
        <v>4.45</v>
      </c>
      <c r="F440" s="98">
        <v>1.335</v>
      </c>
      <c r="G440" s="99">
        <f>+IF(ISERROR(VLOOKUP(D440,[1]STS!$E$9:$AO$1503,37,0)=0),0,VLOOKUP(D440,[1]STS!$E$9:$AO$1503,37,0))</f>
        <v>2.8451851080246948</v>
      </c>
      <c r="H440" s="82" t="str">
        <f>+IF(ISERROR(VLOOKUP(D440,[1]STS!$E$9:$I$1503,5,0)=0),0,VLOOKUP(D440,[1]STS!$E$9:$I$1503,5,0))</f>
        <v>FC</v>
      </c>
      <c r="I440" s="65"/>
      <c r="J440" s="66" t="str">
        <f>VLOOKUP(D440,[1]STS!$E$9:$BC$1359,51,0)</f>
        <v>GP3SB</v>
      </c>
      <c r="K440" s="67"/>
      <c r="L440" s="78" t="str">
        <f>+VLOOKUP(N440,'[1]MSTR AKT'!$C$4:$E$460,3,0)</f>
        <v>Etri 2</v>
      </c>
      <c r="M440" s="83">
        <f>+IF(ISERROR(VLOOKUP($N440,'[1]MSTR AKT'!$C$4:$D$460,2,0)=0),0,VLOOKUP($N440,'[1]MSTR AKT'!$C$4:$D$460,2,0))</f>
        <v>1315131513</v>
      </c>
      <c r="N440" s="72" t="s">
        <v>8</v>
      </c>
      <c r="O440" s="58"/>
      <c r="P440" s="59">
        <v>46001</v>
      </c>
      <c r="Q440" s="100">
        <v>3</v>
      </c>
      <c r="R440" s="101">
        <v>4.0049999999999999</v>
      </c>
      <c r="S440" s="102">
        <f t="shared" si="21"/>
        <v>401521.27499999997</v>
      </c>
    </row>
    <row r="441" spans="1:19" x14ac:dyDescent="0.35">
      <c r="A441" s="55" t="s">
        <v>33</v>
      </c>
      <c r="B441" s="55" t="str">
        <f>+VLOOKUP($D441,[1]STS!$A$9:$E$1405,3,0)</f>
        <v>06</v>
      </c>
      <c r="C441" s="86">
        <f>+VLOOKUP($D441,[1]STS!$A$9:$E$1405,4,0)</f>
        <v>21</v>
      </c>
      <c r="D441" s="64" t="s">
        <v>344</v>
      </c>
      <c r="E441" s="104">
        <f>+IF(ISERROR(VLOOKUP($D441,[1]STS!$E$9:$G$1503,3,0)=0),0,VLOOKUP($D441,[1]STS!$E$9:$G$1503,3,0))</f>
        <v>4.9400000000000004</v>
      </c>
      <c r="F441" s="98">
        <v>1.4490000000000001</v>
      </c>
      <c r="G441" s="99">
        <f>+IF(ISERROR(VLOOKUP(D441,[1]STS!$E$9:$AO$1503,37,0)=0),0,VLOOKUP(D441,[1]STS!$E$9:$AO$1503,37,0))</f>
        <v>2.8451851080246948</v>
      </c>
      <c r="H441" s="82" t="str">
        <f>+IF(ISERROR(VLOOKUP(D441,[1]STS!$E$9:$I$1503,5,0)=0),0,VLOOKUP(D441,[1]STS!$E$9:$I$1503,5,0))</f>
        <v>FC</v>
      </c>
      <c r="I441" s="65"/>
      <c r="J441" s="66" t="str">
        <f>VLOOKUP(D441,[1]STS!$E$9:$BC$1359,51,0)</f>
        <v>GP3SB</v>
      </c>
      <c r="K441" s="67"/>
      <c r="L441" s="78" t="str">
        <f>+VLOOKUP(N441,'[1]MSTR AKT'!$C$4:$E$460,3,0)</f>
        <v>Etri 2</v>
      </c>
      <c r="M441" s="83">
        <f>+IF(ISERROR(VLOOKUP($N441,'[1]MSTR AKT'!$C$4:$D$460,2,0)=0),0,VLOOKUP($N441,'[1]MSTR AKT'!$C$4:$D$460,2,0))</f>
        <v>1315131513</v>
      </c>
      <c r="N441" s="72" t="s">
        <v>8</v>
      </c>
      <c r="O441" s="58"/>
      <c r="P441" s="59">
        <v>46002</v>
      </c>
      <c r="Q441" s="100">
        <v>3</v>
      </c>
      <c r="R441" s="101">
        <v>4.3470000000000004</v>
      </c>
      <c r="S441" s="102">
        <f t="shared" si="21"/>
        <v>435808.48500000004</v>
      </c>
    </row>
    <row r="442" spans="1:19" x14ac:dyDescent="0.35">
      <c r="A442" s="55" t="s">
        <v>33</v>
      </c>
      <c r="B442" s="55" t="str">
        <f>+VLOOKUP($D442,[1]STS!$A$9:$E$1405,3,0)</f>
        <v>06</v>
      </c>
      <c r="C442" s="86">
        <f>+VLOOKUP($D442,[1]STS!$A$9:$E$1405,4,0)</f>
        <v>21</v>
      </c>
      <c r="D442" s="64" t="s">
        <v>293</v>
      </c>
      <c r="E442" s="104">
        <f>+IF(ISERROR(VLOOKUP($D442,[1]STS!$E$9:$G$1503,3,0)=0),0,VLOOKUP($D442,[1]STS!$E$9:$G$1503,3,0))</f>
        <v>6.14</v>
      </c>
      <c r="F442" s="98">
        <v>1.8119999999999998</v>
      </c>
      <c r="G442" s="99">
        <f>+IF(ISERROR(VLOOKUP(D442,[1]STS!$E$9:$AO$1503,37,0)=0),0,VLOOKUP(D442,[1]STS!$E$9:$AO$1503,37,0))</f>
        <v>4.5118517746913618</v>
      </c>
      <c r="H442" s="82" t="str">
        <f>+IF(ISERROR(VLOOKUP(D442,[1]STS!$E$9:$I$1503,5,0)=0),0,VLOOKUP(D442,[1]STS!$E$9:$I$1503,5,0))</f>
        <v>FC</v>
      </c>
      <c r="I442" s="65"/>
      <c r="J442" s="66" t="str">
        <f>VLOOKUP(D442,[1]STS!$E$9:$BC$1359,51,0)</f>
        <v>F18CK</v>
      </c>
      <c r="K442" s="67"/>
      <c r="L442" s="78" t="str">
        <f>+VLOOKUP(N442,'[1]MSTR AKT'!$C$4:$E$460,3,0)</f>
        <v>Etri 2</v>
      </c>
      <c r="M442" s="83">
        <f>+IF(ISERROR(VLOOKUP($N442,'[1]MSTR AKT'!$C$4:$D$460,2,0)=0),0,VLOOKUP($N442,'[1]MSTR AKT'!$C$4:$D$460,2,0))</f>
        <v>1315131513</v>
      </c>
      <c r="N442" s="72" t="s">
        <v>8</v>
      </c>
      <c r="O442" s="58"/>
      <c r="P442" s="59">
        <v>46002</v>
      </c>
      <c r="Q442" s="100">
        <v>3</v>
      </c>
      <c r="R442" s="101">
        <v>5.4359999999999999</v>
      </c>
      <c r="S442" s="102">
        <f t="shared" si="21"/>
        <v>544986.18000000005</v>
      </c>
    </row>
    <row r="443" spans="1:19" x14ac:dyDescent="0.35">
      <c r="A443" s="55" t="s">
        <v>33</v>
      </c>
      <c r="B443" s="55" t="str">
        <f>+VLOOKUP($D443,[1]STS!$A$9:$E$1405,3,0)</f>
        <v>06</v>
      </c>
      <c r="C443" s="86">
        <f>+VLOOKUP($D443,[1]STS!$A$9:$E$1405,4,0)</f>
        <v>21</v>
      </c>
      <c r="D443" s="64" t="s">
        <v>300</v>
      </c>
      <c r="E443" s="104">
        <f>+IF(ISERROR(VLOOKUP($D443,[1]STS!$E$9:$G$1503,3,0)=0),0,VLOOKUP($D443,[1]STS!$E$9:$G$1503,3,0))</f>
        <v>6.5</v>
      </c>
      <c r="F443" s="98">
        <v>2.004</v>
      </c>
      <c r="G443" s="99">
        <f>+IF(ISERROR(VLOOKUP(D443,[1]STS!$E$9:$AO$1503,37,0)=0),0,VLOOKUP(D443,[1]STS!$E$9:$AO$1503,37,0))</f>
        <v>2.4785184413580281</v>
      </c>
      <c r="H443" s="82" t="str">
        <f>+IF(ISERROR(VLOOKUP(D443,[1]STS!$E$9:$I$1503,5,0)=0),0,VLOOKUP(D443,[1]STS!$E$9:$I$1503,5,0))</f>
        <v>FC</v>
      </c>
      <c r="I443" s="65"/>
      <c r="J443" s="66" t="str">
        <f>VLOOKUP(D443,[1]STS!$E$9:$BC$1359,51,0)</f>
        <v>F18CK</v>
      </c>
      <c r="K443" s="67"/>
      <c r="L443" s="78" t="str">
        <f>+VLOOKUP(N443,'[1]MSTR AKT'!$C$4:$E$460,3,0)</f>
        <v>Etri 2</v>
      </c>
      <c r="M443" s="83">
        <f>+IF(ISERROR(VLOOKUP($N443,'[1]MSTR AKT'!$C$4:$D$460,2,0)=0),0,VLOOKUP($N443,'[1]MSTR AKT'!$C$4:$D$460,2,0))</f>
        <v>1315131513</v>
      </c>
      <c r="N443" s="72" t="s">
        <v>8</v>
      </c>
      <c r="O443" s="58"/>
      <c r="P443" s="59">
        <v>46001</v>
      </c>
      <c r="Q443" s="100">
        <v>3</v>
      </c>
      <c r="R443" s="101">
        <v>6.0120000000000005</v>
      </c>
      <c r="S443" s="102">
        <f t="shared" si="21"/>
        <v>602733.06000000006</v>
      </c>
    </row>
    <row r="444" spans="1:19" x14ac:dyDescent="0.35">
      <c r="A444" s="55" t="s">
        <v>33</v>
      </c>
      <c r="B444" s="55" t="str">
        <f>+VLOOKUP($D444,[1]STS!$A$9:$E$1405,3,0)</f>
        <v>06</v>
      </c>
      <c r="C444" s="86">
        <f>+VLOOKUP($D444,[1]STS!$A$9:$E$1405,4,0)</f>
        <v>21</v>
      </c>
      <c r="D444" s="64" t="s">
        <v>313</v>
      </c>
      <c r="E444" s="104">
        <f>+IF(ISERROR(VLOOKUP($D444,[1]STS!$E$9:$G$1503,3,0)=0),0,VLOOKUP($D444,[1]STS!$E$9:$G$1503,3,0))</f>
        <v>10.26</v>
      </c>
      <c r="F444" s="98">
        <v>1.8940000000000001</v>
      </c>
      <c r="G444" s="99">
        <f>+IF(ISERROR(VLOOKUP(D444,[1]STS!$E$9:$AO$1503,37,0)=0),0,VLOOKUP(D444,[1]STS!$E$9:$AO$1503,37,0))</f>
        <v>2.1785184413580283</v>
      </c>
      <c r="H444" s="82" t="str">
        <f>+IF(ISERROR(VLOOKUP(D444,[1]STS!$E$9:$I$1503,5,0)=0),0,VLOOKUP(D444,[1]STS!$E$9:$I$1503,5,0))</f>
        <v>FC</v>
      </c>
      <c r="I444" s="65"/>
      <c r="J444" s="66" t="str">
        <f>VLOOKUP(D444,[1]STS!$E$9:$BC$1359,51,0)</f>
        <v>F18CK</v>
      </c>
      <c r="K444" s="67"/>
      <c r="L444" s="78" t="str">
        <f>+VLOOKUP(N444,'[1]MSTR AKT'!$C$4:$E$460,3,0)</f>
        <v>Nugroho</v>
      </c>
      <c r="M444" s="83">
        <f>+IF(ISERROR(VLOOKUP($N444,'[1]MSTR AKT'!$C$4:$D$460,2,0)=0),0,VLOOKUP($N444,'[1]MSTR AKT'!$C$4:$D$460,2,0))</f>
        <v>1311131113</v>
      </c>
      <c r="N444" s="72" t="s">
        <v>49</v>
      </c>
      <c r="O444" s="58"/>
      <c r="P444" s="59">
        <v>46001</v>
      </c>
      <c r="Q444" s="100">
        <v>3</v>
      </c>
      <c r="R444" s="101">
        <v>5.6820000000000004</v>
      </c>
      <c r="S444" s="102">
        <f t="shared" si="21"/>
        <v>569648.91</v>
      </c>
    </row>
    <row r="445" spans="1:19" x14ac:dyDescent="0.35">
      <c r="A445" s="55" t="s">
        <v>33</v>
      </c>
      <c r="B445" s="55" t="str">
        <f>+VLOOKUP($D445,[1]STS!$A$9:$E$1405,3,0)</f>
        <v>06</v>
      </c>
      <c r="C445" s="86">
        <f>+VLOOKUP($D445,[1]STS!$A$9:$E$1405,4,0)</f>
        <v>21</v>
      </c>
      <c r="D445" s="64" t="s">
        <v>147</v>
      </c>
      <c r="E445" s="104">
        <f>+IF(ISERROR(VLOOKUP($D445,[1]STS!$E$9:$G$1503,3,0)=0),0,VLOOKUP($D445,[1]STS!$E$9:$G$1503,3,0))</f>
        <v>10.1</v>
      </c>
      <c r="F445" s="98">
        <v>9.82</v>
      </c>
      <c r="G445" s="99">
        <f>+IF(ISERROR(VLOOKUP(D445,[1]STS!$E$9:$AO$1503,37,0)=0),0,VLOOKUP(D445,[1]STS!$E$9:$AO$1503,37,0))</f>
        <v>10.811851774691361</v>
      </c>
      <c r="H445" s="82" t="str">
        <f>+IF(ISERROR(VLOOKUP(D445,[1]STS!$E$9:$I$1503,5,0)=0),0,VLOOKUP(D445,[1]STS!$E$9:$I$1503,5,0))</f>
        <v>FC</v>
      </c>
      <c r="I445" s="65"/>
      <c r="J445" s="66" t="str">
        <f>VLOOKUP(D445,[1]STS!$E$9:$BC$1359,51,0)</f>
        <v>F18CK</v>
      </c>
      <c r="K445" s="67"/>
      <c r="L445" s="78" t="str">
        <f>+VLOOKUP(N445,'[1]MSTR AKT'!$C$4:$E$460,3,0)</f>
        <v>Etri 1</v>
      </c>
      <c r="M445" s="83">
        <f>+IF(ISERROR(VLOOKUP($N445,'[1]MSTR AKT'!$C$4:$D$460,2,0)=0),0,VLOOKUP($N445,'[1]MSTR AKT'!$C$4:$D$460,2,0))</f>
        <v>1315111111</v>
      </c>
      <c r="N445" s="72" t="s">
        <v>3</v>
      </c>
      <c r="O445" s="58" t="str">
        <f t="shared" ref="O445:O471" si="22">IF(Q445&lt;=2,"Bersih",IF(Q445&lt;=4,"Ringan",IF(Q445&lt;=8,"Sedang","Berat")))</f>
        <v>Ringan</v>
      </c>
      <c r="P445" s="59">
        <v>46002</v>
      </c>
      <c r="Q445" s="100">
        <v>3</v>
      </c>
      <c r="R445" s="101">
        <v>29.46</v>
      </c>
      <c r="S445" s="102">
        <f t="shared" si="21"/>
        <v>2953512.3000000003</v>
      </c>
    </row>
    <row r="446" spans="1:19" x14ac:dyDescent="0.35">
      <c r="A446" s="55" t="s">
        <v>33</v>
      </c>
      <c r="B446" s="55" t="str">
        <f>+VLOOKUP($D446,[1]STS!$A$9:$E$1405,3,0)</f>
        <v>06</v>
      </c>
      <c r="C446" s="86">
        <f>+VLOOKUP($D446,[1]STS!$A$9:$E$1405,4,0)</f>
        <v>21</v>
      </c>
      <c r="D446" s="64" t="s">
        <v>44</v>
      </c>
      <c r="E446" s="104">
        <f>+IF(ISERROR(VLOOKUP($D446,[1]STS!$E$9:$G$1503,3,0)=0),0,VLOOKUP($D446,[1]STS!$E$9:$G$1503,3,0))</f>
        <v>7.93</v>
      </c>
      <c r="F446" s="98">
        <v>7.84</v>
      </c>
      <c r="G446" s="99">
        <f>+IF(ISERROR(VLOOKUP(D446,[1]STS!$E$9:$AO$1503,37,0)=0),0,VLOOKUP(D446,[1]STS!$E$9:$AO$1503,37,0))</f>
        <v>11.345185108024696</v>
      </c>
      <c r="H446" s="82" t="str">
        <f>+IF(ISERROR(VLOOKUP(D446,[1]STS!$E$9:$I$1503,5,0)=0),0,VLOOKUP(D446,[1]STS!$E$9:$I$1503,5,0))</f>
        <v>FC</v>
      </c>
      <c r="I446" s="65"/>
      <c r="J446" s="66" t="str">
        <f>VLOOKUP(D446,[1]STS!$E$9:$BC$1359,51,0)</f>
        <v>F18CK</v>
      </c>
      <c r="K446" s="67"/>
      <c r="L446" s="78" t="str">
        <f>+VLOOKUP(N446,'[1]MSTR AKT'!$C$4:$E$460,3,0)</f>
        <v>Etri 1</v>
      </c>
      <c r="M446" s="83">
        <f>+IF(ISERROR(VLOOKUP($N446,'[1]MSTR AKT'!$C$4:$D$460,2,0)=0),0,VLOOKUP($N446,'[1]MSTR AKT'!$C$4:$D$460,2,0))</f>
        <v>1315111111</v>
      </c>
      <c r="N446" s="72" t="s">
        <v>3</v>
      </c>
      <c r="O446" s="58" t="str">
        <f t="shared" si="22"/>
        <v>Ringan</v>
      </c>
      <c r="P446" s="59">
        <v>46001</v>
      </c>
      <c r="Q446" s="100">
        <v>3</v>
      </c>
      <c r="R446" s="101">
        <v>23.52</v>
      </c>
      <c r="S446" s="102">
        <f t="shared" si="21"/>
        <v>2357997.6</v>
      </c>
    </row>
    <row r="447" spans="1:19" x14ac:dyDescent="0.35">
      <c r="A447" s="55" t="s">
        <v>33</v>
      </c>
      <c r="B447" s="55" t="str">
        <f>+VLOOKUP($D447,[1]STS!$A$9:$E$1405,3,0)</f>
        <v>06</v>
      </c>
      <c r="C447" s="86">
        <f>+VLOOKUP($D447,[1]STS!$A$9:$E$1405,4,0)</f>
        <v>21</v>
      </c>
      <c r="D447" s="64" t="s">
        <v>341</v>
      </c>
      <c r="E447" s="104">
        <f>+IF(ISERROR(VLOOKUP($D447,[1]STS!$E$9:$G$1503,3,0)=0),0,VLOOKUP($D447,[1]STS!$E$9:$G$1503,3,0))</f>
        <v>6.28</v>
      </c>
      <c r="F447" s="98">
        <v>6.5</v>
      </c>
      <c r="G447" s="99">
        <f>+IF(ISERROR(VLOOKUP(D447,[1]STS!$E$9:$AO$1503,37,0)=0),0,VLOOKUP(D447,[1]STS!$E$9:$AO$1503,37,0))</f>
        <v>2.5118517746913613</v>
      </c>
      <c r="H447" s="82" t="str">
        <f>+IF(ISERROR(VLOOKUP(D447,[1]STS!$E$9:$I$1503,5,0)=0),0,VLOOKUP(D447,[1]STS!$E$9:$I$1503,5,0))</f>
        <v>FC</v>
      </c>
      <c r="I447" s="65"/>
      <c r="J447" s="66" t="str">
        <f>VLOOKUP(D447,[1]STS!$E$9:$BC$1359,51,0)</f>
        <v>F18SB</v>
      </c>
      <c r="K447" s="67"/>
      <c r="L447" s="78" t="str">
        <f>+VLOOKUP(N447,'[1]MSTR AKT'!$C$4:$E$460,3,0)</f>
        <v>Etri 1</v>
      </c>
      <c r="M447" s="83">
        <f>+IF(ISERROR(VLOOKUP($N447,'[1]MSTR AKT'!$C$4:$D$460,2,0)=0),0,VLOOKUP($N447,'[1]MSTR AKT'!$C$4:$D$460,2,0))</f>
        <v>1315111111</v>
      </c>
      <c r="N447" s="72" t="s">
        <v>3</v>
      </c>
      <c r="O447" s="58" t="str">
        <f t="shared" si="22"/>
        <v>Ringan</v>
      </c>
      <c r="P447" s="59">
        <v>46001</v>
      </c>
      <c r="Q447" s="100">
        <v>3</v>
      </c>
      <c r="R447" s="101">
        <v>19.5</v>
      </c>
      <c r="S447" s="102">
        <f t="shared" si="21"/>
        <v>1954972.5</v>
      </c>
    </row>
    <row r="448" spans="1:19" x14ac:dyDescent="0.35">
      <c r="A448" s="55" t="s">
        <v>33</v>
      </c>
      <c r="B448" s="55" t="str">
        <f>+VLOOKUP($D448,[1]STS!$A$9:$E$1405,3,0)</f>
        <v>06</v>
      </c>
      <c r="C448" s="86">
        <f>+VLOOKUP($D448,[1]STS!$A$9:$E$1405,4,0)</f>
        <v>21</v>
      </c>
      <c r="D448" s="64" t="s">
        <v>342</v>
      </c>
      <c r="E448" s="104">
        <f>+IF(ISERROR(VLOOKUP($D448,[1]STS!$E$9:$G$1503,3,0)=0),0,VLOOKUP($D448,[1]STS!$E$9:$G$1503,3,0))</f>
        <v>7.13</v>
      </c>
      <c r="F448" s="98">
        <v>6.28</v>
      </c>
      <c r="G448" s="99">
        <f>+IF(ISERROR(VLOOKUP(D448,[1]STS!$E$9:$AO$1503,37,0)=0),0,VLOOKUP(D448,[1]STS!$E$9:$AO$1503,37,0))</f>
        <v>2.0118517746913613</v>
      </c>
      <c r="H448" s="82" t="str">
        <f>+IF(ISERROR(VLOOKUP(D448,[1]STS!$E$9:$I$1503,5,0)=0),0,VLOOKUP(D448,[1]STS!$E$9:$I$1503,5,0))</f>
        <v>FC</v>
      </c>
      <c r="I448" s="65"/>
      <c r="J448" s="66" t="str">
        <f>VLOOKUP(D448,[1]STS!$E$9:$BC$1359,51,0)</f>
        <v>F18SS</v>
      </c>
      <c r="K448" s="67"/>
      <c r="L448" s="78" t="str">
        <f>+VLOOKUP(N448,'[1]MSTR AKT'!$C$4:$E$460,3,0)</f>
        <v>Etri 1</v>
      </c>
      <c r="M448" s="83">
        <f>+IF(ISERROR(VLOOKUP($N448,'[1]MSTR AKT'!$C$4:$D$460,2,0)=0),0,VLOOKUP($N448,'[1]MSTR AKT'!$C$4:$D$460,2,0))</f>
        <v>1315111111</v>
      </c>
      <c r="N448" s="72" t="s">
        <v>3</v>
      </c>
      <c r="O448" s="58" t="str">
        <f t="shared" si="22"/>
        <v>Ringan</v>
      </c>
      <c r="P448" s="59">
        <v>46001</v>
      </c>
      <c r="Q448" s="100">
        <v>3</v>
      </c>
      <c r="R448" s="101">
        <v>18.84</v>
      </c>
      <c r="S448" s="102">
        <f t="shared" si="21"/>
        <v>1888804.2</v>
      </c>
    </row>
    <row r="449" spans="1:19" x14ac:dyDescent="0.35">
      <c r="A449" s="55" t="s">
        <v>33</v>
      </c>
      <c r="B449" s="55" t="str">
        <f>+VLOOKUP($D449,[1]STS!$A$9:$E$1405,3,0)</f>
        <v>06</v>
      </c>
      <c r="C449" s="86">
        <f>+VLOOKUP($D449,[1]STS!$A$9:$E$1405,4,0)</f>
        <v>21</v>
      </c>
      <c r="D449" s="64" t="s">
        <v>57</v>
      </c>
      <c r="E449" s="104">
        <f>+IF(ISERROR(VLOOKUP($D449,[1]STS!$E$9:$G$1503,3,0)=0),0,VLOOKUP($D449,[1]STS!$E$9:$G$1503,3,0))</f>
        <v>12.54</v>
      </c>
      <c r="F449" s="98">
        <v>12.29</v>
      </c>
      <c r="G449" s="99">
        <f>+IF(ISERROR(VLOOKUP(D449,[1]STS!$E$9:$AO$1503,37,0)=0),0,VLOOKUP(D449,[1]STS!$E$9:$AO$1503,37,0))</f>
        <v>9.3118517746913607</v>
      </c>
      <c r="H449" s="82" t="str">
        <f>+IF(ISERROR(VLOOKUP(D449,[1]STS!$E$9:$I$1503,5,0)=0),0,VLOOKUP(D449,[1]STS!$E$9:$I$1503,5,0))</f>
        <v>FC</v>
      </c>
      <c r="I449" s="65"/>
      <c r="J449" s="66" t="str">
        <f>VLOOKUP(D449,[1]STS!$E$9:$BC$1359,51,0)</f>
        <v>F18CK</v>
      </c>
      <c r="K449" s="67"/>
      <c r="L449" s="78" t="str">
        <f>+VLOOKUP(N449,'[1]MSTR AKT'!$C$4:$E$460,3,0)</f>
        <v>Etri 1</v>
      </c>
      <c r="M449" s="83">
        <f>+IF(ISERROR(VLOOKUP($N449,'[1]MSTR AKT'!$C$4:$D$460,2,0)=0),0,VLOOKUP($N449,'[1]MSTR AKT'!$C$4:$D$460,2,0))</f>
        <v>1315111111</v>
      </c>
      <c r="N449" s="72" t="s">
        <v>3</v>
      </c>
      <c r="O449" s="58" t="str">
        <f t="shared" si="22"/>
        <v>Ringan</v>
      </c>
      <c r="P449" s="59">
        <v>46001</v>
      </c>
      <c r="Q449" s="100">
        <v>3</v>
      </c>
      <c r="R449" s="101">
        <v>36.869999999999997</v>
      </c>
      <c r="S449" s="102">
        <f t="shared" si="21"/>
        <v>3696401.8499999996</v>
      </c>
    </row>
    <row r="450" spans="1:19" x14ac:dyDescent="0.35">
      <c r="A450" s="55" t="s">
        <v>33</v>
      </c>
      <c r="B450" s="55" t="str">
        <f>+VLOOKUP($D450,[1]STS!$A$9:$E$1405,3,0)</f>
        <v>06</v>
      </c>
      <c r="C450" s="86">
        <f>+VLOOKUP($D450,[1]STS!$A$9:$E$1405,4,0)</f>
        <v>21</v>
      </c>
      <c r="D450" s="64" t="s">
        <v>343</v>
      </c>
      <c r="E450" s="104">
        <f>+IF(ISERROR(VLOOKUP($D450,[1]STS!$E$9:$G$1503,3,0)=0),0,VLOOKUP($D450,[1]STS!$E$9:$G$1503,3,0))</f>
        <v>8.08</v>
      </c>
      <c r="F450" s="98">
        <v>7.08</v>
      </c>
      <c r="G450" s="99">
        <f>+IF(ISERROR(VLOOKUP(D450,[1]STS!$E$9:$AO$1503,37,0)=0),0,VLOOKUP(D450,[1]STS!$E$9:$AO$1503,37,0))</f>
        <v>1.7118517746913615</v>
      </c>
      <c r="H450" s="82" t="str">
        <f>+IF(ISERROR(VLOOKUP(D450,[1]STS!$E$9:$I$1503,5,0)=0),0,VLOOKUP(D450,[1]STS!$E$9:$I$1503,5,0))</f>
        <v>FC</v>
      </c>
      <c r="I450" s="65"/>
      <c r="J450" s="66" t="str">
        <f>VLOOKUP(D450,[1]STS!$E$9:$BC$1359,51,0)</f>
        <v>F18SS</v>
      </c>
      <c r="K450" s="67"/>
      <c r="L450" s="78" t="str">
        <f>+VLOOKUP(N450,'[1]MSTR AKT'!$C$4:$E$460,3,0)</f>
        <v>Etri 1</v>
      </c>
      <c r="M450" s="83">
        <f>+IF(ISERROR(VLOOKUP($N450,'[1]MSTR AKT'!$C$4:$D$460,2,0)=0),0,VLOOKUP($N450,'[1]MSTR AKT'!$C$4:$D$460,2,0))</f>
        <v>1315111111</v>
      </c>
      <c r="N450" s="72" t="s">
        <v>3</v>
      </c>
      <c r="O450" s="58" t="str">
        <f t="shared" si="22"/>
        <v>Ringan</v>
      </c>
      <c r="P450" s="59">
        <v>46001</v>
      </c>
      <c r="Q450" s="100">
        <v>3</v>
      </c>
      <c r="R450" s="101">
        <v>21.240000000000002</v>
      </c>
      <c r="S450" s="102">
        <f t="shared" si="21"/>
        <v>2129416.2000000002</v>
      </c>
    </row>
    <row r="451" spans="1:19" x14ac:dyDescent="0.35">
      <c r="A451" s="55" t="s">
        <v>33</v>
      </c>
      <c r="B451" s="55" t="str">
        <f>+VLOOKUP($D451,[1]STS!$A$9:$E$1405,3,0)</f>
        <v>06</v>
      </c>
      <c r="C451" s="86">
        <f>+VLOOKUP($D451,[1]STS!$A$9:$E$1405,4,0)</f>
        <v>21</v>
      </c>
      <c r="D451" s="64" t="s">
        <v>41</v>
      </c>
      <c r="E451" s="104">
        <f>+IF(ISERROR(VLOOKUP($D451,[1]STS!$E$9:$G$1503,3,0)=0),0,VLOOKUP($D451,[1]STS!$E$9:$G$1503,3,0))</f>
        <v>9.99</v>
      </c>
      <c r="F451" s="98">
        <v>9.5299999999999994</v>
      </c>
      <c r="G451" s="99">
        <f>+IF(ISERROR(VLOOKUP(D451,[1]STS!$E$9:$AO$1503,37,0)=0),0,VLOOKUP(D451,[1]STS!$E$9:$AO$1503,37,0))</f>
        <v>14.945185108024695</v>
      </c>
      <c r="H451" s="82" t="str">
        <f>+IF(ISERROR(VLOOKUP(D451,[1]STS!$E$9:$I$1503,5,0)=0),0,VLOOKUP(D451,[1]STS!$E$9:$I$1503,5,0))</f>
        <v>FC</v>
      </c>
      <c r="I451" s="65"/>
      <c r="J451" s="66" t="str">
        <f>VLOOKUP(D451,[1]STS!$E$9:$BC$1359,51,0)</f>
        <v>GP3CK</v>
      </c>
      <c r="K451" s="67"/>
      <c r="L451" s="78" t="str">
        <f>+VLOOKUP(N451,'[1]MSTR AKT'!$C$4:$E$460,3,0)</f>
        <v>Etri 1</v>
      </c>
      <c r="M451" s="83">
        <f>+IF(ISERROR(VLOOKUP($N451,'[1]MSTR AKT'!$C$4:$D$460,2,0)=0),0,VLOOKUP($N451,'[1]MSTR AKT'!$C$4:$D$460,2,0))</f>
        <v>1315111111</v>
      </c>
      <c r="N451" s="72" t="s">
        <v>3</v>
      </c>
      <c r="O451" s="58" t="str">
        <f t="shared" si="22"/>
        <v>Ringan</v>
      </c>
      <c r="P451" s="59">
        <v>46002</v>
      </c>
      <c r="Q451" s="100">
        <v>3</v>
      </c>
      <c r="R451" s="101">
        <v>28.589999999999996</v>
      </c>
      <c r="S451" s="102">
        <f t="shared" si="21"/>
        <v>2866290.4499999997</v>
      </c>
    </row>
    <row r="452" spans="1:19" x14ac:dyDescent="0.35">
      <c r="A452" s="55" t="s">
        <v>33</v>
      </c>
      <c r="B452" s="55" t="str">
        <f>+VLOOKUP($D452,[1]STS!$A$9:$E$1405,3,0)</f>
        <v>06</v>
      </c>
      <c r="C452" s="86">
        <f>+VLOOKUP($D452,[1]STS!$A$9:$E$1405,4,0)</f>
        <v>21</v>
      </c>
      <c r="D452" s="64" t="s">
        <v>109</v>
      </c>
      <c r="E452" s="104">
        <f>+IF(ISERROR(VLOOKUP($D452,[1]STS!$E$9:$G$1503,3,0)=0),0,VLOOKUP($D452,[1]STS!$E$9:$G$1503,3,0))</f>
        <v>4.3499999999999996</v>
      </c>
      <c r="F452" s="98">
        <v>4.3499999999999996</v>
      </c>
      <c r="G452" s="99">
        <f>+IF(ISERROR(VLOOKUP(D452,[1]STS!$E$9:$AO$1503,37,0)=0),0,VLOOKUP(D452,[1]STS!$E$9:$AO$1503,37,0))</f>
        <v>6.9785184413580286</v>
      </c>
      <c r="H452" s="82" t="str">
        <f>+IF(ISERROR(VLOOKUP(D452,[1]STS!$E$9:$I$1503,5,0)=0),0,VLOOKUP(D452,[1]STS!$E$9:$I$1503,5,0))</f>
        <v>FC</v>
      </c>
      <c r="I452" s="65"/>
      <c r="J452" s="66" t="str">
        <f>VLOOKUP(D452,[1]STS!$E$9:$BC$1359,51,0)</f>
        <v>F18CK</v>
      </c>
      <c r="K452" s="67"/>
      <c r="L452" s="78" t="str">
        <f>+VLOOKUP(N452,'[1]MSTR AKT'!$C$4:$E$460,3,0)</f>
        <v>Etri 1</v>
      </c>
      <c r="M452" s="83">
        <f>+IF(ISERROR(VLOOKUP($N452,'[1]MSTR AKT'!$C$4:$D$460,2,0)=0),0,VLOOKUP($N452,'[1]MSTR AKT'!$C$4:$D$460,2,0))</f>
        <v>1315111111</v>
      </c>
      <c r="N452" s="72" t="s">
        <v>3</v>
      </c>
      <c r="O452" s="58" t="str">
        <f t="shared" si="22"/>
        <v>Ringan</v>
      </c>
      <c r="P452" s="59">
        <v>46002</v>
      </c>
      <c r="Q452" s="100">
        <v>3</v>
      </c>
      <c r="R452" s="101">
        <v>13.049999999999999</v>
      </c>
      <c r="S452" s="102">
        <f t="shared" si="21"/>
        <v>1308327.75</v>
      </c>
    </row>
    <row r="453" spans="1:19" x14ac:dyDescent="0.35">
      <c r="A453" s="55" t="s">
        <v>33</v>
      </c>
      <c r="B453" s="55" t="str">
        <f>+VLOOKUP($D453,[1]STS!$A$9:$E$1405,3,0)</f>
        <v>06</v>
      </c>
      <c r="C453" s="86">
        <f>+VLOOKUP($D453,[1]STS!$A$9:$E$1405,4,0)</f>
        <v>21</v>
      </c>
      <c r="D453" s="64" t="s">
        <v>110</v>
      </c>
      <c r="E453" s="104">
        <f>+IF(ISERROR(VLOOKUP($D453,[1]STS!$E$9:$G$1503,3,0)=0),0,VLOOKUP($D453,[1]STS!$E$9:$G$1503,3,0))</f>
        <v>6.04</v>
      </c>
      <c r="F453" s="98">
        <v>6.04</v>
      </c>
      <c r="G453" s="99">
        <f>+IF(ISERROR(VLOOKUP(D453,[1]STS!$E$9:$AO$1503,37,0)=0),0,VLOOKUP(D453,[1]STS!$E$9:$AO$1503,37,0))</f>
        <v>6.6451851080246946</v>
      </c>
      <c r="H453" s="82" t="str">
        <f>+IF(ISERROR(VLOOKUP(D453,[1]STS!$E$9:$I$1503,5,0)=0),0,VLOOKUP(D453,[1]STS!$E$9:$I$1503,5,0))</f>
        <v>FC</v>
      </c>
      <c r="I453" s="65"/>
      <c r="J453" s="66" t="str">
        <f>VLOOKUP(D453,[1]STS!$E$9:$BC$1359,51,0)</f>
        <v>F18SB</v>
      </c>
      <c r="K453" s="67"/>
      <c r="L453" s="78" t="str">
        <f>+VLOOKUP(N453,'[1]MSTR AKT'!$C$4:$E$460,3,0)</f>
        <v>Etri 1</v>
      </c>
      <c r="M453" s="83">
        <f>+IF(ISERROR(VLOOKUP($N453,'[1]MSTR AKT'!$C$4:$D$460,2,0)=0),0,VLOOKUP($N453,'[1]MSTR AKT'!$C$4:$D$460,2,0))</f>
        <v>1315111111</v>
      </c>
      <c r="N453" s="72" t="s">
        <v>3</v>
      </c>
      <c r="O453" s="58" t="str">
        <f t="shared" si="22"/>
        <v>Ringan</v>
      </c>
      <c r="P453" s="59">
        <v>46001</v>
      </c>
      <c r="Q453" s="100">
        <v>3</v>
      </c>
      <c r="R453" s="101">
        <v>18.12</v>
      </c>
      <c r="S453" s="102">
        <f t="shared" si="21"/>
        <v>1816620.6</v>
      </c>
    </row>
    <row r="454" spans="1:19" x14ac:dyDescent="0.35">
      <c r="A454" s="55" t="s">
        <v>33</v>
      </c>
      <c r="B454" s="55" t="str">
        <f>+VLOOKUP($D454,[1]STS!$A$9:$E$1405,3,0)</f>
        <v>06</v>
      </c>
      <c r="C454" s="86">
        <f>+VLOOKUP($D454,[1]STS!$A$9:$E$1405,4,0)</f>
        <v>21</v>
      </c>
      <c r="D454" s="64" t="s">
        <v>149</v>
      </c>
      <c r="E454" s="104">
        <f>+IF(ISERROR(VLOOKUP($D454,[1]STS!$E$9:$G$1503,3,0)=0),0,VLOOKUP($D454,[1]STS!$E$9:$G$1503,3,0))</f>
        <v>4.58</v>
      </c>
      <c r="F454" s="98">
        <v>3.42</v>
      </c>
      <c r="G454" s="99">
        <f>+IF(ISERROR(VLOOKUP(D454,[1]STS!$E$9:$AO$1503,37,0)=0),0,VLOOKUP(D454,[1]STS!$E$9:$AO$1503,37,0))</f>
        <v>9.7451851080246943</v>
      </c>
      <c r="H454" s="82" t="str">
        <f>+IF(ISERROR(VLOOKUP(D454,[1]STS!$E$9:$I$1503,5,0)=0),0,VLOOKUP(D454,[1]STS!$E$9:$I$1503,5,0))</f>
        <v>FC</v>
      </c>
      <c r="I454" s="65"/>
      <c r="J454" s="66" t="str">
        <f>VLOOKUP(D454,[1]STS!$E$9:$BC$1359,51,0)</f>
        <v>GP3SB</v>
      </c>
      <c r="K454" s="67"/>
      <c r="L454" s="78" t="str">
        <f>+VLOOKUP(N454,'[1]MSTR AKT'!$C$4:$E$460,3,0)</f>
        <v>Etri 1</v>
      </c>
      <c r="M454" s="83">
        <f>+IF(ISERROR(VLOOKUP($N454,'[1]MSTR AKT'!$C$4:$D$460,2,0)=0),0,VLOOKUP($N454,'[1]MSTR AKT'!$C$4:$D$460,2,0))</f>
        <v>1315111111</v>
      </c>
      <c r="N454" s="72" t="s">
        <v>3</v>
      </c>
      <c r="O454" s="58" t="str">
        <f t="shared" si="22"/>
        <v>Ringan</v>
      </c>
      <c r="P454" s="59">
        <v>46001</v>
      </c>
      <c r="Q454" s="100">
        <v>4</v>
      </c>
      <c r="R454" s="101">
        <v>13.68</v>
      </c>
      <c r="S454" s="102">
        <f t="shared" si="21"/>
        <v>1371488.4</v>
      </c>
    </row>
    <row r="455" spans="1:19" x14ac:dyDescent="0.35">
      <c r="A455" s="55" t="s">
        <v>33</v>
      </c>
      <c r="B455" s="55" t="str">
        <f>+VLOOKUP($D455,[1]STS!$A$9:$E$1405,3,0)</f>
        <v>06</v>
      </c>
      <c r="C455" s="86">
        <f>+VLOOKUP($D455,[1]STS!$A$9:$E$1405,4,0)</f>
        <v>21</v>
      </c>
      <c r="D455" s="64" t="s">
        <v>150</v>
      </c>
      <c r="E455" s="104">
        <f>+IF(ISERROR(VLOOKUP($D455,[1]STS!$E$9:$G$1503,3,0)=0),0,VLOOKUP($D455,[1]STS!$E$9:$G$1503,3,0))</f>
        <v>7.02</v>
      </c>
      <c r="F455" s="98">
        <v>5.71</v>
      </c>
      <c r="G455" s="99">
        <f>+IF(ISERROR(VLOOKUP(D455,[1]STS!$E$9:$AO$1503,37,0)=0),0,VLOOKUP(D455,[1]STS!$E$9:$AO$1503,37,0))</f>
        <v>9.9785184413580286</v>
      </c>
      <c r="H455" s="82" t="str">
        <f>+IF(ISERROR(VLOOKUP(D455,[1]STS!$E$9:$I$1503,5,0)=0),0,VLOOKUP(D455,[1]STS!$E$9:$I$1503,5,0))</f>
        <v>FC</v>
      </c>
      <c r="I455" s="65"/>
      <c r="J455" s="66" t="str">
        <f>VLOOKUP(D455,[1]STS!$E$9:$BC$1359,51,0)</f>
        <v>F18SB</v>
      </c>
      <c r="K455" s="67"/>
      <c r="L455" s="78" t="str">
        <f>+VLOOKUP(N455,'[1]MSTR AKT'!$C$4:$E$460,3,0)</f>
        <v>Etri 1</v>
      </c>
      <c r="M455" s="83">
        <f>+IF(ISERROR(VLOOKUP($N455,'[1]MSTR AKT'!$C$4:$D$460,2,0)=0),0,VLOOKUP($N455,'[1]MSTR AKT'!$C$4:$D$460,2,0))</f>
        <v>1315111111</v>
      </c>
      <c r="N455" s="72" t="s">
        <v>3</v>
      </c>
      <c r="O455" s="58" t="str">
        <f t="shared" si="22"/>
        <v>Ringan</v>
      </c>
      <c r="P455" s="59">
        <v>46001</v>
      </c>
      <c r="Q455" s="100">
        <v>4</v>
      </c>
      <c r="R455" s="101">
        <v>22.84</v>
      </c>
      <c r="S455" s="102">
        <f t="shared" si="21"/>
        <v>2289824.2000000002</v>
      </c>
    </row>
    <row r="456" spans="1:19" x14ac:dyDescent="0.35">
      <c r="A456" s="55" t="s">
        <v>33</v>
      </c>
      <c r="B456" s="55" t="str">
        <f>+VLOOKUP($D456,[1]STS!$A$9:$E$1405,3,0)</f>
        <v>06</v>
      </c>
      <c r="C456" s="86">
        <f>+VLOOKUP($D456,[1]STS!$A$9:$E$1405,4,0)</f>
        <v>21</v>
      </c>
      <c r="D456" s="64" t="s">
        <v>145</v>
      </c>
      <c r="E456" s="104">
        <f>+IF(ISERROR(VLOOKUP($D456,[1]STS!$E$9:$G$1503,3,0)=0),0,VLOOKUP($D456,[1]STS!$E$9:$G$1503,3,0))</f>
        <v>7.61</v>
      </c>
      <c r="F456" s="98">
        <v>8.17</v>
      </c>
      <c r="G456" s="99">
        <f>+IF(ISERROR(VLOOKUP(D456,[1]STS!$E$9:$AO$1503,37,0)=0),0,VLOOKUP(D456,[1]STS!$E$9:$AO$1503,37,0))</f>
        <v>5.5118517746913618</v>
      </c>
      <c r="H456" s="82" t="str">
        <f>+IF(ISERROR(VLOOKUP(D456,[1]STS!$E$9:$I$1503,5,0)=0),0,VLOOKUP(D456,[1]STS!$E$9:$I$1503,5,0))</f>
        <v>SC</v>
      </c>
      <c r="I456" s="65"/>
      <c r="J456" s="66" t="str">
        <f>VLOOKUP(D456,[1]STS!$E$9:$BC$1359,51,0)</f>
        <v>F18</v>
      </c>
      <c r="K456" s="67"/>
      <c r="L456" s="78" t="str">
        <f>+VLOOKUP(N456,'[1]MSTR AKT'!$C$4:$E$460,3,0)</f>
        <v>Etri 1</v>
      </c>
      <c r="M456" s="83">
        <f>+IF(ISERROR(VLOOKUP($N456,'[1]MSTR AKT'!$C$4:$D$460,2,0)=0),0,VLOOKUP($N456,'[1]MSTR AKT'!$C$4:$D$460,2,0))</f>
        <v>1315111111</v>
      </c>
      <c r="N456" s="72" t="s">
        <v>3</v>
      </c>
      <c r="O456" s="58" t="str">
        <f t="shared" si="22"/>
        <v>Sedang</v>
      </c>
      <c r="P456" s="59">
        <v>46001</v>
      </c>
      <c r="Q456" s="100">
        <v>5</v>
      </c>
      <c r="R456" s="101">
        <v>40.85</v>
      </c>
      <c r="S456" s="102">
        <f t="shared" si="21"/>
        <v>4095416.75</v>
      </c>
    </row>
    <row r="457" spans="1:19" x14ac:dyDescent="0.35">
      <c r="A457" s="55" t="s">
        <v>33</v>
      </c>
      <c r="B457" s="55" t="str">
        <f>+VLOOKUP($D457,[1]STS!$A$9:$E$1405,3,0)</f>
        <v>06</v>
      </c>
      <c r="C457" s="86">
        <f>+VLOOKUP($D457,[1]STS!$A$9:$E$1405,4,0)</f>
        <v>21</v>
      </c>
      <c r="D457" s="64" t="s">
        <v>197</v>
      </c>
      <c r="E457" s="104">
        <f>+IF(ISERROR(VLOOKUP($D457,[1]STS!$E$9:$G$1503,3,0)=0),0,VLOOKUP($D457,[1]STS!$E$9:$G$1503,3,0))</f>
        <v>8.6199999999999992</v>
      </c>
      <c r="F457" s="98">
        <v>9.1</v>
      </c>
      <c r="G457" s="99">
        <f>+IF(ISERROR(VLOOKUP(D457,[1]STS!$E$9:$AO$1503,37,0)=0),0,VLOOKUP(D457,[1]STS!$E$9:$AO$1503,37,0))</f>
        <v>6.8118517746913616</v>
      </c>
      <c r="H457" s="82" t="str">
        <f>+IF(ISERROR(VLOOKUP(D457,[1]STS!$E$9:$I$1503,5,0)=0),0,VLOOKUP(D457,[1]STS!$E$9:$I$1503,5,0))</f>
        <v>SC</v>
      </c>
      <c r="I457" s="65"/>
      <c r="J457" s="66" t="str">
        <f>VLOOKUP(D457,[1]STS!$E$9:$BC$1359,51,0)</f>
        <v>F18</v>
      </c>
      <c r="K457" s="67"/>
      <c r="L457" s="78" t="str">
        <f>+VLOOKUP(N457,'[1]MSTR AKT'!$C$4:$E$460,3,0)</f>
        <v>Etri 1</v>
      </c>
      <c r="M457" s="83">
        <f>+IF(ISERROR(VLOOKUP($N457,'[1]MSTR AKT'!$C$4:$D$460,2,0)=0),0,VLOOKUP($N457,'[1]MSTR AKT'!$C$4:$D$460,2,0))</f>
        <v>1315111111</v>
      </c>
      <c r="N457" s="72" t="s">
        <v>3</v>
      </c>
      <c r="O457" s="58" t="str">
        <f t="shared" si="22"/>
        <v>Sedang</v>
      </c>
      <c r="P457" s="59">
        <v>46002</v>
      </c>
      <c r="Q457" s="100">
        <v>5</v>
      </c>
      <c r="R457" s="101">
        <v>45.5</v>
      </c>
      <c r="S457" s="102">
        <f t="shared" si="21"/>
        <v>4561602.5</v>
      </c>
    </row>
    <row r="458" spans="1:19" x14ac:dyDescent="0.35">
      <c r="A458" s="55" t="s">
        <v>33</v>
      </c>
      <c r="B458" s="55" t="str">
        <f>+VLOOKUP($D458,[1]STS!$A$9:$E$1405,3,0)</f>
        <v>06</v>
      </c>
      <c r="C458" s="86">
        <f>+VLOOKUP($D458,[1]STS!$A$9:$E$1405,4,0)</f>
        <v>21</v>
      </c>
      <c r="D458" s="64" t="s">
        <v>347</v>
      </c>
      <c r="E458" s="104">
        <f>+IF(ISERROR(VLOOKUP($D458,[1]STS!$E$9:$G$1503,3,0)=0),0,VLOOKUP($D458,[1]STS!$E$9:$G$1503,3,0))</f>
        <v>5.74</v>
      </c>
      <c r="F458" s="98">
        <v>5.97</v>
      </c>
      <c r="G458" s="99">
        <f>+IF(ISERROR(VLOOKUP(D458,[1]STS!$E$9:$AO$1503,37,0)=0),0,VLOOKUP(D458,[1]STS!$E$9:$AO$1503,37,0))</f>
        <v>2.2785184413580284</v>
      </c>
      <c r="H458" s="82" t="str">
        <f>+IF(ISERROR(VLOOKUP(D458,[1]STS!$E$9:$I$1503,5,0)=0),0,VLOOKUP(D458,[1]STS!$E$9:$I$1503,5,0))</f>
        <v>FC</v>
      </c>
      <c r="I458" s="65"/>
      <c r="J458" s="66" t="str">
        <f>VLOOKUP(D458,[1]STS!$E$9:$BC$1359,51,0)</f>
        <v>F18CK</v>
      </c>
      <c r="K458" s="67"/>
      <c r="L458" s="78" t="str">
        <f>+VLOOKUP(N458,'[1]MSTR AKT'!$C$4:$E$460,3,0)</f>
        <v>Etri 1</v>
      </c>
      <c r="M458" s="83">
        <f>+IF(ISERROR(VLOOKUP($N458,'[1]MSTR AKT'!$C$4:$D$460,2,0)=0),0,VLOOKUP($N458,'[1]MSTR AKT'!$C$4:$D$460,2,0))</f>
        <v>1315111111</v>
      </c>
      <c r="N458" s="72" t="s">
        <v>3</v>
      </c>
      <c r="O458" s="58" t="str">
        <f t="shared" si="22"/>
        <v>Sedang</v>
      </c>
      <c r="P458" s="59">
        <v>46002</v>
      </c>
      <c r="Q458" s="100">
        <v>5</v>
      </c>
      <c r="R458" s="101">
        <v>29.849999999999998</v>
      </c>
      <c r="S458" s="102">
        <f t="shared" si="21"/>
        <v>2992611.75</v>
      </c>
    </row>
    <row r="459" spans="1:19" x14ac:dyDescent="0.35">
      <c r="A459" s="55" t="s">
        <v>33</v>
      </c>
      <c r="B459" s="55" t="str">
        <f>+VLOOKUP($D459,[1]STS!$A$9:$E$1405,3,0)</f>
        <v>06</v>
      </c>
      <c r="C459" s="86">
        <f>+VLOOKUP($D459,[1]STS!$A$9:$E$1405,4,0)</f>
        <v>21</v>
      </c>
      <c r="D459" s="64" t="s">
        <v>298</v>
      </c>
      <c r="E459" s="104">
        <f>+IF(ISERROR(VLOOKUP($D459,[1]STS!$E$9:$G$1503,3,0)=0),0,VLOOKUP($D459,[1]STS!$E$9:$G$1503,3,0))</f>
        <v>4.42</v>
      </c>
      <c r="F459" s="98">
        <v>4.42</v>
      </c>
      <c r="G459" s="99">
        <f>+IF(ISERROR(VLOOKUP(D459,[1]STS!$E$9:$AO$1503,37,0)=0),0,VLOOKUP(D459,[1]STS!$E$9:$AO$1503,37,0))</f>
        <v>9.3451851080246957</v>
      </c>
      <c r="H459" s="82" t="str">
        <f>+IF(ISERROR(VLOOKUP(D459,[1]STS!$E$9:$I$1503,5,0)=0),0,VLOOKUP(D459,[1]STS!$E$9:$I$1503,5,0))</f>
        <v>FC</v>
      </c>
      <c r="I459" s="65"/>
      <c r="J459" s="66" t="str">
        <f>VLOOKUP(D459,[1]STS!$E$9:$BC$1359,51,0)</f>
        <v>F18SS</v>
      </c>
      <c r="K459" s="67"/>
      <c r="L459" s="78" t="str">
        <f>+VLOOKUP(N459,'[1]MSTR AKT'!$C$4:$E$460,3,0)</f>
        <v>Etri 1</v>
      </c>
      <c r="M459" s="83">
        <f>+IF(ISERROR(VLOOKUP($N459,'[1]MSTR AKT'!$C$4:$D$460,2,0)=0),0,VLOOKUP($N459,'[1]MSTR AKT'!$C$4:$D$460,2,0))</f>
        <v>1315111111</v>
      </c>
      <c r="N459" s="72" t="s">
        <v>3</v>
      </c>
      <c r="O459" s="58" t="str">
        <f t="shared" si="22"/>
        <v>Ringan</v>
      </c>
      <c r="P459" s="59">
        <v>46001</v>
      </c>
      <c r="Q459" s="100">
        <v>3</v>
      </c>
      <c r="R459" s="101">
        <v>13.26</v>
      </c>
      <c r="S459" s="102">
        <f t="shared" si="21"/>
        <v>1329381.3</v>
      </c>
    </row>
    <row r="460" spans="1:19" x14ac:dyDescent="0.35">
      <c r="A460" s="55" t="s">
        <v>33</v>
      </c>
      <c r="B460" s="55" t="str">
        <f>+VLOOKUP($D460,[1]STS!$A$9:$E$1405,3,0)</f>
        <v>06</v>
      </c>
      <c r="C460" s="86">
        <f>+VLOOKUP($D460,[1]STS!$A$9:$E$1405,4,0)</f>
        <v>21</v>
      </c>
      <c r="D460" s="64" t="s">
        <v>349</v>
      </c>
      <c r="E460" s="104">
        <f>+IF(ISERROR(VLOOKUP($D460,[1]STS!$E$9:$G$1503,3,0)=0),0,VLOOKUP($D460,[1]STS!$E$9:$G$1503,3,0))</f>
        <v>6.68</v>
      </c>
      <c r="F460" s="98">
        <v>5.82</v>
      </c>
      <c r="G460" s="99">
        <f>+IF(ISERROR(VLOOKUP(D460,[1]STS!$E$9:$AO$1503,37,0)=0),0,VLOOKUP(D460,[1]STS!$E$9:$AO$1503,37,0))</f>
        <v>1.8118517746913616</v>
      </c>
      <c r="H460" s="82" t="str">
        <f>+IF(ISERROR(VLOOKUP(D460,[1]STS!$E$9:$I$1503,5,0)=0),0,VLOOKUP(D460,[1]STS!$E$9:$I$1503,5,0))</f>
        <v>FC</v>
      </c>
      <c r="I460" s="65"/>
      <c r="J460" s="66" t="str">
        <f>VLOOKUP(D460,[1]STS!$E$9:$BC$1359,51,0)</f>
        <v>F18SB</v>
      </c>
      <c r="K460" s="67"/>
      <c r="L460" s="78" t="str">
        <f>+VLOOKUP(N460,'[1]MSTR AKT'!$C$4:$E$460,3,0)</f>
        <v>Etri 1</v>
      </c>
      <c r="M460" s="83">
        <f>+IF(ISERROR(VLOOKUP($N460,'[1]MSTR AKT'!$C$4:$D$460,2,0)=0),0,VLOOKUP($N460,'[1]MSTR AKT'!$C$4:$D$460,2,0))</f>
        <v>1315111111</v>
      </c>
      <c r="N460" s="72" t="s">
        <v>3</v>
      </c>
      <c r="O460" s="58" t="str">
        <f t="shared" si="22"/>
        <v>Ringan</v>
      </c>
      <c r="P460" s="59">
        <v>46001</v>
      </c>
      <c r="Q460" s="100">
        <v>3</v>
      </c>
      <c r="R460" s="101">
        <v>17.46</v>
      </c>
      <c r="S460" s="102">
        <f t="shared" si="21"/>
        <v>1750452.3</v>
      </c>
    </row>
    <row r="461" spans="1:19" x14ac:dyDescent="0.35">
      <c r="A461" s="55" t="s">
        <v>33</v>
      </c>
      <c r="B461" s="55" t="str">
        <f>+VLOOKUP($D461,[1]STS!$A$9:$E$1405,3,0)</f>
        <v>06</v>
      </c>
      <c r="C461" s="86">
        <f>+VLOOKUP($D461,[1]STS!$A$9:$E$1405,4,0)</f>
        <v>21</v>
      </c>
      <c r="D461" s="64" t="s">
        <v>218</v>
      </c>
      <c r="E461" s="104">
        <f>+IF(ISERROR(VLOOKUP($D461,[1]STS!$E$9:$G$1503,3,0)=0),0,VLOOKUP($D461,[1]STS!$E$9:$G$1503,3,0))</f>
        <v>4.8</v>
      </c>
      <c r="F461" s="98">
        <v>4.8</v>
      </c>
      <c r="G461" s="99">
        <f>+IF(ISERROR(VLOOKUP(D461,[1]STS!$E$9:$AO$1503,37,0)=0),0,VLOOKUP(D461,[1]STS!$E$9:$AO$1503,37,0))</f>
        <v>4.4785184413580286</v>
      </c>
      <c r="H461" s="82" t="str">
        <f>+IF(ISERROR(VLOOKUP(D461,[1]STS!$E$9:$I$1503,5,0)=0),0,VLOOKUP(D461,[1]STS!$E$9:$I$1503,5,0))</f>
        <v>FC</v>
      </c>
      <c r="I461" s="65"/>
      <c r="J461" s="66" t="str">
        <f>VLOOKUP(D461,[1]STS!$E$9:$BC$1359,51,0)</f>
        <v>F18SB</v>
      </c>
      <c r="K461" s="67"/>
      <c r="L461" s="78" t="str">
        <f>+VLOOKUP(N461,'[1]MSTR AKT'!$C$4:$E$460,3,0)</f>
        <v>Etri 1</v>
      </c>
      <c r="M461" s="83">
        <f>+IF(ISERROR(VLOOKUP($N461,'[1]MSTR AKT'!$C$4:$D$460,2,0)=0),0,VLOOKUP($N461,'[1]MSTR AKT'!$C$4:$D$460,2,0))</f>
        <v>1315111111</v>
      </c>
      <c r="N461" s="72" t="s">
        <v>3</v>
      </c>
      <c r="O461" s="58" t="str">
        <f t="shared" si="22"/>
        <v>Ringan</v>
      </c>
      <c r="P461" s="59">
        <v>46001</v>
      </c>
      <c r="Q461" s="100">
        <v>3</v>
      </c>
      <c r="R461" s="101">
        <v>14.399999999999999</v>
      </c>
      <c r="S461" s="102">
        <f t="shared" si="21"/>
        <v>1443671.9999999998</v>
      </c>
    </row>
    <row r="462" spans="1:19" x14ac:dyDescent="0.35">
      <c r="A462" s="55" t="s">
        <v>33</v>
      </c>
      <c r="B462" s="55" t="str">
        <f>+VLOOKUP($D462,[1]STS!$A$9:$E$1405,3,0)</f>
        <v>06</v>
      </c>
      <c r="C462" s="86">
        <f>+VLOOKUP($D462,[1]STS!$A$9:$E$1405,4,0)</f>
        <v>21</v>
      </c>
      <c r="D462" s="64" t="s">
        <v>219</v>
      </c>
      <c r="E462" s="104">
        <f>+IF(ISERROR(VLOOKUP($D462,[1]STS!$E$9:$G$1503,3,0)=0),0,VLOOKUP($D462,[1]STS!$E$9:$G$1503,3,0))</f>
        <v>5.87</v>
      </c>
      <c r="F462" s="98">
        <v>5.87</v>
      </c>
      <c r="G462" s="99">
        <f>+IF(ISERROR(VLOOKUP(D462,[1]STS!$E$9:$AO$1503,37,0)=0),0,VLOOKUP(D462,[1]STS!$E$9:$AO$1503,37,0))</f>
        <v>4.4118517746913612</v>
      </c>
      <c r="H462" s="82" t="str">
        <f>+IF(ISERROR(VLOOKUP(D462,[1]STS!$E$9:$I$1503,5,0)=0),0,VLOOKUP(D462,[1]STS!$E$9:$I$1503,5,0))</f>
        <v>FC</v>
      </c>
      <c r="I462" s="65"/>
      <c r="J462" s="66" t="str">
        <f>VLOOKUP(D462,[1]STS!$E$9:$BC$1359,51,0)</f>
        <v>F18SS</v>
      </c>
      <c r="K462" s="67"/>
      <c r="L462" s="78" t="str">
        <f>+VLOOKUP(N462,'[1]MSTR AKT'!$C$4:$E$460,3,0)</f>
        <v>Etri 1</v>
      </c>
      <c r="M462" s="83">
        <f>+IF(ISERROR(VLOOKUP($N462,'[1]MSTR AKT'!$C$4:$D$460,2,0)=0),0,VLOOKUP($N462,'[1]MSTR AKT'!$C$4:$D$460,2,0))</f>
        <v>1315111111</v>
      </c>
      <c r="N462" s="72" t="s">
        <v>3</v>
      </c>
      <c r="O462" s="58" t="str">
        <f t="shared" si="22"/>
        <v>Ringan</v>
      </c>
      <c r="P462" s="59">
        <v>46001</v>
      </c>
      <c r="Q462" s="100">
        <v>3</v>
      </c>
      <c r="R462" s="101">
        <v>17.61</v>
      </c>
      <c r="S462" s="102">
        <f t="shared" si="21"/>
        <v>1765490.55</v>
      </c>
    </row>
    <row r="463" spans="1:19" x14ac:dyDescent="0.35">
      <c r="A463" s="55" t="s">
        <v>33</v>
      </c>
      <c r="B463" s="55" t="str">
        <f>+VLOOKUP($D463,[1]STS!$A$9:$E$1405,3,0)</f>
        <v>06</v>
      </c>
      <c r="C463" s="86">
        <f>+VLOOKUP($D463,[1]STS!$A$9:$E$1405,4,0)</f>
        <v>21</v>
      </c>
      <c r="D463" s="64" t="s">
        <v>296</v>
      </c>
      <c r="E463" s="104">
        <f>+IF(ISERROR(VLOOKUP($D463,[1]STS!$E$9:$G$1503,3,0)=0),0,VLOOKUP($D463,[1]STS!$E$9:$G$1503,3,0))</f>
        <v>11.61</v>
      </c>
      <c r="F463" s="98">
        <v>11.03</v>
      </c>
      <c r="G463" s="99">
        <f>+IF(ISERROR(VLOOKUP(D463,[1]STS!$E$9:$AO$1503,37,0)=0),0,VLOOKUP(D463,[1]STS!$E$9:$AO$1503,37,0))</f>
        <v>3.7451851080246947</v>
      </c>
      <c r="H463" s="82" t="str">
        <f>+IF(ISERROR(VLOOKUP(D463,[1]STS!$E$9:$I$1503,5,0)=0),0,VLOOKUP(D463,[1]STS!$E$9:$I$1503,5,0))</f>
        <v>FC</v>
      </c>
      <c r="I463" s="65"/>
      <c r="J463" s="66" t="str">
        <f>VLOOKUP(D463,[1]STS!$E$9:$BC$1359,51,0)</f>
        <v>GP3CK</v>
      </c>
      <c r="K463" s="67"/>
      <c r="L463" s="78" t="str">
        <f>+VLOOKUP(N463,'[1]MSTR AKT'!$C$4:$E$460,3,0)</f>
        <v>Etri 1</v>
      </c>
      <c r="M463" s="83">
        <f>+IF(ISERROR(VLOOKUP($N463,'[1]MSTR AKT'!$C$4:$D$460,2,0)=0),0,VLOOKUP($N463,'[1]MSTR AKT'!$C$4:$D$460,2,0))</f>
        <v>1315111111</v>
      </c>
      <c r="N463" s="72" t="s">
        <v>3</v>
      </c>
      <c r="O463" s="58" t="str">
        <f t="shared" si="22"/>
        <v>Ringan</v>
      </c>
      <c r="P463" s="59">
        <v>46001</v>
      </c>
      <c r="Q463" s="100">
        <v>3</v>
      </c>
      <c r="R463" s="101">
        <v>33.089999999999996</v>
      </c>
      <c r="S463" s="102">
        <f t="shared" si="21"/>
        <v>3317437.9499999997</v>
      </c>
    </row>
    <row r="464" spans="1:19" x14ac:dyDescent="0.35">
      <c r="A464" s="55" t="s">
        <v>33</v>
      </c>
      <c r="B464" s="55" t="str">
        <f>+VLOOKUP($D464,[1]STS!$A$9:$E$1405,3,0)</f>
        <v>06</v>
      </c>
      <c r="C464" s="86">
        <f>+VLOOKUP($D464,[1]STS!$A$9:$E$1405,4,0)</f>
        <v>21</v>
      </c>
      <c r="D464" s="64" t="s">
        <v>297</v>
      </c>
      <c r="E464" s="104">
        <f>+IF(ISERROR(VLOOKUP($D464,[1]STS!$E$9:$G$1503,3,0)=0),0,VLOOKUP($D464,[1]STS!$E$9:$G$1503,3,0))</f>
        <v>6.4</v>
      </c>
      <c r="F464" s="98">
        <v>5.9</v>
      </c>
      <c r="G464" s="99">
        <f>+IF(ISERROR(VLOOKUP(D464,[1]STS!$E$9:$AO$1503,37,0)=0),0,VLOOKUP(D464,[1]STS!$E$9:$AO$1503,37,0))</f>
        <v>3.9451851080246949</v>
      </c>
      <c r="H464" s="82" t="str">
        <f>+IF(ISERROR(VLOOKUP(D464,[1]STS!$E$9:$I$1503,5,0)=0),0,VLOOKUP(D464,[1]STS!$E$9:$I$1503,5,0))</f>
        <v>FC</v>
      </c>
      <c r="I464" s="65"/>
      <c r="J464" s="66" t="str">
        <f>VLOOKUP(D464,[1]STS!$E$9:$BC$1359,51,0)</f>
        <v>GP3CK</v>
      </c>
      <c r="K464" s="67"/>
      <c r="L464" s="78" t="str">
        <f>+VLOOKUP(N464,'[1]MSTR AKT'!$C$4:$E$460,3,0)</f>
        <v>Etri 1</v>
      </c>
      <c r="M464" s="83">
        <f>+IF(ISERROR(VLOOKUP($N464,'[1]MSTR AKT'!$C$4:$D$460,2,0)=0),0,VLOOKUP($N464,'[1]MSTR AKT'!$C$4:$D$460,2,0))</f>
        <v>1315111111</v>
      </c>
      <c r="N464" s="72" t="s">
        <v>3</v>
      </c>
      <c r="O464" s="58" t="str">
        <f t="shared" si="22"/>
        <v>Ringan</v>
      </c>
      <c r="P464" s="59">
        <v>46002</v>
      </c>
      <c r="Q464" s="100">
        <v>3</v>
      </c>
      <c r="R464" s="101">
        <v>17.700000000000003</v>
      </c>
      <c r="S464" s="102">
        <f t="shared" si="21"/>
        <v>1774513.5000000002</v>
      </c>
    </row>
    <row r="465" spans="1:19" x14ac:dyDescent="0.35">
      <c r="A465" s="55" t="s">
        <v>33</v>
      </c>
      <c r="B465" s="55" t="str">
        <f>+VLOOKUP($D465,[1]STS!$A$9:$E$1405,3,0)</f>
        <v>06</v>
      </c>
      <c r="C465" s="86">
        <f>+VLOOKUP($D465,[1]STS!$A$9:$E$1405,4,0)</f>
        <v>21</v>
      </c>
      <c r="D465" s="64" t="s">
        <v>300</v>
      </c>
      <c r="E465" s="104">
        <f>+IF(ISERROR(VLOOKUP($D465,[1]STS!$E$9:$G$1503,3,0)=0),0,VLOOKUP($D465,[1]STS!$E$9:$G$1503,3,0))</f>
        <v>6.5</v>
      </c>
      <c r="F465" s="98">
        <v>6.68</v>
      </c>
      <c r="G465" s="99">
        <f>+IF(ISERROR(VLOOKUP(D465,[1]STS!$E$9:$AO$1503,37,0)=0),0,VLOOKUP(D465,[1]STS!$E$9:$AO$1503,37,0))</f>
        <v>2.4785184413580281</v>
      </c>
      <c r="H465" s="82" t="str">
        <f>+IF(ISERROR(VLOOKUP(D465,[1]STS!$E$9:$I$1503,5,0)=0),0,VLOOKUP(D465,[1]STS!$E$9:$I$1503,5,0))</f>
        <v>FC</v>
      </c>
      <c r="I465" s="65"/>
      <c r="J465" s="66" t="str">
        <f>VLOOKUP(D465,[1]STS!$E$9:$BC$1359,51,0)</f>
        <v>F18CK</v>
      </c>
      <c r="K465" s="67"/>
      <c r="L465" s="78" t="str">
        <f>+VLOOKUP(N465,'[1]MSTR AKT'!$C$4:$E$460,3,0)</f>
        <v>Etri 1</v>
      </c>
      <c r="M465" s="83">
        <f>+IF(ISERROR(VLOOKUP($N465,'[1]MSTR AKT'!$C$4:$D$460,2,0)=0),0,VLOOKUP($N465,'[1]MSTR AKT'!$C$4:$D$460,2,0))</f>
        <v>1315111111</v>
      </c>
      <c r="N465" s="72" t="s">
        <v>3</v>
      </c>
      <c r="O465" s="58" t="str">
        <f t="shared" si="22"/>
        <v>Ringan</v>
      </c>
      <c r="P465" s="59">
        <v>46002</v>
      </c>
      <c r="Q465" s="100">
        <v>3</v>
      </c>
      <c r="R465" s="101">
        <v>20.04</v>
      </c>
      <c r="S465" s="102">
        <f t="shared" si="21"/>
        <v>2009110.2</v>
      </c>
    </row>
    <row r="466" spans="1:19" x14ac:dyDescent="0.35">
      <c r="A466" s="55" t="s">
        <v>33</v>
      </c>
      <c r="B466" s="55" t="str">
        <f>+VLOOKUP($D466,[1]STS!$A$9:$E$1405,3,0)</f>
        <v>06</v>
      </c>
      <c r="C466" s="86">
        <f>+VLOOKUP($D466,[1]STS!$A$9:$E$1405,4,0)</f>
        <v>21</v>
      </c>
      <c r="D466" s="64" t="s">
        <v>310</v>
      </c>
      <c r="E466" s="104">
        <f>+IF(ISERROR(VLOOKUP($D466,[1]STS!$E$9:$G$1503,3,0)=0),0,VLOOKUP($D466,[1]STS!$E$9:$G$1503,3,0))</f>
        <v>7.64</v>
      </c>
      <c r="F466" s="98">
        <v>7.26</v>
      </c>
      <c r="G466" s="99">
        <f>+IF(ISERROR(VLOOKUP(D466,[1]STS!$E$9:$AO$1503,37,0)=0),0,VLOOKUP(D466,[1]STS!$E$9:$AO$1503,37,0))</f>
        <v>3.2785184413580284</v>
      </c>
      <c r="H466" s="82" t="str">
        <f>+IF(ISERROR(VLOOKUP(D466,[1]STS!$E$9:$I$1503,5,0)=0),0,VLOOKUP(D466,[1]STS!$E$9:$I$1503,5,0))</f>
        <v>FC</v>
      </c>
      <c r="I466" s="65"/>
      <c r="J466" s="66" t="str">
        <f>VLOOKUP(D466,[1]STS!$E$9:$BC$1359,51,0)</f>
        <v>F18CK</v>
      </c>
      <c r="K466" s="67"/>
      <c r="L466" s="78" t="str">
        <f>+VLOOKUP(N466,'[1]MSTR AKT'!$C$4:$E$460,3,0)</f>
        <v>Etri 1</v>
      </c>
      <c r="M466" s="83">
        <f>+IF(ISERROR(VLOOKUP($N466,'[1]MSTR AKT'!$C$4:$D$460,2,0)=0),0,VLOOKUP($N466,'[1]MSTR AKT'!$C$4:$D$460,2,0))</f>
        <v>1315111111</v>
      </c>
      <c r="N466" s="72" t="s">
        <v>3</v>
      </c>
      <c r="O466" s="58" t="str">
        <f t="shared" si="22"/>
        <v>Ringan</v>
      </c>
      <c r="P466" s="59">
        <v>46001</v>
      </c>
      <c r="Q466" s="100">
        <v>3</v>
      </c>
      <c r="R466" s="101">
        <v>21.78</v>
      </c>
      <c r="S466" s="102">
        <f t="shared" si="21"/>
        <v>2183553.9</v>
      </c>
    </row>
    <row r="467" spans="1:19" x14ac:dyDescent="0.35">
      <c r="A467" s="55" t="s">
        <v>33</v>
      </c>
      <c r="B467" s="55" t="str">
        <f>+VLOOKUP($D467,[1]STS!$A$9:$E$1405,3,0)</f>
        <v>06</v>
      </c>
      <c r="C467" s="86">
        <f>+VLOOKUP($D467,[1]STS!$A$9:$E$1405,4,0)</f>
        <v>21</v>
      </c>
      <c r="D467" s="64" t="s">
        <v>311</v>
      </c>
      <c r="E467" s="104">
        <f>+IF(ISERROR(VLOOKUP($D467,[1]STS!$E$9:$G$1503,3,0)=0),0,VLOOKUP($D467,[1]STS!$E$9:$G$1503,3,0))</f>
        <v>15.78</v>
      </c>
      <c r="F467" s="98">
        <v>14.39</v>
      </c>
      <c r="G467" s="99">
        <f>+IF(ISERROR(VLOOKUP(D467,[1]STS!$E$9:$AO$1503,37,0)=0),0,VLOOKUP(D467,[1]STS!$E$9:$AO$1503,37,0))</f>
        <v>3.4785184413580281</v>
      </c>
      <c r="H467" s="82" t="str">
        <f>+IF(ISERROR(VLOOKUP(D467,[1]STS!$E$9:$I$1503,5,0)=0),0,VLOOKUP(D467,[1]STS!$E$9:$I$1503,5,0))</f>
        <v>FC</v>
      </c>
      <c r="I467" s="65"/>
      <c r="J467" s="66" t="str">
        <f>VLOOKUP(D467,[1]STS!$E$9:$BC$1359,51,0)</f>
        <v>F18CK</v>
      </c>
      <c r="K467" s="67"/>
      <c r="L467" s="78" t="str">
        <f>+VLOOKUP(N467,'[1]MSTR AKT'!$C$4:$E$460,3,0)</f>
        <v>Etri 1</v>
      </c>
      <c r="M467" s="83">
        <f>+IF(ISERROR(VLOOKUP($N467,'[1]MSTR AKT'!$C$4:$D$460,2,0)=0),0,VLOOKUP($N467,'[1]MSTR AKT'!$C$4:$D$460,2,0))</f>
        <v>1315111111</v>
      </c>
      <c r="N467" s="72" t="s">
        <v>3</v>
      </c>
      <c r="O467" s="58" t="str">
        <f t="shared" si="22"/>
        <v>Ringan</v>
      </c>
      <c r="P467" s="59">
        <v>46001</v>
      </c>
      <c r="Q467" s="100">
        <v>3</v>
      </c>
      <c r="R467" s="101">
        <v>43.17</v>
      </c>
      <c r="S467" s="102">
        <f t="shared" si="21"/>
        <v>4328008.3500000006</v>
      </c>
    </row>
    <row r="468" spans="1:19" x14ac:dyDescent="0.35">
      <c r="A468" s="55" t="s">
        <v>33</v>
      </c>
      <c r="B468" s="55" t="str">
        <f>+VLOOKUP($D468,[1]STS!$A$9:$E$1405,3,0)</f>
        <v>06</v>
      </c>
      <c r="C468" s="86">
        <f>+VLOOKUP($D468,[1]STS!$A$9:$E$1405,4,0)</f>
        <v>21</v>
      </c>
      <c r="D468" s="64" t="s">
        <v>312</v>
      </c>
      <c r="E468" s="104">
        <f>+IF(ISERROR(VLOOKUP($D468,[1]STS!$E$9:$G$1503,3,0)=0),0,VLOOKUP($D468,[1]STS!$E$9:$G$1503,3,0))</f>
        <v>9.0399999999999991</v>
      </c>
      <c r="F468" s="98">
        <v>8.74</v>
      </c>
      <c r="G468" s="99">
        <f>+IF(ISERROR(VLOOKUP(D468,[1]STS!$E$9:$AO$1503,37,0)=0),0,VLOOKUP(D468,[1]STS!$E$9:$AO$1503,37,0))</f>
        <v>1.1118517746913616</v>
      </c>
      <c r="H468" s="82" t="str">
        <f>+IF(ISERROR(VLOOKUP(D468,[1]STS!$E$9:$I$1503,5,0)=0),0,VLOOKUP(D468,[1]STS!$E$9:$I$1503,5,0))</f>
        <v>FC</v>
      </c>
      <c r="I468" s="65"/>
      <c r="J468" s="66" t="str">
        <f>VLOOKUP(D468,[1]STS!$E$9:$BC$1359,51,0)</f>
        <v>F18CK</v>
      </c>
      <c r="K468" s="67"/>
      <c r="L468" s="78" t="str">
        <f>+VLOOKUP(N468,'[1]MSTR AKT'!$C$4:$E$460,3,0)</f>
        <v>Etri 1</v>
      </c>
      <c r="M468" s="83">
        <f>+IF(ISERROR(VLOOKUP($N468,'[1]MSTR AKT'!$C$4:$D$460,2,0)=0),0,VLOOKUP($N468,'[1]MSTR AKT'!$C$4:$D$460,2,0))</f>
        <v>1315111111</v>
      </c>
      <c r="N468" s="72" t="s">
        <v>3</v>
      </c>
      <c r="O468" s="58" t="str">
        <f t="shared" si="22"/>
        <v>Ringan</v>
      </c>
      <c r="P468" s="59">
        <v>46001</v>
      </c>
      <c r="Q468" s="100">
        <v>3</v>
      </c>
      <c r="R468" s="101">
        <v>26.22</v>
      </c>
      <c r="S468" s="102">
        <f t="shared" si="21"/>
        <v>2628686.1</v>
      </c>
    </row>
    <row r="469" spans="1:19" x14ac:dyDescent="0.35">
      <c r="A469" s="55" t="s">
        <v>33</v>
      </c>
      <c r="B469" s="55" t="str">
        <f>+VLOOKUP($D469,[1]STS!$A$9:$E$1405,3,0)</f>
        <v>06</v>
      </c>
      <c r="C469" s="86">
        <f>+VLOOKUP($D469,[1]STS!$A$9:$E$1405,4,0)</f>
        <v>21</v>
      </c>
      <c r="D469" s="64" t="s">
        <v>314</v>
      </c>
      <c r="E469" s="104">
        <f>+IF(ISERROR(VLOOKUP($D469,[1]STS!$E$9:$G$1503,3,0)=0),0,VLOOKUP($D469,[1]STS!$E$9:$G$1503,3,0))</f>
        <v>5.56</v>
      </c>
      <c r="F469" s="98">
        <v>5.13</v>
      </c>
      <c r="G469" s="99">
        <f>+IF(ISERROR(VLOOKUP(D469,[1]STS!$E$9:$AO$1503,37,0)=0),0,VLOOKUP(D469,[1]STS!$E$9:$AO$1503,37,0))</f>
        <v>3.2451851080246947</v>
      </c>
      <c r="H469" s="82" t="str">
        <f>+IF(ISERROR(VLOOKUP(D469,[1]STS!$E$9:$I$1503,5,0)=0),0,VLOOKUP(D469,[1]STS!$E$9:$I$1503,5,0))</f>
        <v>FC</v>
      </c>
      <c r="I469" s="65"/>
      <c r="J469" s="66" t="str">
        <f>VLOOKUP(D469,[1]STS!$E$9:$BC$1359,51,0)</f>
        <v>F18CK</v>
      </c>
      <c r="K469" s="67"/>
      <c r="L469" s="78" t="str">
        <f>+VLOOKUP(N469,'[1]MSTR AKT'!$C$4:$E$460,3,0)</f>
        <v>Etri 1</v>
      </c>
      <c r="M469" s="83">
        <f>+IF(ISERROR(VLOOKUP($N469,'[1]MSTR AKT'!$C$4:$D$460,2,0)=0),0,VLOOKUP($N469,'[1]MSTR AKT'!$C$4:$D$460,2,0))</f>
        <v>1315111111</v>
      </c>
      <c r="N469" s="72" t="s">
        <v>3</v>
      </c>
      <c r="O469" s="58" t="str">
        <f t="shared" si="22"/>
        <v>Ringan</v>
      </c>
      <c r="P469" s="59">
        <v>46001</v>
      </c>
      <c r="Q469" s="100">
        <v>3</v>
      </c>
      <c r="R469" s="101">
        <v>15.39</v>
      </c>
      <c r="S469" s="102">
        <f t="shared" si="21"/>
        <v>1542924.45</v>
      </c>
    </row>
    <row r="470" spans="1:19" x14ac:dyDescent="0.35">
      <c r="A470" s="55" t="s">
        <v>33</v>
      </c>
      <c r="B470" s="55" t="str">
        <f>+VLOOKUP($D470,[1]STS!$A$9:$E$1405,3,0)</f>
        <v>06</v>
      </c>
      <c r="C470" s="86">
        <f>+VLOOKUP($D470,[1]STS!$A$9:$E$1405,4,0)</f>
        <v>21</v>
      </c>
      <c r="D470" s="64" t="s">
        <v>315</v>
      </c>
      <c r="E470" s="104">
        <f>+IF(ISERROR(VLOOKUP($D470,[1]STS!$E$9:$G$1503,3,0)=0),0,VLOOKUP($D470,[1]STS!$E$9:$G$1503,3,0))</f>
        <v>9.92</v>
      </c>
      <c r="F470" s="98">
        <v>9.5299999999999994</v>
      </c>
      <c r="G470" s="99">
        <f>+IF(ISERROR(VLOOKUP(D470,[1]STS!$E$9:$AO$1503,37,0)=0),0,VLOOKUP(D470,[1]STS!$E$9:$AO$1503,37,0))</f>
        <v>3.045185108024695</v>
      </c>
      <c r="H470" s="82" t="str">
        <f>+IF(ISERROR(VLOOKUP(D470,[1]STS!$E$9:$I$1503,5,0)=0),0,VLOOKUP(D470,[1]STS!$E$9:$I$1503,5,0))</f>
        <v>FC</v>
      </c>
      <c r="I470" s="65"/>
      <c r="J470" s="66" t="str">
        <f>VLOOKUP(D470,[1]STS!$E$9:$BC$1359,51,0)</f>
        <v>F18CK</v>
      </c>
      <c r="K470" s="67"/>
      <c r="L470" s="78" t="str">
        <f>+VLOOKUP(N470,'[1]MSTR AKT'!$C$4:$E$460,3,0)</f>
        <v>Etri 1</v>
      </c>
      <c r="M470" s="83">
        <f>+IF(ISERROR(VLOOKUP($N470,'[1]MSTR AKT'!$C$4:$D$460,2,0)=0),0,VLOOKUP($N470,'[1]MSTR AKT'!$C$4:$D$460,2,0))</f>
        <v>1315111111</v>
      </c>
      <c r="N470" s="72" t="s">
        <v>3</v>
      </c>
      <c r="O470" s="58" t="str">
        <f t="shared" si="22"/>
        <v>Ringan</v>
      </c>
      <c r="P470" s="59">
        <v>46002</v>
      </c>
      <c r="Q470" s="100">
        <v>3</v>
      </c>
      <c r="R470" s="101">
        <v>28.589999999999996</v>
      </c>
      <c r="S470" s="102">
        <f t="shared" si="21"/>
        <v>2866290.4499999997</v>
      </c>
    </row>
    <row r="471" spans="1:19" x14ac:dyDescent="0.35">
      <c r="A471" s="55" t="s">
        <v>33</v>
      </c>
      <c r="B471" s="55" t="str">
        <f>+VLOOKUP($D471,[1]STS!$A$9:$E$1405,3,0)</f>
        <v>06</v>
      </c>
      <c r="C471" s="86">
        <f>+VLOOKUP($D471,[1]STS!$A$9:$E$1405,4,0)</f>
        <v>21</v>
      </c>
      <c r="D471" s="64" t="s">
        <v>313</v>
      </c>
      <c r="E471" s="104">
        <f>+IF(ISERROR(VLOOKUP($D471,[1]STS!$E$9:$G$1503,3,0)=0),0,VLOOKUP($D471,[1]STS!$E$9:$G$1503,3,0))</f>
        <v>10.26</v>
      </c>
      <c r="F471" s="98">
        <v>9.4700000000000006</v>
      </c>
      <c r="G471" s="99">
        <f>+IF(ISERROR(VLOOKUP(D471,[1]STS!$E$9:$AO$1503,37,0)=0),0,VLOOKUP(D471,[1]STS!$E$9:$AO$1503,37,0))</f>
        <v>2.1785184413580283</v>
      </c>
      <c r="H471" s="82" t="str">
        <f>+IF(ISERROR(VLOOKUP(D471,[1]STS!$E$9:$I$1503,5,0)=0),0,VLOOKUP(D471,[1]STS!$E$9:$I$1503,5,0))</f>
        <v>FC</v>
      </c>
      <c r="I471" s="65"/>
      <c r="J471" s="66" t="str">
        <f>VLOOKUP(D471,[1]STS!$E$9:$BC$1359,51,0)</f>
        <v>F18CK</v>
      </c>
      <c r="K471" s="67"/>
      <c r="L471" s="78" t="str">
        <f>+VLOOKUP(N471,'[1]MSTR AKT'!$C$4:$E$460,3,0)</f>
        <v>Etri 1</v>
      </c>
      <c r="M471" s="83">
        <f>+IF(ISERROR(VLOOKUP($N471,'[1]MSTR AKT'!$C$4:$D$460,2,0)=0),0,VLOOKUP($N471,'[1]MSTR AKT'!$C$4:$D$460,2,0))</f>
        <v>1315111111</v>
      </c>
      <c r="N471" s="72" t="s">
        <v>3</v>
      </c>
      <c r="O471" s="58" t="str">
        <f t="shared" si="22"/>
        <v>Ringan</v>
      </c>
      <c r="P471" s="59">
        <v>46002</v>
      </c>
      <c r="Q471" s="100">
        <v>3</v>
      </c>
      <c r="R471" s="101">
        <v>28.410000000000004</v>
      </c>
      <c r="S471" s="102">
        <f t="shared" si="21"/>
        <v>2848244.5500000003</v>
      </c>
    </row>
    <row r="472" spans="1:19" x14ac:dyDescent="0.35">
      <c r="A472" s="55" t="s">
        <v>33</v>
      </c>
      <c r="B472" s="55" t="str">
        <f>+VLOOKUP($D472,[1]STS!$A$9:$E$1405,3,0)</f>
        <v>06</v>
      </c>
      <c r="C472" s="86">
        <f>+VLOOKUP($D472,[1]STS!$A$9:$E$1405,4,0)</f>
        <v>21</v>
      </c>
      <c r="D472" s="64" t="s">
        <v>126</v>
      </c>
      <c r="E472" s="104">
        <f>+IF(ISERROR(VLOOKUP($D472,[1]STS!$E$9:$G$1503,3,0)=0),0,VLOOKUP($D472,[1]STS!$E$9:$G$1503,3,0))</f>
        <v>13.08</v>
      </c>
      <c r="F472" s="98">
        <v>11.93</v>
      </c>
      <c r="G472" s="99">
        <f>+IF(ISERROR(VLOOKUP(D472,[1]STS!$E$9:$AO$1503,37,0)=0),0,VLOOKUP(D472,[1]STS!$E$9:$AO$1503,37,0))</f>
        <v>5.211851774691362</v>
      </c>
      <c r="H472" s="82" t="str">
        <f>+IF(ISERROR(VLOOKUP(D472,[1]STS!$E$9:$I$1503,5,0)=0),0,VLOOKUP(D472,[1]STS!$E$9:$I$1503,5,0))</f>
        <v>FC</v>
      </c>
      <c r="I472" s="65"/>
      <c r="J472" s="66" t="str">
        <f>VLOOKUP(D472,[1]STS!$E$9:$BC$1359,51,0)</f>
        <v>GP3CK</v>
      </c>
      <c r="K472" s="67"/>
      <c r="L472" s="78" t="str">
        <f>+VLOOKUP(N472,'[1]MSTR AKT'!$C$4:$E$460,3,0)</f>
        <v>Widi</v>
      </c>
      <c r="M472" s="83">
        <f>+IF(ISERROR(VLOOKUP($N472,'[1]MSTR AKT'!$C$4:$D$460,2,0)=0),0,VLOOKUP($N472,'[1]MSTR AKT'!$C$4:$D$460,2,0))</f>
        <v>1315111511</v>
      </c>
      <c r="N472" s="72" t="s">
        <v>0</v>
      </c>
      <c r="O472" s="58"/>
      <c r="P472" s="59">
        <v>46001</v>
      </c>
      <c r="Q472" s="100">
        <v>5</v>
      </c>
      <c r="R472" s="101">
        <v>59.65</v>
      </c>
      <c r="S472" s="102">
        <f t="shared" si="21"/>
        <v>5980210.75</v>
      </c>
    </row>
    <row r="473" spans="1:19" x14ac:dyDescent="0.35">
      <c r="A473" s="55" t="s">
        <v>33</v>
      </c>
      <c r="B473" s="55" t="str">
        <f>+VLOOKUP($D473,[1]STS!$A$9:$E$1405,3,0)</f>
        <v>06</v>
      </c>
      <c r="C473" s="86">
        <f>+VLOOKUP($D473,[1]STS!$A$9:$E$1405,4,0)</f>
        <v>21</v>
      </c>
      <c r="D473" s="64" t="s">
        <v>82</v>
      </c>
      <c r="E473" s="104">
        <f>+IF(ISERROR(VLOOKUP($D473,[1]STS!$E$9:$G$1503,3,0)=0),0,VLOOKUP($D473,[1]STS!$E$9:$G$1503,3,0))</f>
        <v>5.53</v>
      </c>
      <c r="F473" s="98">
        <v>1.659</v>
      </c>
      <c r="G473" s="99">
        <f>+IF(ISERROR(VLOOKUP(D473,[1]STS!$E$9:$AO$1503,37,0)=0),0,VLOOKUP(D473,[1]STS!$E$9:$AO$1503,37,0))</f>
        <v>11.878518441358029</v>
      </c>
      <c r="H473" s="82" t="str">
        <f>+IF(ISERROR(VLOOKUP(D473,[1]STS!$E$9:$I$1503,5,0)=0),0,VLOOKUP(D473,[1]STS!$E$9:$I$1503,5,0))</f>
        <v>SC</v>
      </c>
      <c r="I473" s="65"/>
      <c r="J473" s="66" t="str">
        <f>VLOOKUP(D473,[1]STS!$E$9:$BC$1359,51,0)</f>
        <v>F18</v>
      </c>
      <c r="K473" s="67"/>
      <c r="L473" s="78" t="str">
        <f>+VLOOKUP(N473,'[1]MSTR AKT'!$C$4:$E$460,3,0)</f>
        <v>Etri 1</v>
      </c>
      <c r="M473" s="83">
        <f>+IF(ISERROR(VLOOKUP($N473,'[1]MSTR AKT'!$C$4:$D$460,2,0)=0),0,VLOOKUP($N473,'[1]MSTR AKT'!$C$4:$D$460,2,0))</f>
        <v>1319171111</v>
      </c>
      <c r="N473" s="72" t="s">
        <v>2</v>
      </c>
      <c r="O473" s="58"/>
      <c r="P473" s="59">
        <v>46001</v>
      </c>
      <c r="Q473" s="100">
        <v>4</v>
      </c>
      <c r="R473" s="101">
        <v>6.6360000000000001</v>
      </c>
      <c r="S473" s="102">
        <f t="shared" si="21"/>
        <v>665292.18000000005</v>
      </c>
    </row>
    <row r="474" spans="1:19" x14ac:dyDescent="0.35">
      <c r="A474" s="55" t="s">
        <v>33</v>
      </c>
      <c r="B474" s="55" t="str">
        <f>+VLOOKUP($D474,[1]STS!$A$9:$E$1405,3,0)</f>
        <v>06</v>
      </c>
      <c r="C474" s="86">
        <f>+VLOOKUP($D474,[1]STS!$A$9:$E$1405,4,0)</f>
        <v>21</v>
      </c>
      <c r="D474" s="64" t="s">
        <v>83</v>
      </c>
      <c r="E474" s="104">
        <f>+IF(ISERROR(VLOOKUP($D474,[1]STS!$E$9:$G$1503,3,0)=0),0,VLOOKUP($D474,[1]STS!$E$9:$G$1503,3,0))</f>
        <v>3.28</v>
      </c>
      <c r="F474" s="98">
        <v>0.98399999999999987</v>
      </c>
      <c r="G474" s="99">
        <f>+IF(ISERROR(VLOOKUP(D474,[1]STS!$E$9:$AO$1503,37,0)=0),0,VLOOKUP(D474,[1]STS!$E$9:$AO$1503,37,0))</f>
        <v>11.878518441358029</v>
      </c>
      <c r="H474" s="82" t="str">
        <f>+IF(ISERROR(VLOOKUP(D474,[1]STS!$E$9:$I$1503,5,0)=0),0,VLOOKUP(D474,[1]STS!$E$9:$I$1503,5,0))</f>
        <v>SC</v>
      </c>
      <c r="I474" s="65"/>
      <c r="J474" s="66" t="str">
        <f>VLOOKUP(D474,[1]STS!$E$9:$BC$1359,51,0)</f>
        <v>F18</v>
      </c>
      <c r="K474" s="67"/>
      <c r="L474" s="78" t="str">
        <f>+VLOOKUP(N474,'[1]MSTR AKT'!$C$4:$E$460,3,0)</f>
        <v>Etri 1</v>
      </c>
      <c r="M474" s="83">
        <f>+IF(ISERROR(VLOOKUP($N474,'[1]MSTR AKT'!$C$4:$D$460,2,0)=0),0,VLOOKUP($N474,'[1]MSTR AKT'!$C$4:$D$460,2,0))</f>
        <v>1319171111</v>
      </c>
      <c r="N474" s="72" t="s">
        <v>2</v>
      </c>
      <c r="O474" s="58"/>
      <c r="P474" s="59">
        <v>46002</v>
      </c>
      <c r="Q474" s="100">
        <v>4</v>
      </c>
      <c r="R474" s="101">
        <v>3.9359999999999995</v>
      </c>
      <c r="S474" s="102">
        <f t="shared" si="21"/>
        <v>394603.67999999993</v>
      </c>
    </row>
    <row r="475" spans="1:19" x14ac:dyDescent="0.35">
      <c r="A475" s="2" t="s">
        <v>33</v>
      </c>
      <c r="B475" s="68" t="str">
        <f>+VLOOKUP($D475,[1]STS!$A$9:$E$1405,3,0)</f>
        <v>06</v>
      </c>
      <c r="C475" s="86">
        <f>+VLOOKUP($D475,[1]STS!$A$9:$E$1405,4,0)</f>
        <v>22</v>
      </c>
      <c r="D475" s="107" t="s">
        <v>327</v>
      </c>
      <c r="E475" s="108">
        <f>+IF(ISERROR(VLOOKUP($D475,[1]STS!$E$9:$G$1503,3,0)=0),0,VLOOKUP($D475,[1]STS!$E$9:$G$1503,3,0))</f>
        <v>6.1</v>
      </c>
      <c r="F475" s="98">
        <f>+E475</f>
        <v>6.1</v>
      </c>
      <c r="G475" s="99">
        <f>+IF(ISERROR(VLOOKUP(D475,[1]STS!$E$9:$AO$1503,37,0)=0),0,VLOOKUP(D475,[1]STS!$E$9:$AO$1503,37,0))</f>
        <v>1.8451851080246948</v>
      </c>
      <c r="H475" s="84" t="str">
        <f>+IF(ISERROR(VLOOKUP(D475,[1]STS!$E$9:$I$1503,5,0)=0),0,VLOOKUP(D475,[1]STS!$E$9:$I$1503,5,0))</f>
        <v>FC</v>
      </c>
      <c r="I475" s="73"/>
      <c r="J475" s="74" t="str">
        <f>VLOOKUP(D475,[1]STS!$E$9:$BC$1359,51,0)</f>
        <v>F18CK</v>
      </c>
      <c r="K475" s="75"/>
      <c r="L475" s="78" t="str">
        <f>+VLOOKUP(N475,'[1]MSTR AKT'!$C$4:$E$460,3,0)</f>
        <v>Nugroho</v>
      </c>
      <c r="M475" s="85">
        <f>+IF(ISERROR(VLOOKUP($N475,'[1]MSTR AKT'!$C$4:$D$460,2,0)=0),0,VLOOKUP($N475,'[1]MSTR AKT'!$C$4:$D$460,2,0))</f>
        <v>1311131115</v>
      </c>
      <c r="N475" s="76" t="s">
        <v>37</v>
      </c>
      <c r="O475" s="58"/>
      <c r="P475" s="59">
        <v>45999</v>
      </c>
      <c r="Q475" s="100">
        <v>2</v>
      </c>
      <c r="R475" s="101">
        <f>+Q475*F475</f>
        <v>12.2</v>
      </c>
      <c r="S475" s="102">
        <f t="shared" ref="S475:S521" si="23">+R475*100255</f>
        <v>1223111</v>
      </c>
    </row>
    <row r="476" spans="1:19" x14ac:dyDescent="0.35">
      <c r="A476" s="2" t="s">
        <v>33</v>
      </c>
      <c r="B476" s="68" t="str">
        <f>+VLOOKUP($D476,[1]STS!$A$9:$E$1405,3,0)</f>
        <v>06</v>
      </c>
      <c r="C476" s="86">
        <f>+VLOOKUP($D476,[1]STS!$A$9:$E$1405,4,0)</f>
        <v>22</v>
      </c>
      <c r="D476" s="107" t="s">
        <v>319</v>
      </c>
      <c r="E476" s="108">
        <f>+IF(ISERROR(VLOOKUP($D476,[1]STS!$E$9:$G$1503,3,0)=0),0,VLOOKUP($D476,[1]STS!$E$9:$G$1503,3,0))</f>
        <v>6.78</v>
      </c>
      <c r="F476" s="98">
        <v>6.33</v>
      </c>
      <c r="G476" s="99">
        <f>+IF(ISERROR(VLOOKUP(D476,[1]STS!$E$9:$AO$1503,37,0)=0),0,VLOOKUP(D476,[1]STS!$E$9:$AO$1503,37,0))</f>
        <v>1.5785184413580282</v>
      </c>
      <c r="H476" s="84" t="str">
        <f>+IF(ISERROR(VLOOKUP(D476,[1]STS!$E$9:$I$1503,5,0)=0),0,VLOOKUP(D476,[1]STS!$E$9:$I$1503,5,0))</f>
        <v>FC</v>
      </c>
      <c r="I476" s="73"/>
      <c r="J476" s="74" t="str">
        <f>VLOOKUP(D476,[1]STS!$E$9:$BC$1359,51,0)</f>
        <v>F18CK</v>
      </c>
      <c r="K476" s="75"/>
      <c r="L476" s="78" t="str">
        <f>+VLOOKUP(N476,'[1]MSTR AKT'!$C$4:$E$460,3,0)</f>
        <v>Widi</v>
      </c>
      <c r="M476" s="85">
        <f>+IF(ISERROR(VLOOKUP($N476,'[1]MSTR AKT'!$C$4:$D$460,2,0)=0),0,VLOOKUP($N476,'[1]MSTR AKT'!$C$4:$D$460,2,0))</f>
        <v>1317111113</v>
      </c>
      <c r="N476" s="76" t="s">
        <v>34</v>
      </c>
      <c r="O476" s="58"/>
      <c r="P476" s="59">
        <v>45999</v>
      </c>
      <c r="Q476" s="100">
        <v>233</v>
      </c>
      <c r="R476" s="101">
        <v>30</v>
      </c>
      <c r="S476" s="102">
        <f t="shared" si="23"/>
        <v>3007650</v>
      </c>
    </row>
    <row r="477" spans="1:19" x14ac:dyDescent="0.35">
      <c r="A477" s="2" t="s">
        <v>33</v>
      </c>
      <c r="B477" s="68" t="str">
        <f>+VLOOKUP($D477,[1]STS!$A$9:$E$1405,3,0)</f>
        <v>06</v>
      </c>
      <c r="C477" s="86">
        <f>+VLOOKUP($D477,[1]STS!$A$9:$E$1405,4,0)</f>
        <v>22</v>
      </c>
      <c r="D477" s="107" t="s">
        <v>354</v>
      </c>
      <c r="E477" s="108">
        <f>+IF(ISERROR(VLOOKUP($D477,[1]STS!$E$9:$G$1503,3,0)=0),0,VLOOKUP($D477,[1]STS!$E$9:$G$1503,3,0))</f>
        <v>9.2200000000000006</v>
      </c>
      <c r="F477" s="98">
        <v>8.01</v>
      </c>
      <c r="G477" s="99">
        <f>+IF(ISERROR(VLOOKUP(D477,[1]STS!$E$9:$AO$1503,37,0)=0),0,VLOOKUP(D477,[1]STS!$E$9:$AO$1503,37,0))</f>
        <v>0.24518510802469487</v>
      </c>
      <c r="H477" s="84" t="str">
        <f>+IF(ISERROR(VLOOKUP(D477,[1]STS!$E$9:$I$1503,5,0)=0),0,VLOOKUP(D477,[1]STS!$E$9:$I$1503,5,0))</f>
        <v>FC</v>
      </c>
      <c r="I477" s="73"/>
      <c r="J477" s="74" t="str">
        <f>VLOOKUP(D477,[1]STS!$E$9:$BC$1359,51,0)</f>
        <v>F18SS</v>
      </c>
      <c r="K477" s="75"/>
      <c r="L477" s="78" t="str">
        <f>+VLOOKUP(N477,'[1]MSTR AKT'!$C$4:$E$460,3,0)</f>
        <v>Widi</v>
      </c>
      <c r="M477" s="85">
        <f>+IF(ISERROR(VLOOKUP($N477,'[1]MSTR AKT'!$C$4:$D$460,2,0)=0),0,VLOOKUP($N477,'[1]MSTR AKT'!$C$4:$D$460,2,0))</f>
        <v>1317111113</v>
      </c>
      <c r="N477" s="76" t="s">
        <v>34</v>
      </c>
      <c r="O477" s="58"/>
      <c r="P477" s="59">
        <v>46001</v>
      </c>
      <c r="Q477" s="100">
        <v>233</v>
      </c>
      <c r="R477" s="101">
        <v>30</v>
      </c>
      <c r="S477" s="102">
        <f t="shared" si="23"/>
        <v>3007650</v>
      </c>
    </row>
    <row r="478" spans="1:19" x14ac:dyDescent="0.35">
      <c r="A478" s="2" t="s">
        <v>33</v>
      </c>
      <c r="B478" s="68" t="str">
        <f>+VLOOKUP($D478,[1]STS!$A$9:$E$1405,3,0)</f>
        <v>06</v>
      </c>
      <c r="C478" s="86">
        <f>+VLOOKUP($D478,[1]STS!$A$9:$E$1405,4,0)</f>
        <v>22</v>
      </c>
      <c r="D478" s="107" t="s">
        <v>359</v>
      </c>
      <c r="E478" s="108">
        <f>+IF(ISERROR(VLOOKUP($D478,[1]STS!$E$9:$G$1503,3,0)=0),0,VLOOKUP($D478,[1]STS!$E$9:$G$1503,3,0))</f>
        <v>9.6</v>
      </c>
      <c r="F478" s="98">
        <v>8.42</v>
      </c>
      <c r="G478" s="99">
        <f>+IF(ISERROR(VLOOKUP(D478,[1]STS!$E$9:$AO$1503,37,0)=0),0,VLOOKUP(D478,[1]STS!$E$9:$AO$1503,37,0))</f>
        <v>0.24518510802469487</v>
      </c>
      <c r="H478" s="84" t="str">
        <f>+IF(ISERROR(VLOOKUP(D478,[1]STS!$E$9:$I$1503,5,0)=0),0,VLOOKUP(D478,[1]STS!$E$9:$I$1503,5,0))</f>
        <v>FC</v>
      </c>
      <c r="I478" s="73"/>
      <c r="J478" s="74" t="str">
        <f>VLOOKUP(D478,[1]STS!$E$9:$BC$1359,51,0)</f>
        <v>F18SK</v>
      </c>
      <c r="K478" s="75"/>
      <c r="L478" s="78" t="str">
        <f>+VLOOKUP(N478,'[1]MSTR AKT'!$C$4:$E$460,3,0)</f>
        <v>Widi</v>
      </c>
      <c r="M478" s="85">
        <f>+IF(ISERROR(VLOOKUP($N478,'[1]MSTR AKT'!$C$4:$D$460,2,0)=0),0,VLOOKUP($N478,'[1]MSTR AKT'!$C$4:$D$460,2,0))</f>
        <v>1317111113</v>
      </c>
      <c r="N478" s="76" t="s">
        <v>34</v>
      </c>
      <c r="O478" s="58"/>
      <c r="P478" s="59">
        <v>46000</v>
      </c>
      <c r="Q478" s="100">
        <v>233</v>
      </c>
      <c r="R478" s="101">
        <v>30</v>
      </c>
      <c r="S478" s="102">
        <f t="shared" si="23"/>
        <v>3007650</v>
      </c>
    </row>
    <row r="479" spans="1:19" x14ac:dyDescent="0.35">
      <c r="A479" s="2" t="s">
        <v>33</v>
      </c>
      <c r="B479" s="68" t="str">
        <f>+VLOOKUP($D479,[1]STS!$A$9:$E$1405,3,0)</f>
        <v>06</v>
      </c>
      <c r="C479" s="86">
        <f>+VLOOKUP($D479,[1]STS!$A$9:$E$1405,4,0)</f>
        <v>22</v>
      </c>
      <c r="D479" s="107" t="s">
        <v>327</v>
      </c>
      <c r="E479" s="108">
        <f>+IF(ISERROR(VLOOKUP($D479,[1]STS!$E$9:$G$1503,3,0)=0),0,VLOOKUP($D479,[1]STS!$E$9:$G$1503,3,0))</f>
        <v>6.1</v>
      </c>
      <c r="F479" s="98">
        <v>5.46</v>
      </c>
      <c r="G479" s="99">
        <f>+IF(ISERROR(VLOOKUP(D479,[1]STS!$E$9:$AO$1503,37,0)=0),0,VLOOKUP(D479,[1]STS!$E$9:$AO$1503,37,0))</f>
        <v>1.8451851080246948</v>
      </c>
      <c r="H479" s="84" t="str">
        <f>+IF(ISERROR(VLOOKUP(D479,[1]STS!$E$9:$I$1503,5,0)=0),0,VLOOKUP(D479,[1]STS!$E$9:$I$1503,5,0))</f>
        <v>FC</v>
      </c>
      <c r="I479" s="73"/>
      <c r="J479" s="74" t="str">
        <f>VLOOKUP(D479,[1]STS!$E$9:$BC$1359,51,0)</f>
        <v>F18CK</v>
      </c>
      <c r="K479" s="75"/>
      <c r="L479" s="78" t="str">
        <f>+VLOOKUP(N479,'[1]MSTR AKT'!$C$4:$E$460,3,0)</f>
        <v>Widi</v>
      </c>
      <c r="M479" s="85">
        <f>+IF(ISERROR(VLOOKUP($N479,'[1]MSTR AKT'!$C$4:$D$460,2,0)=0),0,VLOOKUP($N479,'[1]MSTR AKT'!$C$4:$D$460,2,0))</f>
        <v>1317111113</v>
      </c>
      <c r="N479" s="76" t="s">
        <v>34</v>
      </c>
      <c r="O479" s="58"/>
      <c r="P479" s="59">
        <v>46000</v>
      </c>
      <c r="Q479" s="100">
        <v>233</v>
      </c>
      <c r="R479" s="101">
        <v>30</v>
      </c>
      <c r="S479" s="102">
        <f t="shared" si="23"/>
        <v>3007650</v>
      </c>
    </row>
    <row r="480" spans="1:19" x14ac:dyDescent="0.35">
      <c r="A480" s="2" t="s">
        <v>33</v>
      </c>
      <c r="B480" s="68" t="str">
        <f>+VLOOKUP($D480,[1]STS!$A$9:$E$1405,3,0)</f>
        <v>06</v>
      </c>
      <c r="C480" s="86">
        <f>+VLOOKUP($D480,[1]STS!$A$9:$E$1405,4,0)</f>
        <v>22</v>
      </c>
      <c r="D480" s="107" t="s">
        <v>329</v>
      </c>
      <c r="E480" s="108">
        <f>+IF(ISERROR(VLOOKUP($D480,[1]STS!$E$9:$G$1503,3,0)=0),0,VLOOKUP($D480,[1]STS!$E$9:$G$1503,3,0))</f>
        <v>10.6</v>
      </c>
      <c r="F480" s="98">
        <v>10.15</v>
      </c>
      <c r="G480" s="99">
        <f>+IF(ISERROR(VLOOKUP(D480,[1]STS!$E$9:$AO$1503,37,0)=0),0,VLOOKUP(D480,[1]STS!$E$9:$AO$1503,37,0))</f>
        <v>1.3785184413580283</v>
      </c>
      <c r="H480" s="84" t="str">
        <f>+IF(ISERROR(VLOOKUP(D480,[1]STS!$E$9:$I$1503,5,0)=0),0,VLOOKUP(D480,[1]STS!$E$9:$I$1503,5,0))</f>
        <v>FC</v>
      </c>
      <c r="I480" s="73"/>
      <c r="J480" s="74" t="str">
        <f>VLOOKUP(D480,[1]STS!$E$9:$BC$1359,51,0)</f>
        <v>F18CK</v>
      </c>
      <c r="K480" s="75"/>
      <c r="L480" s="78" t="str">
        <f>+VLOOKUP(N480,'[1]MSTR AKT'!$C$4:$E$460,3,0)</f>
        <v>Widi</v>
      </c>
      <c r="M480" s="85">
        <f>+IF(ISERROR(VLOOKUP($N480,'[1]MSTR AKT'!$C$4:$D$460,2,0)=0),0,VLOOKUP($N480,'[1]MSTR AKT'!$C$4:$D$460,2,0))</f>
        <v>1317111113</v>
      </c>
      <c r="N480" s="76" t="s">
        <v>34</v>
      </c>
      <c r="O480" s="58"/>
      <c r="P480" s="59">
        <v>46002</v>
      </c>
      <c r="Q480" s="100">
        <v>233</v>
      </c>
      <c r="R480" s="101">
        <v>30</v>
      </c>
      <c r="S480" s="102">
        <f t="shared" si="23"/>
        <v>3007650</v>
      </c>
    </row>
    <row r="481" spans="1:19" x14ac:dyDescent="0.35">
      <c r="A481" s="2" t="s">
        <v>33</v>
      </c>
      <c r="B481" s="68" t="str">
        <f>+VLOOKUP($D481,[1]STS!$A$9:$E$1405,3,0)</f>
        <v>06</v>
      </c>
      <c r="C481" s="86">
        <f>+VLOOKUP($D481,[1]STS!$A$9:$E$1405,4,0)</f>
        <v>22</v>
      </c>
      <c r="D481" s="107" t="s">
        <v>328</v>
      </c>
      <c r="E481" s="108">
        <f>+IF(ISERROR(VLOOKUP($D481,[1]STS!$E$9:$G$1503,3,0)=0),0,VLOOKUP($D481,[1]STS!$E$9:$G$1503,3,0))</f>
        <v>11.33</v>
      </c>
      <c r="F481" s="98">
        <v>9.9600000000000009</v>
      </c>
      <c r="G481" s="99">
        <f>+IF(ISERROR(VLOOKUP(D481,[1]STS!$E$9:$AO$1503,37,0)=0),0,VLOOKUP(D481,[1]STS!$E$9:$AO$1503,37,0))</f>
        <v>2.1451851080246951</v>
      </c>
      <c r="H481" s="84" t="str">
        <f>+IF(ISERROR(VLOOKUP(D481,[1]STS!$E$9:$I$1503,5,0)=0),0,VLOOKUP(D481,[1]STS!$E$9:$I$1503,5,0))</f>
        <v>ST</v>
      </c>
      <c r="I481" s="73"/>
      <c r="J481" s="74" t="str">
        <f>VLOOKUP(D481,[1]STS!$E$9:$BC$1359,51,0)</f>
        <v>F18</v>
      </c>
      <c r="K481" s="75"/>
      <c r="L481" s="78" t="str">
        <f>+VLOOKUP(N481,'[1]MSTR AKT'!$C$4:$E$460,3,0)</f>
        <v>Widi</v>
      </c>
      <c r="M481" s="85">
        <f>+IF(ISERROR(VLOOKUP($N481,'[1]MSTR AKT'!$C$4:$D$460,2,0)=0),0,VLOOKUP($N481,'[1]MSTR AKT'!$C$4:$D$460,2,0))</f>
        <v>1317111113</v>
      </c>
      <c r="N481" s="76" t="s">
        <v>34</v>
      </c>
      <c r="O481" s="58"/>
      <c r="P481" s="59">
        <v>46000</v>
      </c>
      <c r="Q481" s="100">
        <v>233</v>
      </c>
      <c r="R481" s="101">
        <v>30</v>
      </c>
      <c r="S481" s="102">
        <f t="shared" si="23"/>
        <v>3007650</v>
      </c>
    </row>
    <row r="482" spans="1:19" x14ac:dyDescent="0.35">
      <c r="A482" s="2" t="s">
        <v>33</v>
      </c>
      <c r="B482" s="68" t="str">
        <f>+VLOOKUP($D482,[1]STS!$A$9:$E$1405,3,0)</f>
        <v>06</v>
      </c>
      <c r="C482" s="86">
        <f>+VLOOKUP($D482,[1]STS!$A$9:$E$1405,4,0)</f>
        <v>22</v>
      </c>
      <c r="D482" s="107" t="s">
        <v>320</v>
      </c>
      <c r="E482" s="108">
        <f>+IF(ISERROR(VLOOKUP($D482,[1]STS!$E$9:$G$1503,3,0)=0),0,VLOOKUP($D482,[1]STS!$E$9:$G$1503,3,0))</f>
        <v>12.68</v>
      </c>
      <c r="F482" s="98">
        <v>11.61</v>
      </c>
      <c r="G482" s="99">
        <f>+IF(ISERROR(VLOOKUP(D482,[1]STS!$E$9:$AO$1503,37,0)=0),0,VLOOKUP(D482,[1]STS!$E$9:$AO$1503,37,0))</f>
        <v>1.9118517746913615</v>
      </c>
      <c r="H482" s="84" t="str">
        <f>+IF(ISERROR(VLOOKUP(D482,[1]STS!$E$9:$I$1503,5,0)=0),0,VLOOKUP(D482,[1]STS!$E$9:$I$1503,5,0))</f>
        <v>ST</v>
      </c>
      <c r="I482" s="73"/>
      <c r="J482" s="74" t="str">
        <f>VLOOKUP(D482,[1]STS!$E$9:$BC$1359,51,0)</f>
        <v>F18</v>
      </c>
      <c r="K482" s="75"/>
      <c r="L482" s="78" t="str">
        <f>+VLOOKUP(N482,'[1]MSTR AKT'!$C$4:$E$460,3,0)</f>
        <v>Widi</v>
      </c>
      <c r="M482" s="85">
        <f>+IF(ISERROR(VLOOKUP($N482,'[1]MSTR AKT'!$C$4:$D$460,2,0)=0),0,VLOOKUP($N482,'[1]MSTR AKT'!$C$4:$D$460,2,0))</f>
        <v>1317111113</v>
      </c>
      <c r="N482" s="76" t="s">
        <v>34</v>
      </c>
      <c r="O482" s="58"/>
      <c r="P482" s="59">
        <v>46002</v>
      </c>
      <c r="Q482" s="100">
        <v>233</v>
      </c>
      <c r="R482" s="101">
        <v>30</v>
      </c>
      <c r="S482" s="102">
        <f t="shared" si="23"/>
        <v>3007650</v>
      </c>
    </row>
    <row r="483" spans="1:19" x14ac:dyDescent="0.35">
      <c r="A483" s="2" t="s">
        <v>33</v>
      </c>
      <c r="B483" s="68" t="str">
        <f>+VLOOKUP($D483,[1]STS!$A$9:$E$1405,3,0)</f>
        <v>06</v>
      </c>
      <c r="C483" s="86">
        <f>+VLOOKUP($D483,[1]STS!$A$9:$E$1405,4,0)</f>
        <v>22</v>
      </c>
      <c r="D483" s="107" t="s">
        <v>356</v>
      </c>
      <c r="E483" s="108">
        <f>+IF(ISERROR(VLOOKUP($D483,[1]STS!$E$9:$G$1503,3,0)=0),0,VLOOKUP($D483,[1]STS!$E$9:$G$1503,3,0))</f>
        <v>6.94</v>
      </c>
      <c r="F483" s="98">
        <v>6.05</v>
      </c>
      <c r="G483" s="99">
        <f>+IF(ISERROR(VLOOKUP(D483,[1]STS!$E$9:$AO$1503,37,0)=0),0,VLOOKUP(D483,[1]STS!$E$9:$AO$1503,37,0))</f>
        <v>1.6118517746913616</v>
      </c>
      <c r="H483" s="84" t="str">
        <f>+IF(ISERROR(VLOOKUP(D483,[1]STS!$E$9:$I$1503,5,0)=0),0,VLOOKUP(D483,[1]STS!$E$9:$I$1503,5,0))</f>
        <v>ST</v>
      </c>
      <c r="I483" s="73"/>
      <c r="J483" s="74" t="str">
        <f>VLOOKUP(D483,[1]STS!$E$9:$BC$1359,51,0)</f>
        <v>F18</v>
      </c>
      <c r="K483" s="75"/>
      <c r="L483" s="78" t="str">
        <f>+VLOOKUP(N483,'[1]MSTR AKT'!$C$4:$E$460,3,0)</f>
        <v>Widi</v>
      </c>
      <c r="M483" s="85">
        <f>+IF(ISERROR(VLOOKUP($N483,'[1]MSTR AKT'!$C$4:$D$460,2,0)=0),0,VLOOKUP($N483,'[1]MSTR AKT'!$C$4:$D$460,2,0))</f>
        <v>1317111113</v>
      </c>
      <c r="N483" s="76" t="s">
        <v>34</v>
      </c>
      <c r="O483" s="58"/>
      <c r="P483" s="59">
        <v>46001</v>
      </c>
      <c r="Q483" s="100">
        <v>233</v>
      </c>
      <c r="R483" s="101">
        <v>30</v>
      </c>
      <c r="S483" s="102">
        <f t="shared" si="23"/>
        <v>3007650</v>
      </c>
    </row>
    <row r="484" spans="1:19" x14ac:dyDescent="0.35">
      <c r="A484" s="2" t="s">
        <v>33</v>
      </c>
      <c r="B484" s="68" t="str">
        <f>+VLOOKUP($D484,[1]STS!$A$9:$E$1405,3,0)</f>
        <v>06</v>
      </c>
      <c r="C484" s="86">
        <f>+VLOOKUP($D484,[1]STS!$A$9:$E$1405,4,0)</f>
        <v>22</v>
      </c>
      <c r="D484" s="107" t="s">
        <v>353</v>
      </c>
      <c r="E484" s="108">
        <f>+IF(ISERROR(VLOOKUP($D484,[1]STS!$E$9:$G$1503,3,0)=0),0,VLOOKUP($D484,[1]STS!$E$9:$G$1503,3,0))</f>
        <v>7.33</v>
      </c>
      <c r="F484" s="98">
        <v>6.34</v>
      </c>
      <c r="G484" s="99">
        <f>+IF(ISERROR(VLOOKUP(D484,[1]STS!$E$9:$AO$1503,37,0)=0),0,VLOOKUP(D484,[1]STS!$E$9:$AO$1503,37,0))</f>
        <v>1.6118517746913616</v>
      </c>
      <c r="H484" s="84" t="str">
        <f>+IF(ISERROR(VLOOKUP(D484,[1]STS!$E$9:$I$1503,5,0)=0),0,VLOOKUP(D484,[1]STS!$E$9:$I$1503,5,0))</f>
        <v>ST</v>
      </c>
      <c r="I484" s="73"/>
      <c r="J484" s="74" t="str">
        <f>VLOOKUP(D484,[1]STS!$E$9:$BC$1359,51,0)</f>
        <v>F18</v>
      </c>
      <c r="K484" s="75"/>
      <c r="L484" s="78" t="str">
        <f>+VLOOKUP(N484,'[1]MSTR AKT'!$C$4:$E$460,3,0)</f>
        <v>Widi</v>
      </c>
      <c r="M484" s="85">
        <f>+IF(ISERROR(VLOOKUP($N484,'[1]MSTR AKT'!$C$4:$D$460,2,0)=0),0,VLOOKUP($N484,'[1]MSTR AKT'!$C$4:$D$460,2,0))</f>
        <v>1317111113</v>
      </c>
      <c r="N484" s="76" t="s">
        <v>34</v>
      </c>
      <c r="O484" s="58"/>
      <c r="P484" s="59">
        <v>46002</v>
      </c>
      <c r="Q484" s="100">
        <v>233</v>
      </c>
      <c r="R484" s="101">
        <v>15</v>
      </c>
      <c r="S484" s="102">
        <f t="shared" si="23"/>
        <v>1503825</v>
      </c>
    </row>
    <row r="485" spans="1:19" x14ac:dyDescent="0.35">
      <c r="A485" s="2" t="s">
        <v>33</v>
      </c>
      <c r="B485" s="68" t="str">
        <f>+VLOOKUP($D485,[1]STS!$A$9:$E$1405,3,0)</f>
        <v>06</v>
      </c>
      <c r="C485" s="86">
        <f>+VLOOKUP($D485,[1]STS!$A$9:$E$1405,4,0)</f>
        <v>22</v>
      </c>
      <c r="D485" s="107" t="s">
        <v>357</v>
      </c>
      <c r="E485" s="108">
        <f>+IF(ISERROR(VLOOKUP($D485,[1]STS!$E$9:$G$1503,3,0)=0),0,VLOOKUP($D485,[1]STS!$E$9:$G$1503,3,0))</f>
        <v>4.26</v>
      </c>
      <c r="F485" s="98">
        <v>4.2</v>
      </c>
      <c r="G485" s="99">
        <f>+IF(ISERROR(VLOOKUP(D485,[1]STS!$E$9:$AO$1503,37,0)=0),0,VLOOKUP(D485,[1]STS!$E$9:$AO$1503,37,0))</f>
        <v>1.0785184413580282</v>
      </c>
      <c r="H485" s="84" t="str">
        <f>+IF(ISERROR(VLOOKUP(D485,[1]STS!$E$9:$I$1503,5,0)=0),0,VLOOKUP(D485,[1]STS!$E$9:$I$1503,5,0))</f>
        <v>ST</v>
      </c>
      <c r="I485" s="73"/>
      <c r="J485" s="74" t="str">
        <f>VLOOKUP(D485,[1]STS!$E$9:$BC$1359,51,0)</f>
        <v>F18</v>
      </c>
      <c r="K485" s="75"/>
      <c r="L485" s="78" t="str">
        <f>+VLOOKUP(N485,'[1]MSTR AKT'!$C$4:$E$460,3,0)</f>
        <v>Widi</v>
      </c>
      <c r="M485" s="85">
        <f>+IF(ISERROR(VLOOKUP($N485,'[1]MSTR AKT'!$C$4:$D$460,2,0)=0),0,VLOOKUP($N485,'[1]MSTR AKT'!$C$4:$D$460,2,0))</f>
        <v>1317111113</v>
      </c>
      <c r="N485" s="76" t="s">
        <v>34</v>
      </c>
      <c r="O485" s="58"/>
      <c r="P485" s="59">
        <v>46001</v>
      </c>
      <c r="Q485" s="100">
        <v>233</v>
      </c>
      <c r="R485" s="101">
        <v>15</v>
      </c>
      <c r="S485" s="102">
        <f t="shared" si="23"/>
        <v>1503825</v>
      </c>
    </row>
    <row r="486" spans="1:19" x14ac:dyDescent="0.35">
      <c r="A486" s="2" t="s">
        <v>33</v>
      </c>
      <c r="B486" s="68" t="str">
        <f>+VLOOKUP($D486,[1]STS!$A$9:$E$1405,3,0)</f>
        <v>06</v>
      </c>
      <c r="C486" s="86">
        <f>+VLOOKUP($D486,[1]STS!$A$9:$E$1405,4,0)</f>
        <v>22</v>
      </c>
      <c r="D486" s="107" t="s">
        <v>358</v>
      </c>
      <c r="E486" s="108">
        <f>+IF(ISERROR(VLOOKUP($D486,[1]STS!$E$9:$G$1503,3,0)=0),0,VLOOKUP($D486,[1]STS!$E$9:$G$1503,3,0))</f>
        <v>3.6</v>
      </c>
      <c r="F486" s="98">
        <v>3.32</v>
      </c>
      <c r="G486" s="99">
        <f>+IF(ISERROR(VLOOKUP(D486,[1]STS!$E$9:$AO$1503,37,0)=0),0,VLOOKUP(D486,[1]STS!$E$9:$AO$1503,37,0))</f>
        <v>0.24518510802469487</v>
      </c>
      <c r="H486" s="84" t="str">
        <f>+IF(ISERROR(VLOOKUP(D486,[1]STS!$E$9:$I$1503,5,0)=0),0,VLOOKUP(D486,[1]STS!$E$9:$I$1503,5,0))</f>
        <v>FC</v>
      </c>
      <c r="I486" s="73"/>
      <c r="J486" s="74" t="str">
        <f>VLOOKUP(D486,[1]STS!$E$9:$BC$1359,51,0)</f>
        <v>F18SK</v>
      </c>
      <c r="K486" s="75"/>
      <c r="L486" s="78" t="str">
        <f>+VLOOKUP(N486,'[1]MSTR AKT'!$C$4:$E$460,3,0)</f>
        <v>Widi</v>
      </c>
      <c r="M486" s="85">
        <f>+IF(ISERROR(VLOOKUP($N486,'[1]MSTR AKT'!$C$4:$D$460,2,0)=0),0,VLOOKUP($N486,'[1]MSTR AKT'!$C$4:$D$460,2,0))</f>
        <v>1317111113</v>
      </c>
      <c r="N486" s="76" t="s">
        <v>34</v>
      </c>
      <c r="O486" s="58"/>
      <c r="P486" s="59">
        <v>46002</v>
      </c>
      <c r="Q486" s="100">
        <v>233</v>
      </c>
      <c r="R486" s="101">
        <v>10</v>
      </c>
      <c r="S486" s="102">
        <f t="shared" si="23"/>
        <v>1002550</v>
      </c>
    </row>
    <row r="487" spans="1:19" x14ac:dyDescent="0.35">
      <c r="A487" s="2" t="s">
        <v>33</v>
      </c>
      <c r="B487" s="68" t="str">
        <f>+VLOOKUP($D487,[1]STS!$A$9:$E$1405,3,0)</f>
        <v>06</v>
      </c>
      <c r="C487" s="86">
        <f>+VLOOKUP($D487,[1]STS!$A$9:$E$1405,4,0)</f>
        <v>22</v>
      </c>
      <c r="D487" s="107" t="s">
        <v>308</v>
      </c>
      <c r="E487" s="108">
        <f>+IF(ISERROR(VLOOKUP($D487,[1]STS!$E$9:$G$1503,3,0)=0),0,VLOOKUP($D487,[1]STS!$E$9:$G$1503,3,0))</f>
        <v>8.09</v>
      </c>
      <c r="F487" s="98">
        <v>7.57</v>
      </c>
      <c r="G487" s="99">
        <f>+IF(ISERROR(VLOOKUP(D487,[1]STS!$E$9:$AO$1503,37,0)=0),0,VLOOKUP(D487,[1]STS!$E$9:$AO$1503,37,0))</f>
        <v>2.9451851080246949</v>
      </c>
      <c r="H487" s="84" t="str">
        <f>+IF(ISERROR(VLOOKUP(D487,[1]STS!$E$9:$I$1503,5,0)=0),0,VLOOKUP(D487,[1]STS!$E$9:$I$1503,5,0))</f>
        <v>FC</v>
      </c>
      <c r="I487" s="73"/>
      <c r="J487" s="74" t="str">
        <f>VLOOKUP(D487,[1]STS!$E$9:$BC$1359,51,0)</f>
        <v>GP3CK</v>
      </c>
      <c r="K487" s="75"/>
      <c r="L487" s="78" t="str">
        <f>+VLOOKUP(N487,'[1]MSTR AKT'!$C$4:$E$460,3,0)</f>
        <v>Widi</v>
      </c>
      <c r="M487" s="85">
        <f>+IF(ISERROR(VLOOKUP($N487,'[1]MSTR AKT'!$C$4:$D$460,2,0)=0),0,VLOOKUP($N487,'[1]MSTR AKT'!$C$4:$D$460,2,0))</f>
        <v>1317111113</v>
      </c>
      <c r="N487" s="76" t="s">
        <v>34</v>
      </c>
      <c r="O487" s="58"/>
      <c r="P487" s="59">
        <v>46001</v>
      </c>
      <c r="Q487" s="100">
        <v>233</v>
      </c>
      <c r="R487" s="101">
        <v>30</v>
      </c>
      <c r="S487" s="102">
        <f t="shared" si="23"/>
        <v>3007650</v>
      </c>
    </row>
    <row r="488" spans="1:19" x14ac:dyDescent="0.35">
      <c r="A488" s="2" t="s">
        <v>33</v>
      </c>
      <c r="B488" s="68" t="str">
        <f>+VLOOKUP($D488,[1]STS!$A$9:$E$1405,3,0)</f>
        <v>06</v>
      </c>
      <c r="C488" s="86">
        <f>+VLOOKUP($D488,[1]STS!$A$9:$E$1405,4,0)</f>
        <v>22</v>
      </c>
      <c r="D488" s="107" t="s">
        <v>304</v>
      </c>
      <c r="E488" s="108">
        <f>+IF(ISERROR(VLOOKUP($D488,[1]STS!$E$9:$G$1503,3,0)=0),0,VLOOKUP($D488,[1]STS!$E$9:$G$1503,3,0))</f>
        <v>6.01</v>
      </c>
      <c r="F488" s="98">
        <v>5.64</v>
      </c>
      <c r="G488" s="99">
        <f>+IF(ISERROR(VLOOKUP(D488,[1]STS!$E$9:$AO$1503,37,0)=0),0,VLOOKUP(D488,[1]STS!$E$9:$AO$1503,37,0))</f>
        <v>0.24518510802469487</v>
      </c>
      <c r="H488" s="84" t="str">
        <f>+IF(ISERROR(VLOOKUP(D488,[1]STS!$E$9:$I$1503,5,0)=0),0,VLOOKUP(D488,[1]STS!$E$9:$I$1503,5,0))</f>
        <v>FC</v>
      </c>
      <c r="I488" s="73"/>
      <c r="J488" s="74" t="str">
        <f>VLOOKUP(D488,[1]STS!$E$9:$BC$1359,51,0)</f>
        <v>F18CK</v>
      </c>
      <c r="K488" s="75"/>
      <c r="L488" s="78" t="str">
        <f>+VLOOKUP(N488,'[1]MSTR AKT'!$C$4:$E$460,3,0)</f>
        <v>Widi</v>
      </c>
      <c r="M488" s="85">
        <f>+IF(ISERROR(VLOOKUP($N488,'[1]MSTR AKT'!$C$4:$D$460,2,0)=0),0,VLOOKUP($N488,'[1]MSTR AKT'!$C$4:$D$460,2,0))</f>
        <v>1317111113</v>
      </c>
      <c r="N488" s="76" t="s">
        <v>34</v>
      </c>
      <c r="O488" s="58"/>
      <c r="P488" s="59">
        <v>46002</v>
      </c>
      <c r="Q488" s="100">
        <v>233</v>
      </c>
      <c r="R488" s="101">
        <v>30</v>
      </c>
      <c r="S488" s="102">
        <f t="shared" si="23"/>
        <v>3007650</v>
      </c>
    </row>
    <row r="489" spans="1:19" x14ac:dyDescent="0.35">
      <c r="A489" s="2" t="s">
        <v>33</v>
      </c>
      <c r="B489" s="68" t="str">
        <f>+VLOOKUP($D489,[1]STS!$A$9:$E$1405,3,0)</f>
        <v>06</v>
      </c>
      <c r="C489" s="86">
        <f>+VLOOKUP($D489,[1]STS!$A$9:$E$1405,4,0)</f>
        <v>22</v>
      </c>
      <c r="D489" s="107" t="s">
        <v>305</v>
      </c>
      <c r="E489" s="108">
        <f>+IF(ISERROR(VLOOKUP($D489,[1]STS!$E$9:$G$1503,3,0)=0),0,VLOOKUP($D489,[1]STS!$E$9:$G$1503,3,0))</f>
        <v>9.42</v>
      </c>
      <c r="F489" s="98">
        <v>9.06</v>
      </c>
      <c r="G489" s="99">
        <f>+IF(ISERROR(VLOOKUP(D489,[1]STS!$E$9:$AO$1503,37,0)=0),0,VLOOKUP(D489,[1]STS!$E$9:$AO$1503,37,0))</f>
        <v>0.24518510802469487</v>
      </c>
      <c r="H489" s="84" t="str">
        <f>+IF(ISERROR(VLOOKUP(D489,[1]STS!$E$9:$I$1503,5,0)=0),0,VLOOKUP(D489,[1]STS!$E$9:$I$1503,5,0))</f>
        <v>FC</v>
      </c>
      <c r="I489" s="73"/>
      <c r="J489" s="74" t="str">
        <f>VLOOKUP(D489,[1]STS!$E$9:$BC$1359,51,0)</f>
        <v>F18CK</v>
      </c>
      <c r="K489" s="75"/>
      <c r="L489" s="78" t="str">
        <f>+VLOOKUP(N489,'[1]MSTR AKT'!$C$4:$E$460,3,0)</f>
        <v>Widi</v>
      </c>
      <c r="M489" s="85">
        <f>+IF(ISERROR(VLOOKUP($N489,'[1]MSTR AKT'!$C$4:$D$460,2,0)=0),0,VLOOKUP($N489,'[1]MSTR AKT'!$C$4:$D$460,2,0))</f>
        <v>1317111113</v>
      </c>
      <c r="N489" s="76" t="s">
        <v>34</v>
      </c>
      <c r="O489" s="58"/>
      <c r="P489" s="59">
        <v>46001</v>
      </c>
      <c r="Q489" s="100">
        <v>233</v>
      </c>
      <c r="R489" s="101">
        <v>30</v>
      </c>
      <c r="S489" s="102">
        <f t="shared" si="23"/>
        <v>3007650</v>
      </c>
    </row>
    <row r="490" spans="1:19" x14ac:dyDescent="0.35">
      <c r="A490" s="2" t="s">
        <v>33</v>
      </c>
      <c r="B490" s="68" t="str">
        <f>+VLOOKUP($D490,[1]STS!$A$9:$E$1405,3,0)</f>
        <v>06</v>
      </c>
      <c r="C490" s="86">
        <f>+VLOOKUP($D490,[1]STS!$A$9:$E$1405,4,0)</f>
        <v>22</v>
      </c>
      <c r="D490" s="107" t="s">
        <v>301</v>
      </c>
      <c r="E490" s="108">
        <f>+IF(ISERROR(VLOOKUP($D490,[1]STS!$E$9:$G$1503,3,0)=0),0,VLOOKUP($D490,[1]STS!$E$9:$G$1503,3,0))</f>
        <v>7.08</v>
      </c>
      <c r="F490" s="98">
        <v>7.01</v>
      </c>
      <c r="G490" s="99">
        <f>+IF(ISERROR(VLOOKUP(D490,[1]STS!$E$9:$AO$1503,37,0)=0),0,VLOOKUP(D490,[1]STS!$E$9:$AO$1503,37,0))</f>
        <v>1.6118517746913616</v>
      </c>
      <c r="H490" s="84" t="str">
        <f>+IF(ISERROR(VLOOKUP(D490,[1]STS!$E$9:$I$1503,5,0)=0),0,VLOOKUP(D490,[1]STS!$E$9:$I$1503,5,0))</f>
        <v>ST</v>
      </c>
      <c r="I490" s="73"/>
      <c r="J490" s="74" t="str">
        <f>VLOOKUP(D490,[1]STS!$E$9:$BC$1359,51,0)</f>
        <v>F18</v>
      </c>
      <c r="K490" s="75"/>
      <c r="L490" s="78" t="str">
        <f>+VLOOKUP(N490,'[1]MSTR AKT'!$C$4:$E$460,3,0)</f>
        <v>Widi</v>
      </c>
      <c r="M490" s="85">
        <f>+IF(ISERROR(VLOOKUP($N490,'[1]MSTR AKT'!$C$4:$D$460,2,0)=0),0,VLOOKUP($N490,'[1]MSTR AKT'!$C$4:$D$460,2,0))</f>
        <v>1317111113</v>
      </c>
      <c r="N490" s="76" t="s">
        <v>34</v>
      </c>
      <c r="O490" s="58"/>
      <c r="P490" s="59">
        <v>45998</v>
      </c>
      <c r="Q490" s="100">
        <v>233</v>
      </c>
      <c r="R490" s="101">
        <v>30</v>
      </c>
      <c r="S490" s="102">
        <f t="shared" si="23"/>
        <v>3007650</v>
      </c>
    </row>
    <row r="491" spans="1:19" x14ac:dyDescent="0.35">
      <c r="A491" s="2" t="s">
        <v>33</v>
      </c>
      <c r="B491" s="68" t="str">
        <f>+VLOOKUP($D491,[1]STS!$A$9:$E$1405,3,0)</f>
        <v>06</v>
      </c>
      <c r="C491" s="86">
        <f>+VLOOKUP($D491,[1]STS!$A$9:$E$1405,4,0)</f>
        <v>22</v>
      </c>
      <c r="D491" s="107" t="s">
        <v>302</v>
      </c>
      <c r="E491" s="108">
        <f>+IF(ISERROR(VLOOKUP($D491,[1]STS!$E$9:$G$1503,3,0)=0),0,VLOOKUP($D491,[1]STS!$E$9:$G$1503,3,0))</f>
        <v>6.56</v>
      </c>
      <c r="F491" s="98">
        <v>6.19</v>
      </c>
      <c r="G491" s="99">
        <f>+IF(ISERROR(VLOOKUP(D491,[1]STS!$E$9:$AO$1503,37,0)=0),0,VLOOKUP(D491,[1]STS!$E$9:$AO$1503,37,0))</f>
        <v>1.6118517746913616</v>
      </c>
      <c r="H491" s="84" t="str">
        <f>+IF(ISERROR(VLOOKUP(D491,[1]STS!$E$9:$I$1503,5,0)=0),0,VLOOKUP(D491,[1]STS!$E$9:$I$1503,5,0))</f>
        <v>ST</v>
      </c>
      <c r="I491" s="73"/>
      <c r="J491" s="74" t="str">
        <f>VLOOKUP(D491,[1]STS!$E$9:$BC$1359,51,0)</f>
        <v>F18</v>
      </c>
      <c r="K491" s="75"/>
      <c r="L491" s="78" t="str">
        <f>+VLOOKUP(N491,'[1]MSTR AKT'!$C$4:$E$460,3,0)</f>
        <v>Widi</v>
      </c>
      <c r="M491" s="85">
        <f>+IF(ISERROR(VLOOKUP($N491,'[1]MSTR AKT'!$C$4:$D$460,2,0)=0),0,VLOOKUP($N491,'[1]MSTR AKT'!$C$4:$D$460,2,0))</f>
        <v>1317111113</v>
      </c>
      <c r="N491" s="76" t="s">
        <v>34</v>
      </c>
      <c r="O491" s="58"/>
      <c r="P491" s="59">
        <v>46002</v>
      </c>
      <c r="Q491" s="100">
        <v>233</v>
      </c>
      <c r="R491" s="101">
        <v>30</v>
      </c>
      <c r="S491" s="102">
        <f t="shared" si="23"/>
        <v>3007650</v>
      </c>
    </row>
    <row r="492" spans="1:19" x14ac:dyDescent="0.35">
      <c r="A492" s="2" t="s">
        <v>33</v>
      </c>
      <c r="B492" s="68" t="str">
        <f>+VLOOKUP($D492,[1]STS!$A$9:$E$1405,3,0)</f>
        <v>06</v>
      </c>
      <c r="C492" s="86">
        <f>+VLOOKUP($D492,[1]STS!$A$9:$E$1405,4,0)</f>
        <v>22</v>
      </c>
      <c r="D492" s="107" t="s">
        <v>380</v>
      </c>
      <c r="E492" s="108">
        <f>+IF(ISERROR(VLOOKUP($D492,[1]STS!$E$9:$G$1503,3,0)=0),0,VLOOKUP($D492,[1]STS!$E$9:$G$1503,3,0))</f>
        <v>7.95</v>
      </c>
      <c r="F492" s="98">
        <v>7.95</v>
      </c>
      <c r="G492" s="99">
        <f>+IF(ISERROR(VLOOKUP(D492,[1]STS!$E$9:$AO$1503,37,0)=0),0,VLOOKUP(D492,[1]STS!$E$9:$AO$1503,37,0))</f>
        <v>2.9785184413580281</v>
      </c>
      <c r="H492" s="84" t="str">
        <f>+IF(ISERROR(VLOOKUP(D492,[1]STS!$E$9:$I$1503,5,0)=0),0,VLOOKUP(D492,[1]STS!$E$9:$I$1503,5,0))</f>
        <v>BK</v>
      </c>
      <c r="I492" s="73"/>
      <c r="J492" s="74" t="str">
        <f>VLOOKUP(D492,[1]STS!$E$9:$BC$1359,51,0)</f>
        <v>F18</v>
      </c>
      <c r="K492" s="75"/>
      <c r="L492" s="78" t="str">
        <f>+VLOOKUP(N492,'[1]MSTR AKT'!$C$4:$E$460,3,0)</f>
        <v>Etri 2</v>
      </c>
      <c r="M492" s="85">
        <f>+IF(ISERROR(VLOOKUP($N492,'[1]MSTR AKT'!$C$4:$D$460,2,0)=0),0,VLOOKUP($N492,'[1]MSTR AKT'!$C$4:$D$460,2,0))</f>
        <v>1315131517</v>
      </c>
      <c r="N492" s="76" t="s">
        <v>4</v>
      </c>
      <c r="O492" s="58"/>
      <c r="P492" s="59">
        <v>46001</v>
      </c>
      <c r="Q492" s="100">
        <v>0.3</v>
      </c>
      <c r="R492" s="101">
        <v>2.3849999999999998</v>
      </c>
      <c r="S492" s="102">
        <f t="shared" si="23"/>
        <v>239108.17499999999</v>
      </c>
    </row>
    <row r="493" spans="1:19" x14ac:dyDescent="0.35">
      <c r="A493" s="2" t="s">
        <v>33</v>
      </c>
      <c r="B493" s="68" t="str">
        <f>+VLOOKUP($D493,[1]STS!$A$9:$E$1405,3,0)</f>
        <v>06</v>
      </c>
      <c r="C493" s="86">
        <f>+VLOOKUP($D493,[1]STS!$A$9:$E$1405,4,0)</f>
        <v>22</v>
      </c>
      <c r="D493" s="107" t="s">
        <v>381</v>
      </c>
      <c r="E493" s="108">
        <f>+IF(ISERROR(VLOOKUP($D493,[1]STS!$E$9:$G$1503,3,0)=0),0,VLOOKUP($D493,[1]STS!$E$9:$G$1503,3,0))</f>
        <v>8.15</v>
      </c>
      <c r="F493" s="98">
        <v>8.15</v>
      </c>
      <c r="G493" s="99">
        <f>+IF(ISERROR(VLOOKUP(D493,[1]STS!$E$9:$AO$1503,37,0)=0),0,VLOOKUP(D493,[1]STS!$E$9:$AO$1503,37,0))</f>
        <v>3.1451851080246951</v>
      </c>
      <c r="H493" s="84" t="str">
        <f>+IF(ISERROR(VLOOKUP(D493,[1]STS!$E$9:$I$1503,5,0)=0),0,VLOOKUP(D493,[1]STS!$E$9:$I$1503,5,0))</f>
        <v>BK</v>
      </c>
      <c r="I493" s="73"/>
      <c r="J493" s="74" t="str">
        <f>VLOOKUP(D493,[1]STS!$E$9:$BC$1359,51,0)</f>
        <v>F18</v>
      </c>
      <c r="K493" s="75"/>
      <c r="L493" s="78" t="str">
        <f>+VLOOKUP(N493,'[1]MSTR AKT'!$C$4:$E$460,3,0)</f>
        <v>Etri 2</v>
      </c>
      <c r="M493" s="85">
        <f>+IF(ISERROR(VLOOKUP($N493,'[1]MSTR AKT'!$C$4:$D$460,2,0)=0),0,VLOOKUP($N493,'[1]MSTR AKT'!$C$4:$D$460,2,0))</f>
        <v>1315131517</v>
      </c>
      <c r="N493" s="76" t="s">
        <v>4</v>
      </c>
      <c r="O493" s="58"/>
      <c r="P493" s="59">
        <v>46002</v>
      </c>
      <c r="Q493" s="100">
        <v>0.3</v>
      </c>
      <c r="R493" s="101">
        <v>2.4449999999999998</v>
      </c>
      <c r="S493" s="102">
        <f t="shared" si="23"/>
        <v>245123.47499999998</v>
      </c>
    </row>
    <row r="494" spans="1:19" x14ac:dyDescent="0.35">
      <c r="A494" s="2" t="s">
        <v>33</v>
      </c>
      <c r="B494" s="68" t="str">
        <f>+VLOOKUP($D494,[1]STS!$A$9:$E$1405,3,0)</f>
        <v>06</v>
      </c>
      <c r="C494" s="86">
        <f>+VLOOKUP($D494,[1]STS!$A$9:$E$1405,4,0)</f>
        <v>22</v>
      </c>
      <c r="D494" s="107" t="s">
        <v>152</v>
      </c>
      <c r="E494" s="108">
        <f>+IF(ISERROR(VLOOKUP($D494,[1]STS!$E$9:$G$1503,3,0)=0),0,VLOOKUP($D494,[1]STS!$E$9:$G$1503,3,0))</f>
        <v>11.31</v>
      </c>
      <c r="F494" s="98">
        <v>11.31</v>
      </c>
      <c r="G494" s="99">
        <f>+IF(ISERROR(VLOOKUP(D494,[1]STS!$E$9:$AO$1503,37,0)=0),0,VLOOKUP(D494,[1]STS!$E$9:$AO$1503,37,0))</f>
        <v>1.7118517746913615</v>
      </c>
      <c r="H494" s="84" t="str">
        <f>+IF(ISERROR(VLOOKUP(D494,[1]STS!$E$9:$I$1503,5,0)=0),0,VLOOKUP(D494,[1]STS!$E$9:$I$1503,5,0))</f>
        <v>SC</v>
      </c>
      <c r="I494" s="73"/>
      <c r="J494" s="74" t="str">
        <f>VLOOKUP(D494,[1]STS!$E$9:$BC$1359,51,0)</f>
        <v>F18</v>
      </c>
      <c r="K494" s="75"/>
      <c r="L494" s="78" t="str">
        <f>+VLOOKUP(N494,'[1]MSTR AKT'!$C$4:$E$460,3,0)</f>
        <v>Etri 2</v>
      </c>
      <c r="M494" s="85">
        <f>+IF(ISERROR(VLOOKUP($N494,'[1]MSTR AKT'!$C$4:$D$460,2,0)=0),0,VLOOKUP($N494,'[1]MSTR AKT'!$C$4:$D$460,2,0))</f>
        <v>1315131517</v>
      </c>
      <c r="N494" s="76" t="s">
        <v>4</v>
      </c>
      <c r="O494" s="58"/>
      <c r="P494" s="59">
        <v>46001</v>
      </c>
      <c r="Q494" s="100">
        <v>0.3</v>
      </c>
      <c r="R494" s="101">
        <v>3.3930000000000002</v>
      </c>
      <c r="S494" s="102">
        <f t="shared" si="23"/>
        <v>340165.21500000003</v>
      </c>
    </row>
    <row r="495" spans="1:19" x14ac:dyDescent="0.35">
      <c r="A495" s="2" t="s">
        <v>33</v>
      </c>
      <c r="B495" s="68" t="str">
        <f>+VLOOKUP($D495,[1]STS!$A$9:$E$1405,3,0)</f>
        <v>06</v>
      </c>
      <c r="C495" s="86">
        <f>+VLOOKUP($D495,[1]STS!$A$9:$E$1405,4,0)</f>
        <v>22</v>
      </c>
      <c r="D495" s="107" t="s">
        <v>128</v>
      </c>
      <c r="E495" s="108">
        <f>+IF(ISERROR(VLOOKUP($D495,[1]STS!$E$9:$G$1503,3,0)=0),0,VLOOKUP($D495,[1]STS!$E$9:$G$1503,3,0))</f>
        <v>10.26</v>
      </c>
      <c r="F495" s="98">
        <v>10.26</v>
      </c>
      <c r="G495" s="99">
        <f>+IF(ISERROR(VLOOKUP(D495,[1]STS!$E$9:$AO$1503,37,0)=0),0,VLOOKUP(D495,[1]STS!$E$9:$AO$1503,37,0))</f>
        <v>15.378518441358029</v>
      </c>
      <c r="H495" s="84" t="str">
        <f>+IF(ISERROR(VLOOKUP(D495,[1]STS!$E$9:$I$1503,5,0)=0),0,VLOOKUP(D495,[1]STS!$E$9:$I$1503,5,0))</f>
        <v>FC</v>
      </c>
      <c r="I495" s="73"/>
      <c r="J495" s="74" t="str">
        <f>VLOOKUP(D495,[1]STS!$E$9:$BC$1359,51,0)</f>
        <v>F18CK</v>
      </c>
      <c r="K495" s="75"/>
      <c r="L495" s="78" t="str">
        <f>+VLOOKUP(N495,'[1]MSTR AKT'!$C$4:$E$460,3,0)</f>
        <v>Etri 2</v>
      </c>
      <c r="M495" s="85">
        <f>+IF(ISERROR(VLOOKUP($N495,'[1]MSTR AKT'!$C$4:$D$460,2,0)=0),0,VLOOKUP($N495,'[1]MSTR AKT'!$C$4:$D$460,2,0))</f>
        <v>1315131517</v>
      </c>
      <c r="N495" s="76" t="s">
        <v>4</v>
      </c>
      <c r="O495" s="58"/>
      <c r="P495" s="59">
        <v>46002</v>
      </c>
      <c r="Q495" s="100">
        <v>0.3</v>
      </c>
      <c r="R495" s="101">
        <v>3.0779999999999998</v>
      </c>
      <c r="S495" s="102">
        <f t="shared" si="23"/>
        <v>308584.88999999996</v>
      </c>
    </row>
    <row r="496" spans="1:19" x14ac:dyDescent="0.35">
      <c r="A496" s="2" t="s">
        <v>33</v>
      </c>
      <c r="B496" s="68" t="str">
        <f>+VLOOKUP($D496,[1]STS!$A$9:$E$1405,3,0)</f>
        <v>06</v>
      </c>
      <c r="C496" s="86">
        <f>+VLOOKUP($D496,[1]STS!$A$9:$E$1405,4,0)</f>
        <v>22</v>
      </c>
      <c r="D496" s="107" t="s">
        <v>221</v>
      </c>
      <c r="E496" s="108">
        <f>+IF(ISERROR(VLOOKUP($D496,[1]STS!$E$9:$G$1503,3,0)=0),0,VLOOKUP($D496,[1]STS!$E$9:$G$1503,3,0))</f>
        <v>11.97</v>
      </c>
      <c r="F496" s="98">
        <v>11.97</v>
      </c>
      <c r="G496" s="99">
        <f>+IF(ISERROR(VLOOKUP(D496,[1]STS!$E$9:$AO$1503,37,0)=0),0,VLOOKUP(D496,[1]STS!$E$9:$AO$1503,37,0))</f>
        <v>4.1785184413580279</v>
      </c>
      <c r="H496" s="84" t="str">
        <f>+IF(ISERROR(VLOOKUP(D496,[1]STS!$E$9:$I$1503,5,0)=0),0,VLOOKUP(D496,[1]STS!$E$9:$I$1503,5,0))</f>
        <v>FC</v>
      </c>
      <c r="I496" s="73"/>
      <c r="J496" s="74" t="str">
        <f>VLOOKUP(D496,[1]STS!$E$9:$BC$1359,51,0)</f>
        <v>GP3CK</v>
      </c>
      <c r="K496" s="75"/>
      <c r="L496" s="78" t="str">
        <f>+VLOOKUP(N496,'[1]MSTR AKT'!$C$4:$E$460,3,0)</f>
        <v>Etri 2</v>
      </c>
      <c r="M496" s="85">
        <f>+IF(ISERROR(VLOOKUP($N496,'[1]MSTR AKT'!$C$4:$D$460,2,0)=0),0,VLOOKUP($N496,'[1]MSTR AKT'!$C$4:$D$460,2,0))</f>
        <v>1315131315</v>
      </c>
      <c r="N496" s="76" t="s">
        <v>7</v>
      </c>
      <c r="O496" s="58"/>
      <c r="P496" s="59">
        <v>46001</v>
      </c>
      <c r="Q496" s="100">
        <v>5</v>
      </c>
      <c r="R496" s="101">
        <v>2.3940000000000001</v>
      </c>
      <c r="S496" s="102">
        <f t="shared" si="23"/>
        <v>240010.47</v>
      </c>
    </row>
    <row r="497" spans="1:19" x14ac:dyDescent="0.35">
      <c r="A497" s="2" t="s">
        <v>33</v>
      </c>
      <c r="B497" s="68" t="str">
        <f>+VLOOKUP($D497,[1]STS!$A$9:$E$1405,3,0)</f>
        <v>06</v>
      </c>
      <c r="C497" s="86">
        <f>+VLOOKUP($D497,[1]STS!$A$9:$E$1405,4,0)</f>
        <v>22</v>
      </c>
      <c r="D497" s="107" t="s">
        <v>105</v>
      </c>
      <c r="E497" s="108">
        <f>+IF(ISERROR(VLOOKUP($D497,[1]STS!$E$9:$G$1503,3,0)=0),0,VLOOKUP($D497,[1]STS!$E$9:$G$1503,3,0))</f>
        <v>9.83</v>
      </c>
      <c r="F497" s="98">
        <v>9.83</v>
      </c>
      <c r="G497" s="99">
        <f>+IF(ISERROR(VLOOKUP(D497,[1]STS!$E$9:$AO$1503,37,0)=0),0,VLOOKUP(D497,[1]STS!$E$9:$AO$1503,37,0))</f>
        <v>1.9118517746913615</v>
      </c>
      <c r="H497" s="84" t="str">
        <f>+IF(ISERROR(VLOOKUP(D497,[1]STS!$E$9:$I$1503,5,0)=0),0,VLOOKUP(D497,[1]STS!$E$9:$I$1503,5,0))</f>
        <v>SC</v>
      </c>
      <c r="I497" s="73"/>
      <c r="J497" s="74" t="str">
        <f>VLOOKUP(D497,[1]STS!$E$9:$BC$1359,51,0)</f>
        <v>F18</v>
      </c>
      <c r="K497" s="75"/>
      <c r="L497" s="78" t="str">
        <f>+VLOOKUP(N497,'[1]MSTR AKT'!$C$4:$E$460,3,0)</f>
        <v>Etri 2</v>
      </c>
      <c r="M497" s="85">
        <f>+IF(ISERROR(VLOOKUP($N497,'[1]MSTR AKT'!$C$4:$D$460,2,0)=0),0,VLOOKUP($N497,'[1]MSTR AKT'!$C$4:$D$460,2,0))</f>
        <v>1315131315</v>
      </c>
      <c r="N497" s="76" t="s">
        <v>7</v>
      </c>
      <c r="O497" s="58"/>
      <c r="P497" s="59">
        <v>46002</v>
      </c>
      <c r="Q497" s="100">
        <v>5</v>
      </c>
      <c r="R497" s="101">
        <v>1.966</v>
      </c>
      <c r="S497" s="102">
        <f t="shared" si="23"/>
        <v>197101.33</v>
      </c>
    </row>
    <row r="498" spans="1:19" x14ac:dyDescent="0.35">
      <c r="A498" s="2" t="s">
        <v>33</v>
      </c>
      <c r="B498" s="68" t="str">
        <f>+VLOOKUP($D498,[1]STS!$A$9:$E$1405,3,0)</f>
        <v>06</v>
      </c>
      <c r="C498" s="86">
        <f>+VLOOKUP($D498,[1]STS!$A$9:$E$1405,4,0)</f>
        <v>22</v>
      </c>
      <c r="D498" s="107" t="s">
        <v>104</v>
      </c>
      <c r="E498" s="108">
        <f>+IF(ISERROR(VLOOKUP($D498,[1]STS!$E$9:$G$1503,3,0)=0),0,VLOOKUP($D498,[1]STS!$E$9:$G$1503,3,0))</f>
        <v>8.9700000000000006</v>
      </c>
      <c r="F498" s="98">
        <v>8.9700000000000006</v>
      </c>
      <c r="G498" s="99">
        <f>+IF(ISERROR(VLOOKUP(D498,[1]STS!$E$9:$AO$1503,37,0)=0),0,VLOOKUP(D498,[1]STS!$E$9:$AO$1503,37,0))</f>
        <v>0.71185177469136152</v>
      </c>
      <c r="H498" s="84" t="str">
        <f>+IF(ISERROR(VLOOKUP(D498,[1]STS!$E$9:$I$1503,5,0)=0),0,VLOOKUP(D498,[1]STS!$E$9:$I$1503,5,0))</f>
        <v>SC</v>
      </c>
      <c r="I498" s="73"/>
      <c r="J498" s="74" t="str">
        <f>VLOOKUP(D498,[1]STS!$E$9:$BC$1359,51,0)</f>
        <v>F18</v>
      </c>
      <c r="K498" s="75"/>
      <c r="L498" s="78" t="str">
        <f>+VLOOKUP(N498,'[1]MSTR AKT'!$C$4:$E$460,3,0)</f>
        <v>Etri 2</v>
      </c>
      <c r="M498" s="85">
        <f>+IF(ISERROR(VLOOKUP($N498,'[1]MSTR AKT'!$C$4:$D$460,2,0)=0),0,VLOOKUP($N498,'[1]MSTR AKT'!$C$4:$D$460,2,0))</f>
        <v>1315131315</v>
      </c>
      <c r="N498" s="76" t="s">
        <v>7</v>
      </c>
      <c r="O498" s="58"/>
      <c r="P498" s="59">
        <v>46001</v>
      </c>
      <c r="Q498" s="100">
        <v>5</v>
      </c>
      <c r="R498" s="101">
        <v>1.794</v>
      </c>
      <c r="S498" s="102">
        <f t="shared" si="23"/>
        <v>179857.47</v>
      </c>
    </row>
    <row r="499" spans="1:19" x14ac:dyDescent="0.35">
      <c r="A499" s="2" t="s">
        <v>33</v>
      </c>
      <c r="B499" s="68" t="str">
        <f>+VLOOKUP($D499,[1]STS!$A$9:$E$1405,3,0)</f>
        <v>06</v>
      </c>
      <c r="C499" s="86">
        <f>+VLOOKUP($D499,[1]STS!$A$9:$E$1405,4,0)</f>
        <v>22</v>
      </c>
      <c r="D499" s="107" t="s">
        <v>153</v>
      </c>
      <c r="E499" s="108">
        <f>+IF(ISERROR(VLOOKUP($D499,[1]STS!$E$9:$G$1503,3,0)=0),0,VLOOKUP($D499,[1]STS!$E$9:$G$1503,3,0))</f>
        <v>8.44</v>
      </c>
      <c r="F499" s="98">
        <v>8.44</v>
      </c>
      <c r="G499" s="99">
        <f>+IF(ISERROR(VLOOKUP(D499,[1]STS!$E$9:$AO$1503,37,0)=0),0,VLOOKUP(D499,[1]STS!$E$9:$AO$1503,37,0))</f>
        <v>1.9451851080246949</v>
      </c>
      <c r="H499" s="84" t="str">
        <f>+IF(ISERROR(VLOOKUP(D499,[1]STS!$E$9:$I$1503,5,0)=0),0,VLOOKUP(D499,[1]STS!$E$9:$I$1503,5,0))</f>
        <v>SC</v>
      </c>
      <c r="I499" s="73"/>
      <c r="J499" s="74" t="str">
        <f>VLOOKUP(D499,[1]STS!$E$9:$BC$1359,51,0)</f>
        <v>F18</v>
      </c>
      <c r="K499" s="75"/>
      <c r="L499" s="78" t="str">
        <f>+VLOOKUP(N499,'[1]MSTR AKT'!$C$4:$E$460,3,0)</f>
        <v>Etri 2</v>
      </c>
      <c r="M499" s="85">
        <f>+IF(ISERROR(VLOOKUP($N499,'[1]MSTR AKT'!$C$4:$D$460,2,0)=0),0,VLOOKUP($N499,'[1]MSTR AKT'!$C$4:$D$460,2,0))</f>
        <v>1315131315</v>
      </c>
      <c r="N499" s="76" t="s">
        <v>7</v>
      </c>
      <c r="O499" s="58"/>
      <c r="P499" s="59">
        <v>45998</v>
      </c>
      <c r="Q499" s="100">
        <v>5</v>
      </c>
      <c r="R499" s="101">
        <v>1.6879999999999999</v>
      </c>
      <c r="S499" s="102">
        <f t="shared" si="23"/>
        <v>169230.44</v>
      </c>
    </row>
    <row r="500" spans="1:19" x14ac:dyDescent="0.35">
      <c r="A500" s="2" t="s">
        <v>33</v>
      </c>
      <c r="B500" s="68" t="str">
        <f>+VLOOKUP($D500,[1]STS!$A$9:$E$1405,3,0)</f>
        <v>06</v>
      </c>
      <c r="C500" s="86">
        <f>+VLOOKUP($D500,[1]STS!$A$9:$E$1405,4,0)</f>
        <v>22</v>
      </c>
      <c r="D500" s="107" t="s">
        <v>154</v>
      </c>
      <c r="E500" s="108">
        <f>+IF(ISERROR(VLOOKUP($D500,[1]STS!$E$9:$G$1503,3,0)=0),0,VLOOKUP($D500,[1]STS!$E$9:$G$1503,3,0))</f>
        <v>6.85</v>
      </c>
      <c r="F500" s="98">
        <v>6.85</v>
      </c>
      <c r="G500" s="99">
        <f>+IF(ISERROR(VLOOKUP(D500,[1]STS!$E$9:$AO$1503,37,0)=0),0,VLOOKUP(D500,[1]STS!$E$9:$AO$1503,37,0))</f>
        <v>9.6118517746913614</v>
      </c>
      <c r="H500" s="84" t="str">
        <f>+IF(ISERROR(VLOOKUP(D500,[1]STS!$E$9:$I$1503,5,0)=0),0,VLOOKUP(D500,[1]STS!$E$9:$I$1503,5,0))</f>
        <v>FC</v>
      </c>
      <c r="I500" s="73"/>
      <c r="J500" s="74" t="str">
        <f>VLOOKUP(D500,[1]STS!$E$9:$BC$1359,51,0)</f>
        <v>F18CK</v>
      </c>
      <c r="K500" s="75"/>
      <c r="L500" s="78" t="str">
        <f>+VLOOKUP(N500,'[1]MSTR AKT'!$C$4:$E$460,3,0)</f>
        <v>Etri 2</v>
      </c>
      <c r="M500" s="85">
        <f>+IF(ISERROR(VLOOKUP($N500,'[1]MSTR AKT'!$C$4:$D$460,2,0)=0),0,VLOOKUP($N500,'[1]MSTR AKT'!$C$4:$D$460,2,0))</f>
        <v>1315131315</v>
      </c>
      <c r="N500" s="76" t="s">
        <v>7</v>
      </c>
      <c r="O500" s="58"/>
      <c r="P500" s="59">
        <v>46002</v>
      </c>
      <c r="Q500" s="100">
        <v>5</v>
      </c>
      <c r="R500" s="101">
        <v>1.3699999999999999</v>
      </c>
      <c r="S500" s="102">
        <f t="shared" si="23"/>
        <v>137349.34999999998</v>
      </c>
    </row>
    <row r="501" spans="1:19" x14ac:dyDescent="0.35">
      <c r="A501" s="2" t="s">
        <v>33</v>
      </c>
      <c r="B501" s="68" t="str">
        <f>+VLOOKUP($D501,[1]STS!$A$9:$E$1405,3,0)</f>
        <v>06</v>
      </c>
      <c r="C501" s="86">
        <f>+VLOOKUP($D501,[1]STS!$A$9:$E$1405,4,0)</f>
        <v>22</v>
      </c>
      <c r="D501" s="107" t="s">
        <v>48</v>
      </c>
      <c r="E501" s="108">
        <f>+IF(ISERROR(VLOOKUP($D501,[1]STS!$E$9:$G$1503,3,0)=0),0,VLOOKUP($D501,[1]STS!$E$9:$G$1503,3,0))</f>
        <v>5.38</v>
      </c>
      <c r="F501" s="98">
        <v>5.38</v>
      </c>
      <c r="G501" s="99">
        <f>+IF(ISERROR(VLOOKUP(D501,[1]STS!$E$9:$AO$1503,37,0)=0),0,VLOOKUP(D501,[1]STS!$E$9:$AO$1503,37,0))</f>
        <v>9.545185108024695</v>
      </c>
      <c r="H501" s="84" t="str">
        <f>+IF(ISERROR(VLOOKUP(D501,[1]STS!$E$9:$I$1503,5,0)=0),0,VLOOKUP(D501,[1]STS!$E$9:$I$1503,5,0))</f>
        <v>FC</v>
      </c>
      <c r="I501" s="73"/>
      <c r="J501" s="74" t="str">
        <f>VLOOKUP(D501,[1]STS!$E$9:$BC$1359,51,0)</f>
        <v>F18CK</v>
      </c>
      <c r="K501" s="75"/>
      <c r="L501" s="78" t="str">
        <f>+VLOOKUP(N501,'[1]MSTR AKT'!$C$4:$E$460,3,0)</f>
        <v>Etri 2</v>
      </c>
      <c r="M501" s="85">
        <f>+IF(ISERROR(VLOOKUP($N501,'[1]MSTR AKT'!$C$4:$D$460,2,0)=0),0,VLOOKUP($N501,'[1]MSTR AKT'!$C$4:$D$460,2,0))</f>
        <v>1315131315</v>
      </c>
      <c r="N501" s="76" t="s">
        <v>7</v>
      </c>
      <c r="O501" s="58"/>
      <c r="P501" s="59">
        <v>46000</v>
      </c>
      <c r="Q501" s="100">
        <v>5</v>
      </c>
      <c r="R501" s="101">
        <v>1.0760000000000001</v>
      </c>
      <c r="S501" s="102">
        <f t="shared" si="23"/>
        <v>107874.38</v>
      </c>
    </row>
    <row r="502" spans="1:19" x14ac:dyDescent="0.35">
      <c r="A502" s="2" t="s">
        <v>33</v>
      </c>
      <c r="B502" s="68" t="str">
        <f>+VLOOKUP($D502,[1]STS!$A$9:$E$1405,3,0)</f>
        <v>06</v>
      </c>
      <c r="C502" s="86">
        <f>+VLOOKUP($D502,[1]STS!$A$9:$E$1405,4,0)</f>
        <v>22</v>
      </c>
      <c r="D502" s="107" t="s">
        <v>155</v>
      </c>
      <c r="E502" s="108">
        <f>+IF(ISERROR(VLOOKUP($D502,[1]STS!$E$9:$G$1503,3,0)=0),0,VLOOKUP($D502,[1]STS!$E$9:$G$1503,3,0))</f>
        <v>6.55</v>
      </c>
      <c r="F502" s="98">
        <v>6.55</v>
      </c>
      <c r="G502" s="99">
        <f>+IF(ISERROR(VLOOKUP(D502,[1]STS!$E$9:$AO$1503,37,0)=0),0,VLOOKUP(D502,[1]STS!$E$9:$AO$1503,37,0))</f>
        <v>9.6451851080246946</v>
      </c>
      <c r="H502" s="84" t="str">
        <f>+IF(ISERROR(VLOOKUP(D502,[1]STS!$E$9:$I$1503,5,0)=0),0,VLOOKUP(D502,[1]STS!$E$9:$I$1503,5,0))</f>
        <v>FC</v>
      </c>
      <c r="I502" s="73"/>
      <c r="J502" s="74" t="str">
        <f>VLOOKUP(D502,[1]STS!$E$9:$BC$1359,51,0)</f>
        <v>F18CK</v>
      </c>
      <c r="K502" s="75"/>
      <c r="L502" s="78" t="str">
        <f>+VLOOKUP(N502,'[1]MSTR AKT'!$C$4:$E$460,3,0)</f>
        <v>Etri 2</v>
      </c>
      <c r="M502" s="85">
        <f>+IF(ISERROR(VLOOKUP($N502,'[1]MSTR AKT'!$C$4:$D$460,2,0)=0),0,VLOOKUP($N502,'[1]MSTR AKT'!$C$4:$D$460,2,0))</f>
        <v>1315131315</v>
      </c>
      <c r="N502" s="76" t="s">
        <v>7</v>
      </c>
      <c r="O502" s="58"/>
      <c r="P502" s="59">
        <v>46002</v>
      </c>
      <c r="Q502" s="100">
        <v>5</v>
      </c>
      <c r="R502" s="101">
        <v>1.31</v>
      </c>
      <c r="S502" s="102">
        <f>+R502*100255</f>
        <v>131334.05000000002</v>
      </c>
    </row>
    <row r="503" spans="1:19" x14ac:dyDescent="0.35">
      <c r="A503" s="2" t="s">
        <v>33</v>
      </c>
      <c r="B503" s="68" t="str">
        <f>+VLOOKUP($D503,[1]STS!$A$9:$E$1405,3,0)</f>
        <v>06</v>
      </c>
      <c r="C503" s="86">
        <f>+VLOOKUP($D503,[1]STS!$A$9:$E$1405,4,0)</f>
        <v>22</v>
      </c>
      <c r="D503" s="107" t="s">
        <v>177</v>
      </c>
      <c r="E503" s="108">
        <f>+IF(ISERROR(VLOOKUP($D503,[1]STS!$E$9:$G$1503,3,0)=0),0,VLOOKUP($D503,[1]STS!$E$9:$G$1503,3,0))</f>
        <v>7.23</v>
      </c>
      <c r="F503" s="98">
        <v>7.23</v>
      </c>
      <c r="G503" s="99">
        <f>+IF(ISERROR(VLOOKUP(D503,[1]STS!$E$9:$AO$1503,37,0)=0),0,VLOOKUP(D503,[1]STS!$E$9:$AO$1503,37,0))</f>
        <v>5.7785184413580284</v>
      </c>
      <c r="H503" s="84" t="str">
        <f>+IF(ISERROR(VLOOKUP(D503,[1]STS!$E$9:$I$1503,5,0)=0),0,VLOOKUP(D503,[1]STS!$E$9:$I$1503,5,0))</f>
        <v>SC</v>
      </c>
      <c r="I503" s="73"/>
      <c r="J503" s="74" t="str">
        <f>VLOOKUP(D503,[1]STS!$E$9:$BC$1359,51,0)</f>
        <v>F18</v>
      </c>
      <c r="K503" s="75"/>
      <c r="L503" s="78" t="str">
        <f>+VLOOKUP(N503,'[1]MSTR AKT'!$C$4:$E$460,3,0)</f>
        <v>Etri 2</v>
      </c>
      <c r="M503" s="85">
        <f>+IF(ISERROR(VLOOKUP($N503,'[1]MSTR AKT'!$C$4:$D$460,2,0)=0),0,VLOOKUP($N503,'[1]MSTR AKT'!$C$4:$D$460,2,0))</f>
        <v>1315131315</v>
      </c>
      <c r="N503" s="76" t="s">
        <v>7</v>
      </c>
      <c r="O503" s="58"/>
      <c r="P503" s="59">
        <v>46001</v>
      </c>
      <c r="Q503" s="100">
        <v>5</v>
      </c>
      <c r="R503" s="101">
        <v>1.4460000000000002</v>
      </c>
      <c r="S503" s="102">
        <f>+R503*100255</f>
        <v>144968.73000000001</v>
      </c>
    </row>
    <row r="504" spans="1:19" x14ac:dyDescent="0.35">
      <c r="A504" s="2" t="s">
        <v>33</v>
      </c>
      <c r="B504" s="68" t="str">
        <f>+VLOOKUP($D504,[1]STS!$A$9:$E$1405,3,0)</f>
        <v>06</v>
      </c>
      <c r="C504" s="86">
        <f>+VLOOKUP($D504,[1]STS!$A$9:$E$1405,4,0)</f>
        <v>22</v>
      </c>
      <c r="D504" s="107" t="s">
        <v>151</v>
      </c>
      <c r="E504" s="108">
        <f>+IF(ISERROR(VLOOKUP($D504,[1]STS!$E$9:$G$1503,3,0)=0),0,VLOOKUP($D504,[1]STS!$E$9:$G$1503,3,0))</f>
        <v>7.72</v>
      </c>
      <c r="F504" s="98">
        <v>7.72</v>
      </c>
      <c r="G504" s="99">
        <f>+IF(ISERROR(VLOOKUP(D504,[1]STS!$E$9:$AO$1503,37,0)=0),0,VLOOKUP(D504,[1]STS!$E$9:$AO$1503,37,0))</f>
        <v>4.8451851080246948</v>
      </c>
      <c r="H504" s="84" t="str">
        <f>+IF(ISERROR(VLOOKUP(D504,[1]STS!$E$9:$I$1503,5,0)=0),0,VLOOKUP(D504,[1]STS!$E$9:$I$1503,5,0))</f>
        <v>SC</v>
      </c>
      <c r="I504" s="73"/>
      <c r="J504" s="74" t="str">
        <f>VLOOKUP(D504,[1]STS!$E$9:$BC$1359,51,0)</f>
        <v>F18</v>
      </c>
      <c r="K504" s="75"/>
      <c r="L504" s="78" t="str">
        <f>+VLOOKUP(N504,'[1]MSTR AKT'!$C$4:$E$460,3,0)</f>
        <v>Etri 2</v>
      </c>
      <c r="M504" s="85">
        <f>+IF(ISERROR(VLOOKUP($N504,'[1]MSTR AKT'!$C$4:$D$460,2,0)=0),0,VLOOKUP($N504,'[1]MSTR AKT'!$C$4:$D$460,2,0))</f>
        <v>1315131315</v>
      </c>
      <c r="N504" s="76" t="s">
        <v>7</v>
      </c>
      <c r="O504" s="58"/>
      <c r="P504" s="59">
        <v>46002</v>
      </c>
      <c r="Q504" s="100">
        <v>5</v>
      </c>
      <c r="R504" s="101">
        <v>1.544</v>
      </c>
      <c r="S504" s="102">
        <f>+R504*100255</f>
        <v>154793.72</v>
      </c>
    </row>
    <row r="505" spans="1:19" x14ac:dyDescent="0.35">
      <c r="A505" s="2" t="s">
        <v>33</v>
      </c>
      <c r="B505" s="68" t="str">
        <f>+VLOOKUP($D505,[1]STS!$A$9:$E$1405,3,0)</f>
        <v>06</v>
      </c>
      <c r="C505" s="86">
        <f>+VLOOKUP($D505,[1]STS!$A$9:$E$1405,4,0)</f>
        <v>22</v>
      </c>
      <c r="D505" s="107" t="s">
        <v>306</v>
      </c>
      <c r="E505" s="108">
        <f>+IF(ISERROR(VLOOKUP($D505,[1]STS!$E$9:$G$1503,3,0)=0),0,VLOOKUP($D505,[1]STS!$E$9:$G$1503,3,0))</f>
        <v>8.6</v>
      </c>
      <c r="F505" s="98">
        <v>8.6</v>
      </c>
      <c r="G505" s="99">
        <f>+IF(ISERROR(VLOOKUP(D505,[1]STS!$E$9:$AO$1503,37,0)=0),0,VLOOKUP(D505,[1]STS!$E$9:$AO$1503,37,0))</f>
        <v>10.111851774691361</v>
      </c>
      <c r="H505" s="84" t="str">
        <f>+IF(ISERROR(VLOOKUP(D505,[1]STS!$E$9:$I$1503,5,0)=0),0,VLOOKUP(D505,[1]STS!$E$9:$I$1503,5,0))</f>
        <v>SC</v>
      </c>
      <c r="I505" s="73"/>
      <c r="J505" s="74" t="str">
        <f>VLOOKUP(D505,[1]STS!$E$9:$BC$1359,51,0)</f>
        <v>F18</v>
      </c>
      <c r="K505" s="75"/>
      <c r="L505" s="78" t="str">
        <f>+VLOOKUP(N505,'[1]MSTR AKT'!$C$4:$E$460,3,0)</f>
        <v>Etri 2</v>
      </c>
      <c r="M505" s="85">
        <f>+IF(ISERROR(VLOOKUP($N505,'[1]MSTR AKT'!$C$4:$D$460,2,0)=0),0,VLOOKUP($N505,'[1]MSTR AKT'!$C$4:$D$460,2,0))</f>
        <v>1315131315</v>
      </c>
      <c r="N505" s="76" t="s">
        <v>7</v>
      </c>
      <c r="O505" s="58"/>
      <c r="P505" s="59">
        <v>46001</v>
      </c>
      <c r="Q505" s="100">
        <v>5</v>
      </c>
      <c r="R505" s="101">
        <v>1.72</v>
      </c>
      <c r="S505" s="102">
        <f>+R505*100255</f>
        <v>172438.6</v>
      </c>
    </row>
    <row r="506" spans="1:19" x14ac:dyDescent="0.35">
      <c r="A506" s="2" t="s">
        <v>33</v>
      </c>
      <c r="B506" s="68" t="str">
        <f>+VLOOKUP($D506,[1]STS!$A$9:$E$1405,3,0)</f>
        <v>06</v>
      </c>
      <c r="C506" s="86">
        <f>+VLOOKUP($D506,[1]STS!$A$9:$E$1405,4,0)</f>
        <v>22</v>
      </c>
      <c r="D506" s="107" t="s">
        <v>307</v>
      </c>
      <c r="E506" s="108">
        <f>+IF(ISERROR(VLOOKUP($D506,[1]STS!$E$9:$G$1503,3,0)=0),0,VLOOKUP($D506,[1]STS!$E$9:$G$1503,3,0))</f>
        <v>5.1100000000000003</v>
      </c>
      <c r="F506" s="98">
        <v>5.1100000000000003</v>
      </c>
      <c r="G506" s="99">
        <f>+IF(ISERROR(VLOOKUP(D506,[1]STS!$E$9:$AO$1503,37,0)=0),0,VLOOKUP(D506,[1]STS!$E$9:$AO$1503,37,0))</f>
        <v>10.111851774691361</v>
      </c>
      <c r="H506" s="84" t="str">
        <f>+IF(ISERROR(VLOOKUP(D506,[1]STS!$E$9:$I$1503,5,0)=0),0,VLOOKUP(D506,[1]STS!$E$9:$I$1503,5,0))</f>
        <v>SC</v>
      </c>
      <c r="I506" s="73"/>
      <c r="J506" s="74" t="str">
        <f>VLOOKUP(D506,[1]STS!$E$9:$BC$1359,51,0)</f>
        <v>F18</v>
      </c>
      <c r="K506" s="75"/>
      <c r="L506" s="78" t="str">
        <f>+VLOOKUP(N506,'[1]MSTR AKT'!$C$4:$E$460,3,0)</f>
        <v>Etri 2</v>
      </c>
      <c r="M506" s="85">
        <f>+IF(ISERROR(VLOOKUP($N506,'[1]MSTR AKT'!$C$4:$D$460,2,0)=0),0,VLOOKUP($N506,'[1]MSTR AKT'!$C$4:$D$460,2,0))</f>
        <v>1315131315</v>
      </c>
      <c r="N506" s="76" t="s">
        <v>7</v>
      </c>
      <c r="O506" s="58"/>
      <c r="P506" s="59">
        <v>46002</v>
      </c>
      <c r="Q506" s="100">
        <v>5</v>
      </c>
      <c r="R506" s="101">
        <v>1.022</v>
      </c>
      <c r="S506" s="102">
        <f t="shared" si="23"/>
        <v>102460.61</v>
      </c>
    </row>
    <row r="507" spans="1:19" x14ac:dyDescent="0.35">
      <c r="A507" s="2" t="s">
        <v>33</v>
      </c>
      <c r="B507" s="68" t="str">
        <f>+VLOOKUP($D507,[1]STS!$A$9:$E$1405,3,0)</f>
        <v>06</v>
      </c>
      <c r="C507" s="86">
        <f>+VLOOKUP($D507,[1]STS!$A$9:$E$1405,4,0)</f>
        <v>22</v>
      </c>
      <c r="D507" s="107" t="s">
        <v>308</v>
      </c>
      <c r="E507" s="108">
        <f>+IF(ISERROR(VLOOKUP($D507,[1]STS!$E$9:$G$1503,3,0)=0),0,VLOOKUP($D507,[1]STS!$E$9:$G$1503,3,0))</f>
        <v>8.09</v>
      </c>
      <c r="F507" s="98">
        <v>7.57</v>
      </c>
      <c r="G507" s="99">
        <f>+IF(ISERROR(VLOOKUP(D507,[1]STS!$E$9:$AO$1503,37,0)=0),0,VLOOKUP(D507,[1]STS!$E$9:$AO$1503,37,0))</f>
        <v>2.9451851080246949</v>
      </c>
      <c r="H507" s="84" t="str">
        <f>+IF(ISERROR(VLOOKUP(D507,[1]STS!$E$9:$I$1503,5,0)=0),0,VLOOKUP(D507,[1]STS!$E$9:$I$1503,5,0))</f>
        <v>FC</v>
      </c>
      <c r="I507" s="73"/>
      <c r="J507" s="74" t="str">
        <f>VLOOKUP(D507,[1]STS!$E$9:$BC$1359,51,0)</f>
        <v>GP3CK</v>
      </c>
      <c r="K507" s="75"/>
      <c r="L507" s="78" t="str">
        <f>+VLOOKUP(N507,'[1]MSTR AKT'!$C$4:$E$460,3,0)</f>
        <v>Etri 2</v>
      </c>
      <c r="M507" s="85">
        <f>+IF(ISERROR(VLOOKUP($N507,'[1]MSTR AKT'!$C$4:$D$460,2,0)=0),0,VLOOKUP($N507,'[1]MSTR AKT'!$C$4:$D$460,2,0))</f>
        <v>1315131513</v>
      </c>
      <c r="N507" s="76" t="s">
        <v>8</v>
      </c>
      <c r="O507" s="58"/>
      <c r="P507" s="59">
        <v>46001</v>
      </c>
      <c r="Q507" s="100">
        <v>0.5</v>
      </c>
      <c r="R507" s="101">
        <v>15.14</v>
      </c>
      <c r="S507" s="102">
        <f t="shared" si="23"/>
        <v>1517860.7</v>
      </c>
    </row>
    <row r="508" spans="1:19" x14ac:dyDescent="0.35">
      <c r="A508" s="2" t="s">
        <v>33</v>
      </c>
      <c r="B508" s="68" t="str">
        <f>+VLOOKUP($D508,[1]STS!$A$9:$E$1405,3,0)</f>
        <v>06</v>
      </c>
      <c r="C508" s="86">
        <f>+VLOOKUP($D508,[1]STS!$A$9:$E$1405,4,0)</f>
        <v>22</v>
      </c>
      <c r="D508" s="107" t="s">
        <v>304</v>
      </c>
      <c r="E508" s="108">
        <f>+IF(ISERROR(VLOOKUP($D508,[1]STS!$E$9:$G$1503,3,0)=0),0,VLOOKUP($D508,[1]STS!$E$9:$G$1503,3,0))</f>
        <v>6.01</v>
      </c>
      <c r="F508" s="98">
        <v>5.64</v>
      </c>
      <c r="G508" s="99">
        <f>+IF(ISERROR(VLOOKUP(D508,[1]STS!$E$9:$AO$1503,37,0)=0),0,VLOOKUP(D508,[1]STS!$E$9:$AO$1503,37,0))</f>
        <v>0.24518510802469487</v>
      </c>
      <c r="H508" s="84" t="str">
        <f>+IF(ISERROR(VLOOKUP(D508,[1]STS!$E$9:$I$1503,5,0)=0),0,VLOOKUP(D508,[1]STS!$E$9:$I$1503,5,0))</f>
        <v>FC</v>
      </c>
      <c r="I508" s="73"/>
      <c r="J508" s="74" t="str">
        <f>VLOOKUP(D508,[1]STS!$E$9:$BC$1359,51,0)</f>
        <v>F18CK</v>
      </c>
      <c r="K508" s="75"/>
      <c r="L508" s="78" t="str">
        <f>+VLOOKUP(N508,'[1]MSTR AKT'!$C$4:$E$460,3,0)</f>
        <v>Etri 2</v>
      </c>
      <c r="M508" s="85">
        <f>+IF(ISERROR(VLOOKUP($N508,'[1]MSTR AKT'!$C$4:$D$460,2,0)=0),0,VLOOKUP($N508,'[1]MSTR AKT'!$C$4:$D$460,2,0))</f>
        <v>1315131513</v>
      </c>
      <c r="N508" s="76" t="s">
        <v>8</v>
      </c>
      <c r="O508" s="58"/>
      <c r="P508" s="59">
        <v>46002</v>
      </c>
      <c r="Q508" s="100">
        <v>0.5</v>
      </c>
      <c r="R508" s="101">
        <v>11.28</v>
      </c>
      <c r="S508" s="102">
        <f t="shared" si="23"/>
        <v>1130876.3999999999</v>
      </c>
    </row>
    <row r="509" spans="1:19" x14ac:dyDescent="0.35">
      <c r="A509" s="2" t="s">
        <v>33</v>
      </c>
      <c r="B509" s="68" t="str">
        <f>+VLOOKUP($D509,[1]STS!$A$9:$E$1405,3,0)</f>
        <v>06</v>
      </c>
      <c r="C509" s="86">
        <f>+VLOOKUP($D509,[1]STS!$A$9:$E$1405,4,0)</f>
        <v>22</v>
      </c>
      <c r="D509" s="107" t="s">
        <v>305</v>
      </c>
      <c r="E509" s="108">
        <f>+IF(ISERROR(VLOOKUP($D509,[1]STS!$E$9:$G$1503,3,0)=0),0,VLOOKUP($D509,[1]STS!$E$9:$G$1503,3,0))</f>
        <v>9.42</v>
      </c>
      <c r="F509" s="98">
        <v>9.06</v>
      </c>
      <c r="G509" s="99">
        <f>+IF(ISERROR(VLOOKUP(D509,[1]STS!$E$9:$AO$1503,37,0)=0),0,VLOOKUP(D509,[1]STS!$E$9:$AO$1503,37,0))</f>
        <v>0.24518510802469487</v>
      </c>
      <c r="H509" s="84" t="str">
        <f>+IF(ISERROR(VLOOKUP(D509,[1]STS!$E$9:$I$1503,5,0)=0),0,VLOOKUP(D509,[1]STS!$E$9:$I$1503,5,0))</f>
        <v>FC</v>
      </c>
      <c r="I509" s="73"/>
      <c r="J509" s="74" t="str">
        <f>VLOOKUP(D509,[1]STS!$E$9:$BC$1359,51,0)</f>
        <v>F18CK</v>
      </c>
      <c r="K509" s="75"/>
      <c r="L509" s="78" t="str">
        <f>+VLOOKUP(N509,'[1]MSTR AKT'!$C$4:$E$460,3,0)</f>
        <v>Etri 2</v>
      </c>
      <c r="M509" s="85">
        <f>+IF(ISERROR(VLOOKUP($N509,'[1]MSTR AKT'!$C$4:$D$460,2,0)=0),0,VLOOKUP($N509,'[1]MSTR AKT'!$C$4:$D$460,2,0))</f>
        <v>1315131513</v>
      </c>
      <c r="N509" s="76" t="s">
        <v>8</v>
      </c>
      <c r="O509" s="58"/>
      <c r="P509" s="59">
        <v>46001</v>
      </c>
      <c r="Q509" s="100">
        <v>0.5</v>
      </c>
      <c r="R509" s="101">
        <v>18.12</v>
      </c>
      <c r="S509" s="102">
        <f t="shared" si="23"/>
        <v>1816620.6</v>
      </c>
    </row>
    <row r="510" spans="1:19" x14ac:dyDescent="0.35">
      <c r="A510" s="2" t="s">
        <v>33</v>
      </c>
      <c r="B510" s="68" t="str">
        <f>+VLOOKUP($D510,[1]STS!$A$9:$E$1405,3,0)</f>
        <v>06</v>
      </c>
      <c r="C510" s="86">
        <f>+VLOOKUP($D510,[1]STS!$A$9:$E$1405,4,0)</f>
        <v>22</v>
      </c>
      <c r="D510" s="107" t="s">
        <v>319</v>
      </c>
      <c r="E510" s="108">
        <f>+IF(ISERROR(VLOOKUP($D510,[1]STS!$E$9:$G$1503,3,0)=0),0,VLOOKUP($D510,[1]STS!$E$9:$G$1503,3,0))</f>
        <v>6.78</v>
      </c>
      <c r="F510" s="98">
        <v>6.33</v>
      </c>
      <c r="G510" s="99">
        <f>+IF(ISERROR(VLOOKUP(D510,[1]STS!$E$9:$AO$1503,37,0)=0),0,VLOOKUP(D510,[1]STS!$E$9:$AO$1503,37,0))</f>
        <v>1.5785184413580282</v>
      </c>
      <c r="H510" s="84" t="str">
        <f>+IF(ISERROR(VLOOKUP(D510,[1]STS!$E$9:$I$1503,5,0)=0),0,VLOOKUP(D510,[1]STS!$E$9:$I$1503,5,0))</f>
        <v>FC</v>
      </c>
      <c r="I510" s="73"/>
      <c r="J510" s="74" t="str">
        <f>VLOOKUP(D510,[1]STS!$E$9:$BC$1359,51,0)</f>
        <v>F18CK</v>
      </c>
      <c r="K510" s="75"/>
      <c r="L510" s="78" t="str">
        <f>+VLOOKUP(N510,'[1]MSTR AKT'!$C$4:$E$460,3,0)</f>
        <v>Nugroho</v>
      </c>
      <c r="M510" s="85">
        <f>+IF(ISERROR(VLOOKUP($N510,'[1]MSTR AKT'!$C$4:$D$460,2,0)=0),0,VLOOKUP($N510,'[1]MSTR AKT'!$C$4:$D$460,2,0))</f>
        <v>1313131111</v>
      </c>
      <c r="N510" s="76" t="s">
        <v>35</v>
      </c>
      <c r="O510" s="58"/>
      <c r="P510" s="59">
        <v>45998</v>
      </c>
      <c r="Q510" s="100">
        <v>4</v>
      </c>
      <c r="R510" s="101">
        <v>25.32</v>
      </c>
      <c r="S510" s="102">
        <f t="shared" si="23"/>
        <v>2538456.6</v>
      </c>
    </row>
    <row r="511" spans="1:19" x14ac:dyDescent="0.35">
      <c r="A511" s="2" t="s">
        <v>33</v>
      </c>
      <c r="B511" s="68" t="str">
        <f>+VLOOKUP($D511,[1]STS!$A$9:$E$1405,3,0)</f>
        <v>06</v>
      </c>
      <c r="C511" s="86">
        <f>+VLOOKUP($D511,[1]STS!$A$9:$E$1405,4,0)</f>
        <v>22</v>
      </c>
      <c r="D511" s="107" t="s">
        <v>329</v>
      </c>
      <c r="E511" s="108">
        <f>+IF(ISERROR(VLOOKUP($D511,[1]STS!$E$9:$G$1503,3,0)=0),0,VLOOKUP($D511,[1]STS!$E$9:$G$1503,3,0))</f>
        <v>10.6</v>
      </c>
      <c r="F511" s="98">
        <v>10.15</v>
      </c>
      <c r="G511" s="99">
        <f>+IF(ISERROR(VLOOKUP(D511,[1]STS!$E$9:$AO$1503,37,0)=0),0,VLOOKUP(D511,[1]STS!$E$9:$AO$1503,37,0))</f>
        <v>1.3785184413580283</v>
      </c>
      <c r="H511" s="84" t="str">
        <f>+IF(ISERROR(VLOOKUP(D511,[1]STS!$E$9:$I$1503,5,0)=0),0,VLOOKUP(D511,[1]STS!$E$9:$I$1503,5,0))</f>
        <v>FC</v>
      </c>
      <c r="I511" s="73"/>
      <c r="J511" s="74" t="str">
        <f>VLOOKUP(D511,[1]STS!$E$9:$BC$1359,51,0)</f>
        <v>F18CK</v>
      </c>
      <c r="K511" s="75"/>
      <c r="L511" s="78" t="str">
        <f>+VLOOKUP(N511,'[1]MSTR AKT'!$C$4:$E$460,3,0)</f>
        <v>Nugroho</v>
      </c>
      <c r="M511" s="85">
        <f>+IF(ISERROR(VLOOKUP($N511,'[1]MSTR AKT'!$C$4:$D$460,2,0)=0),0,VLOOKUP($N511,'[1]MSTR AKT'!$C$4:$D$460,2,0))</f>
        <v>1313131111</v>
      </c>
      <c r="N511" s="76" t="s">
        <v>35</v>
      </c>
      <c r="O511" s="58"/>
      <c r="P511" s="59">
        <v>46001</v>
      </c>
      <c r="Q511" s="100">
        <v>4</v>
      </c>
      <c r="R511" s="101">
        <v>40.6</v>
      </c>
      <c r="S511" s="102">
        <f t="shared" si="23"/>
        <v>4070353</v>
      </c>
    </row>
    <row r="512" spans="1:19" x14ac:dyDescent="0.35">
      <c r="A512" s="2" t="s">
        <v>33</v>
      </c>
      <c r="B512" s="68" t="str">
        <f>+VLOOKUP($D512,[1]STS!$A$9:$E$1405,3,0)</f>
        <v>06</v>
      </c>
      <c r="C512" s="86">
        <f>+VLOOKUP($D512,[1]STS!$A$9:$E$1405,4,0)</f>
        <v>22</v>
      </c>
      <c r="D512" s="107" t="s">
        <v>48</v>
      </c>
      <c r="E512" s="108">
        <f>+IF(ISERROR(VLOOKUP($D512,[1]STS!$E$9:$G$1503,3,0)=0),0,VLOOKUP($D512,[1]STS!$E$9:$G$1503,3,0))</f>
        <v>5.38</v>
      </c>
      <c r="F512" s="98">
        <v>5.38</v>
      </c>
      <c r="G512" s="99">
        <f>+IF(ISERROR(VLOOKUP(D512,[1]STS!$E$9:$AO$1503,37,0)=0),0,VLOOKUP(D512,[1]STS!$E$9:$AO$1503,37,0))</f>
        <v>9.545185108024695</v>
      </c>
      <c r="H512" s="84" t="str">
        <f>+IF(ISERROR(VLOOKUP(D512,[1]STS!$E$9:$I$1503,5,0)=0),0,VLOOKUP(D512,[1]STS!$E$9:$I$1503,5,0))</f>
        <v>FC</v>
      </c>
      <c r="I512" s="73"/>
      <c r="J512" s="74" t="str">
        <f>VLOOKUP(D512,[1]STS!$E$9:$BC$1359,51,0)</f>
        <v>F18CK</v>
      </c>
      <c r="K512" s="75"/>
      <c r="L512" s="78" t="str">
        <f>+VLOOKUP(N512,'[1]MSTR AKT'!$C$4:$E$460,3,0)</f>
        <v>Etri 1</v>
      </c>
      <c r="M512" s="85">
        <f>+IF(ISERROR(VLOOKUP($N512,'[1]MSTR AKT'!$C$4:$D$460,2,0)=0),0,VLOOKUP($N512,'[1]MSTR AKT'!$C$4:$D$460,2,0))</f>
        <v>1315111111</v>
      </c>
      <c r="N512" s="76" t="s">
        <v>3</v>
      </c>
      <c r="O512" s="58" t="str">
        <f t="shared" ref="O512:O521" si="24">IF(Q512&lt;=2,"Bersih",IF(Q512&lt;=4,"Ringan",IF(Q512&lt;=8,"Sedang","Berat")))</f>
        <v>Ringan</v>
      </c>
      <c r="P512" s="59">
        <v>46000</v>
      </c>
      <c r="Q512" s="100">
        <v>3</v>
      </c>
      <c r="R512" s="101">
        <v>16.14</v>
      </c>
      <c r="S512" s="102">
        <f t="shared" si="23"/>
        <v>1618115.7</v>
      </c>
    </row>
    <row r="513" spans="1:19" x14ac:dyDescent="0.35">
      <c r="A513" s="2" t="s">
        <v>33</v>
      </c>
      <c r="B513" s="68" t="str">
        <f>+VLOOKUP($D513,[1]STS!$A$9:$E$1405,3,0)</f>
        <v>06</v>
      </c>
      <c r="C513" s="86">
        <f>+VLOOKUP($D513,[1]STS!$A$9:$E$1405,4,0)</f>
        <v>22</v>
      </c>
      <c r="D513" s="107" t="s">
        <v>104</v>
      </c>
      <c r="E513" s="108">
        <f>+IF(ISERROR(VLOOKUP($D513,[1]STS!$E$9:$G$1503,3,0)=0),0,VLOOKUP($D513,[1]STS!$E$9:$G$1503,3,0))</f>
        <v>8.9700000000000006</v>
      </c>
      <c r="F513" s="98">
        <v>8.9700000000000006</v>
      </c>
      <c r="G513" s="99">
        <f>+IF(ISERROR(VLOOKUP(D513,[1]STS!$E$9:$AO$1503,37,0)=0),0,VLOOKUP(D513,[1]STS!$E$9:$AO$1503,37,0))</f>
        <v>0.71185177469136152</v>
      </c>
      <c r="H513" s="84" t="str">
        <f>+IF(ISERROR(VLOOKUP(D513,[1]STS!$E$9:$I$1503,5,0)=0),0,VLOOKUP(D513,[1]STS!$E$9:$I$1503,5,0))</f>
        <v>SC</v>
      </c>
      <c r="I513" s="73"/>
      <c r="J513" s="74" t="str">
        <f>VLOOKUP(D513,[1]STS!$E$9:$BC$1359,51,0)</f>
        <v>F18</v>
      </c>
      <c r="K513" s="75"/>
      <c r="L513" s="78" t="str">
        <f>+VLOOKUP(N513,'[1]MSTR AKT'!$C$4:$E$460,3,0)</f>
        <v>Etri 1</v>
      </c>
      <c r="M513" s="85">
        <f>+IF(ISERROR(VLOOKUP($N513,'[1]MSTR AKT'!$C$4:$D$460,2,0)=0),0,VLOOKUP($N513,'[1]MSTR AKT'!$C$4:$D$460,2,0))</f>
        <v>1315111111</v>
      </c>
      <c r="N513" s="76" t="s">
        <v>3</v>
      </c>
      <c r="O513" s="58" t="str">
        <f t="shared" si="24"/>
        <v>Ringan</v>
      </c>
      <c r="P513" s="59">
        <v>46000</v>
      </c>
      <c r="Q513" s="100">
        <v>3</v>
      </c>
      <c r="R513" s="101">
        <v>26.910000000000004</v>
      </c>
      <c r="S513" s="102">
        <f t="shared" si="23"/>
        <v>2697862.0500000003</v>
      </c>
    </row>
    <row r="514" spans="1:19" x14ac:dyDescent="0.35">
      <c r="A514" s="2" t="s">
        <v>33</v>
      </c>
      <c r="B514" s="68" t="str">
        <f>+VLOOKUP($D514,[1]STS!$A$9:$E$1405,3,0)</f>
        <v>06</v>
      </c>
      <c r="C514" s="86">
        <f>+VLOOKUP($D514,[1]STS!$A$9:$E$1405,4,0)</f>
        <v>22</v>
      </c>
      <c r="D514" s="107" t="s">
        <v>153</v>
      </c>
      <c r="E514" s="108">
        <f>+IF(ISERROR(VLOOKUP($D514,[1]STS!$E$9:$G$1503,3,0)=0),0,VLOOKUP($D514,[1]STS!$E$9:$G$1503,3,0))</f>
        <v>8.44</v>
      </c>
      <c r="F514" s="98">
        <v>8.44</v>
      </c>
      <c r="G514" s="99">
        <f>+IF(ISERROR(VLOOKUP(D514,[1]STS!$E$9:$AO$1503,37,0)=0),0,VLOOKUP(D514,[1]STS!$E$9:$AO$1503,37,0))</f>
        <v>1.9451851080246949</v>
      </c>
      <c r="H514" s="84" t="str">
        <f>+IF(ISERROR(VLOOKUP(D514,[1]STS!$E$9:$I$1503,5,0)=0),0,VLOOKUP(D514,[1]STS!$E$9:$I$1503,5,0))</f>
        <v>SC</v>
      </c>
      <c r="I514" s="73"/>
      <c r="J514" s="74" t="str">
        <f>VLOOKUP(D514,[1]STS!$E$9:$BC$1359,51,0)</f>
        <v>F18</v>
      </c>
      <c r="K514" s="75"/>
      <c r="L514" s="78" t="str">
        <f>+VLOOKUP(N514,'[1]MSTR AKT'!$C$4:$E$460,3,0)</f>
        <v>Etri 1</v>
      </c>
      <c r="M514" s="85">
        <f>+IF(ISERROR(VLOOKUP($N514,'[1]MSTR AKT'!$C$4:$D$460,2,0)=0),0,VLOOKUP($N514,'[1]MSTR AKT'!$C$4:$D$460,2,0))</f>
        <v>1315111111</v>
      </c>
      <c r="N514" s="76" t="s">
        <v>3</v>
      </c>
      <c r="O514" s="58" t="str">
        <f t="shared" si="24"/>
        <v>Ringan</v>
      </c>
      <c r="P514" s="59">
        <v>46002</v>
      </c>
      <c r="Q514" s="100">
        <v>3</v>
      </c>
      <c r="R514" s="101">
        <v>25.32</v>
      </c>
      <c r="S514" s="102">
        <f t="shared" si="23"/>
        <v>2538456.6</v>
      </c>
    </row>
    <row r="515" spans="1:19" x14ac:dyDescent="0.35">
      <c r="A515" s="2" t="s">
        <v>33</v>
      </c>
      <c r="B515" s="68" t="str">
        <f>+VLOOKUP($D515,[1]STS!$A$9:$E$1405,3,0)</f>
        <v>06</v>
      </c>
      <c r="C515" s="86">
        <f>+VLOOKUP($D515,[1]STS!$A$9:$E$1405,4,0)</f>
        <v>22</v>
      </c>
      <c r="D515" s="107" t="s">
        <v>116</v>
      </c>
      <c r="E515" s="108">
        <f>+IF(ISERROR(VLOOKUP($D515,[1]STS!$E$9:$G$1503,3,0)=0),0,VLOOKUP($D515,[1]STS!$E$9:$G$1503,3,0))</f>
        <v>15.78</v>
      </c>
      <c r="F515" s="98">
        <v>15.78</v>
      </c>
      <c r="G515" s="99">
        <f>+IF(ISERROR(VLOOKUP(D515,[1]STS!$E$9:$AO$1503,37,0)=0),0,VLOOKUP(D515,[1]STS!$E$9:$AO$1503,37,0))</f>
        <v>5.0785184413580282</v>
      </c>
      <c r="H515" s="84" t="str">
        <f>+IF(ISERROR(VLOOKUP(D515,[1]STS!$E$9:$I$1503,5,0)=0),0,VLOOKUP(D515,[1]STS!$E$9:$I$1503,5,0))</f>
        <v>FC</v>
      </c>
      <c r="I515" s="73"/>
      <c r="J515" s="74" t="str">
        <f>VLOOKUP(D515,[1]STS!$E$9:$BC$1359,51,0)</f>
        <v>F18SB</v>
      </c>
      <c r="K515" s="75"/>
      <c r="L515" s="78" t="str">
        <f>+VLOOKUP(N515,'[1]MSTR AKT'!$C$4:$E$460,3,0)</f>
        <v>Etri 1</v>
      </c>
      <c r="M515" s="85">
        <f>+IF(ISERROR(VLOOKUP($N515,'[1]MSTR AKT'!$C$4:$D$460,2,0)=0),0,VLOOKUP($N515,'[1]MSTR AKT'!$C$4:$D$460,2,0))</f>
        <v>1315111111</v>
      </c>
      <c r="N515" s="76" t="s">
        <v>3</v>
      </c>
      <c r="O515" s="58" t="str">
        <f t="shared" si="24"/>
        <v>Ringan</v>
      </c>
      <c r="P515" s="59">
        <v>46000</v>
      </c>
      <c r="Q515" s="100">
        <v>3</v>
      </c>
      <c r="R515" s="101">
        <v>47.339999999999996</v>
      </c>
      <c r="S515" s="102">
        <f t="shared" si="23"/>
        <v>4746071.6999999993</v>
      </c>
    </row>
    <row r="516" spans="1:19" x14ac:dyDescent="0.35">
      <c r="A516" s="2" t="s">
        <v>33</v>
      </c>
      <c r="B516" s="68" t="str">
        <f>+VLOOKUP($D516,[1]STS!$A$9:$E$1405,3,0)</f>
        <v>06</v>
      </c>
      <c r="C516" s="86">
        <f>+VLOOKUP($D516,[1]STS!$A$9:$E$1405,4,0)</f>
        <v>22</v>
      </c>
      <c r="D516" s="107" t="s">
        <v>127</v>
      </c>
      <c r="E516" s="108">
        <f>+IF(ISERROR(VLOOKUP($D516,[1]STS!$E$9:$G$1503,3,0)=0),0,VLOOKUP($D516,[1]STS!$E$9:$G$1503,3,0))</f>
        <v>10.62</v>
      </c>
      <c r="F516" s="98">
        <v>10.62</v>
      </c>
      <c r="G516" s="99">
        <f>+IF(ISERROR(VLOOKUP(D516,[1]STS!$E$9:$AO$1503,37,0)=0),0,VLOOKUP(D516,[1]STS!$E$9:$AO$1503,37,0))</f>
        <v>5.5118517746913618</v>
      </c>
      <c r="H516" s="84" t="str">
        <f>+IF(ISERROR(VLOOKUP(D516,[1]STS!$E$9:$I$1503,5,0)=0),0,VLOOKUP(D516,[1]STS!$E$9:$I$1503,5,0))</f>
        <v>FC</v>
      </c>
      <c r="I516" s="73"/>
      <c r="J516" s="74" t="str">
        <f>VLOOKUP(D516,[1]STS!$E$9:$BC$1359,51,0)</f>
        <v>F18CK</v>
      </c>
      <c r="K516" s="75"/>
      <c r="L516" s="78" t="str">
        <f>+VLOOKUP(N516,'[1]MSTR AKT'!$C$4:$E$460,3,0)</f>
        <v>Etri 1</v>
      </c>
      <c r="M516" s="85">
        <f>+IF(ISERROR(VLOOKUP($N516,'[1]MSTR AKT'!$C$4:$D$460,2,0)=0),0,VLOOKUP($N516,'[1]MSTR AKT'!$C$4:$D$460,2,0))</f>
        <v>1315111111</v>
      </c>
      <c r="N516" s="76" t="s">
        <v>3</v>
      </c>
      <c r="O516" s="58" t="str">
        <f t="shared" si="24"/>
        <v>Ringan</v>
      </c>
      <c r="P516" s="59">
        <v>46002</v>
      </c>
      <c r="Q516" s="100">
        <v>3</v>
      </c>
      <c r="R516" s="101">
        <v>31.86</v>
      </c>
      <c r="S516" s="102">
        <f t="shared" si="23"/>
        <v>3194124.3</v>
      </c>
    </row>
    <row r="517" spans="1:19" x14ac:dyDescent="0.35">
      <c r="A517" s="2" t="s">
        <v>33</v>
      </c>
      <c r="B517" s="68" t="str">
        <f>+VLOOKUP($D517,[1]STS!$A$9:$E$1405,3,0)</f>
        <v>06</v>
      </c>
      <c r="C517" s="86">
        <f>+VLOOKUP($D517,[1]STS!$A$9:$E$1405,4,0)</f>
        <v>22</v>
      </c>
      <c r="D517" s="107" t="s">
        <v>306</v>
      </c>
      <c r="E517" s="108">
        <f>+IF(ISERROR(VLOOKUP($D517,[1]STS!$E$9:$G$1503,3,0)=0),0,VLOOKUP($D517,[1]STS!$E$9:$G$1503,3,0))</f>
        <v>8.6</v>
      </c>
      <c r="F517" s="98">
        <v>8.6</v>
      </c>
      <c r="G517" s="99">
        <f>+IF(ISERROR(VLOOKUP(D517,[1]STS!$E$9:$AO$1503,37,0)=0),0,VLOOKUP(D517,[1]STS!$E$9:$AO$1503,37,0))</f>
        <v>10.111851774691361</v>
      </c>
      <c r="H517" s="84" t="str">
        <f>+IF(ISERROR(VLOOKUP(D517,[1]STS!$E$9:$I$1503,5,0)=0),0,VLOOKUP(D517,[1]STS!$E$9:$I$1503,5,0))</f>
        <v>SC</v>
      </c>
      <c r="I517" s="73"/>
      <c r="J517" s="74" t="str">
        <f>VLOOKUP(D517,[1]STS!$E$9:$BC$1359,51,0)</f>
        <v>F18</v>
      </c>
      <c r="K517" s="75"/>
      <c r="L517" s="78" t="str">
        <f>+VLOOKUP(N517,'[1]MSTR AKT'!$C$4:$E$460,3,0)</f>
        <v>Etri 1</v>
      </c>
      <c r="M517" s="85">
        <f>+IF(ISERROR(VLOOKUP($N517,'[1]MSTR AKT'!$C$4:$D$460,2,0)=0),0,VLOOKUP($N517,'[1]MSTR AKT'!$C$4:$D$460,2,0))</f>
        <v>1315111111</v>
      </c>
      <c r="N517" s="76" t="s">
        <v>3</v>
      </c>
      <c r="O517" s="58" t="str">
        <f t="shared" si="24"/>
        <v>Ringan</v>
      </c>
      <c r="P517" s="59">
        <v>46001</v>
      </c>
      <c r="Q517" s="100">
        <v>3</v>
      </c>
      <c r="R517" s="101">
        <v>25.799999999999997</v>
      </c>
      <c r="S517" s="102">
        <f t="shared" si="23"/>
        <v>2586578.9999999995</v>
      </c>
    </row>
    <row r="518" spans="1:19" x14ac:dyDescent="0.35">
      <c r="A518" s="2" t="s">
        <v>33</v>
      </c>
      <c r="B518" s="68" t="str">
        <f>+VLOOKUP($D518,[1]STS!$A$9:$E$1405,3,0)</f>
        <v>06</v>
      </c>
      <c r="C518" s="86">
        <f>+VLOOKUP($D518,[1]STS!$A$9:$E$1405,4,0)</f>
        <v>22</v>
      </c>
      <c r="D518" s="107" t="s">
        <v>307</v>
      </c>
      <c r="E518" s="108">
        <f>+IF(ISERROR(VLOOKUP($D518,[1]STS!$E$9:$G$1503,3,0)=0),0,VLOOKUP($D518,[1]STS!$E$9:$G$1503,3,0))</f>
        <v>5.1100000000000003</v>
      </c>
      <c r="F518" s="98">
        <v>5.1100000000000003</v>
      </c>
      <c r="G518" s="99">
        <f>+IF(ISERROR(VLOOKUP(D518,[1]STS!$E$9:$AO$1503,37,0)=0),0,VLOOKUP(D518,[1]STS!$E$9:$AO$1503,37,0))</f>
        <v>10.111851774691361</v>
      </c>
      <c r="H518" s="84" t="str">
        <f>+IF(ISERROR(VLOOKUP(D518,[1]STS!$E$9:$I$1503,5,0)=0),0,VLOOKUP(D518,[1]STS!$E$9:$I$1503,5,0))</f>
        <v>SC</v>
      </c>
      <c r="I518" s="73"/>
      <c r="J518" s="74" t="str">
        <f>VLOOKUP(D518,[1]STS!$E$9:$BC$1359,51,0)</f>
        <v>F18</v>
      </c>
      <c r="K518" s="75"/>
      <c r="L518" s="78" t="str">
        <f>+VLOOKUP(N518,'[1]MSTR AKT'!$C$4:$E$460,3,0)</f>
        <v>Etri 1</v>
      </c>
      <c r="M518" s="85">
        <f>+IF(ISERROR(VLOOKUP($N518,'[1]MSTR AKT'!$C$4:$D$460,2,0)=0),0,VLOOKUP($N518,'[1]MSTR AKT'!$C$4:$D$460,2,0))</f>
        <v>1315111111</v>
      </c>
      <c r="N518" s="76" t="s">
        <v>3</v>
      </c>
      <c r="O518" s="58" t="str">
        <f t="shared" si="24"/>
        <v>Ringan</v>
      </c>
      <c r="P518" s="59">
        <v>46002</v>
      </c>
      <c r="Q518" s="100">
        <v>3</v>
      </c>
      <c r="R518" s="101">
        <v>15.330000000000002</v>
      </c>
      <c r="S518" s="102">
        <f t="shared" si="23"/>
        <v>1536909.1500000001</v>
      </c>
    </row>
    <row r="519" spans="1:19" x14ac:dyDescent="0.35">
      <c r="A519" s="2" t="s">
        <v>33</v>
      </c>
      <c r="B519" s="68" t="str">
        <f>+VLOOKUP($D519,[1]STS!$A$9:$E$1405,3,0)</f>
        <v>06</v>
      </c>
      <c r="C519" s="86">
        <f>+VLOOKUP($D519,[1]STS!$A$9:$E$1405,4,0)</f>
        <v>22</v>
      </c>
      <c r="D519" s="107" t="s">
        <v>308</v>
      </c>
      <c r="E519" s="108">
        <f>+IF(ISERROR(VLOOKUP($D519,[1]STS!$E$9:$G$1503,3,0)=0),0,VLOOKUP($D519,[1]STS!$E$9:$G$1503,3,0))</f>
        <v>8.09</v>
      </c>
      <c r="F519" s="98">
        <v>7.57</v>
      </c>
      <c r="G519" s="99">
        <f>+IF(ISERROR(VLOOKUP(D519,[1]STS!$E$9:$AO$1503,37,0)=0),0,VLOOKUP(D519,[1]STS!$E$9:$AO$1503,37,0))</f>
        <v>2.9451851080246949</v>
      </c>
      <c r="H519" s="84" t="str">
        <f>+IF(ISERROR(VLOOKUP(D519,[1]STS!$E$9:$I$1503,5,0)=0),0,VLOOKUP(D519,[1]STS!$E$9:$I$1503,5,0))</f>
        <v>FC</v>
      </c>
      <c r="I519" s="73"/>
      <c r="J519" s="74" t="str">
        <f>VLOOKUP(D519,[1]STS!$E$9:$BC$1359,51,0)</f>
        <v>GP3CK</v>
      </c>
      <c r="K519" s="75"/>
      <c r="L519" s="78" t="str">
        <f>+VLOOKUP(N519,'[1]MSTR AKT'!$C$4:$E$460,3,0)</f>
        <v>Etri 1</v>
      </c>
      <c r="M519" s="85">
        <f>+IF(ISERROR(VLOOKUP($N519,'[1]MSTR AKT'!$C$4:$D$460,2,0)=0),0,VLOOKUP($N519,'[1]MSTR AKT'!$C$4:$D$460,2,0))</f>
        <v>1315111111</v>
      </c>
      <c r="N519" s="76" t="s">
        <v>3</v>
      </c>
      <c r="O519" s="58" t="str">
        <f t="shared" si="24"/>
        <v>Ringan</v>
      </c>
      <c r="P519" s="59">
        <v>46001</v>
      </c>
      <c r="Q519" s="100">
        <v>3</v>
      </c>
      <c r="R519" s="101">
        <v>22.71</v>
      </c>
      <c r="S519" s="102">
        <f t="shared" si="23"/>
        <v>2276791.0500000003</v>
      </c>
    </row>
    <row r="520" spans="1:19" x14ac:dyDescent="0.35">
      <c r="A520" s="2" t="s">
        <v>33</v>
      </c>
      <c r="B520" s="68" t="str">
        <f>+VLOOKUP($D520,[1]STS!$A$9:$E$1405,3,0)</f>
        <v>06</v>
      </c>
      <c r="C520" s="86">
        <f>+VLOOKUP($D520,[1]STS!$A$9:$E$1405,4,0)</f>
        <v>22</v>
      </c>
      <c r="D520" s="107" t="s">
        <v>176</v>
      </c>
      <c r="E520" s="108">
        <f>+IF(ISERROR(VLOOKUP($D520,[1]STS!$E$9:$G$1503,3,0)=0),0,VLOOKUP($D520,[1]STS!$E$9:$G$1503,3,0))</f>
        <v>9.73</v>
      </c>
      <c r="F520" s="98">
        <v>9.73</v>
      </c>
      <c r="G520" s="99">
        <f>+IF(ISERROR(VLOOKUP(D520,[1]STS!$E$9:$AO$1503,37,0)=0),0,VLOOKUP(D520,[1]STS!$E$9:$AO$1503,37,0))</f>
        <v>6.1451851080246946</v>
      </c>
      <c r="H520" s="84" t="str">
        <f>+IF(ISERROR(VLOOKUP(D520,[1]STS!$E$9:$I$1503,5,0)=0),0,VLOOKUP(D520,[1]STS!$E$9:$I$1503,5,0))</f>
        <v>SC</v>
      </c>
      <c r="I520" s="73"/>
      <c r="J520" s="74" t="str">
        <f>VLOOKUP(D520,[1]STS!$E$9:$BC$1359,51,0)</f>
        <v>F18</v>
      </c>
      <c r="K520" s="75"/>
      <c r="L520" s="78" t="str">
        <f>+VLOOKUP(N520,'[1]MSTR AKT'!$C$4:$E$460,3,0)</f>
        <v>Etri 1</v>
      </c>
      <c r="M520" s="85">
        <f>+IF(ISERROR(VLOOKUP($N520,'[1]MSTR AKT'!$C$4:$D$460,2,0)=0),0,VLOOKUP($N520,'[1]MSTR AKT'!$C$4:$D$460,2,0))</f>
        <v>1315111111</v>
      </c>
      <c r="N520" s="76" t="s">
        <v>3</v>
      </c>
      <c r="O520" s="58" t="str">
        <f t="shared" si="24"/>
        <v>Ringan</v>
      </c>
      <c r="P520" s="59">
        <v>45998</v>
      </c>
      <c r="Q520" s="100">
        <v>3</v>
      </c>
      <c r="R520" s="101">
        <v>29.19</v>
      </c>
      <c r="S520" s="102">
        <f t="shared" si="23"/>
        <v>2926443.45</v>
      </c>
    </row>
    <row r="521" spans="1:19" x14ac:dyDescent="0.35">
      <c r="A521" s="2" t="s">
        <v>33</v>
      </c>
      <c r="B521" s="68" t="str">
        <f>+VLOOKUP($D521,[1]STS!$A$9:$E$1405,3,0)</f>
        <v>06</v>
      </c>
      <c r="C521" s="86">
        <f>+VLOOKUP($D521,[1]STS!$A$9:$E$1405,4,0)</f>
        <v>22</v>
      </c>
      <c r="D521" s="107" t="s">
        <v>303</v>
      </c>
      <c r="E521" s="108">
        <f>+IF(ISERROR(VLOOKUP($D521,[1]STS!$E$9:$G$1503,3,0)=0),0,VLOOKUP($D521,[1]STS!$E$9:$G$1503,3,0))</f>
        <v>9.51</v>
      </c>
      <c r="F521" s="98">
        <v>9.51</v>
      </c>
      <c r="G521" s="99">
        <f>+IF(ISERROR(VLOOKUP(D521,[1]STS!$E$9:$AO$1503,37,0)=0),0,VLOOKUP(D521,[1]STS!$E$9:$AO$1503,37,0))</f>
        <v>7.2451851080246952</v>
      </c>
      <c r="H521" s="84" t="str">
        <f>+IF(ISERROR(VLOOKUP(D521,[1]STS!$E$9:$I$1503,5,0)=0),0,VLOOKUP(D521,[1]STS!$E$9:$I$1503,5,0))</f>
        <v>SC</v>
      </c>
      <c r="I521" s="73"/>
      <c r="J521" s="74" t="str">
        <f>VLOOKUP(D521,[1]STS!$E$9:$BC$1359,51,0)</f>
        <v>F18</v>
      </c>
      <c r="K521" s="75"/>
      <c r="L521" s="78" t="str">
        <f>+VLOOKUP(N521,'[1]MSTR AKT'!$C$4:$E$460,3,0)</f>
        <v>Etri 1</v>
      </c>
      <c r="M521" s="85">
        <f>+IF(ISERROR(VLOOKUP($N521,'[1]MSTR AKT'!$C$4:$D$460,2,0)=0),0,VLOOKUP($N521,'[1]MSTR AKT'!$C$4:$D$460,2,0))</f>
        <v>1315111111</v>
      </c>
      <c r="N521" s="76" t="s">
        <v>3</v>
      </c>
      <c r="O521" s="58" t="str">
        <f t="shared" si="24"/>
        <v>Ringan</v>
      </c>
      <c r="P521" s="59">
        <v>46001</v>
      </c>
      <c r="Q521" s="100">
        <v>3</v>
      </c>
      <c r="R521" s="101">
        <v>28.53</v>
      </c>
      <c r="S521" s="102">
        <f t="shared" si="23"/>
        <v>2860275.15</v>
      </c>
    </row>
    <row r="522" spans="1:19" x14ac:dyDescent="0.35">
      <c r="A522" s="2" t="s">
        <v>33</v>
      </c>
      <c r="B522" s="68" t="str">
        <f>+VLOOKUP($D522,[1]STS!$A$9:$E$1405,3,0)</f>
        <v>06</v>
      </c>
      <c r="C522" s="86">
        <f>+VLOOKUP($D522,[1]STS!$A$9:$E$1405,4,0)</f>
        <v>23</v>
      </c>
      <c r="D522" s="107" t="s">
        <v>325</v>
      </c>
      <c r="E522" s="108">
        <f>+IF(ISERROR(VLOOKUP($D522,[1]STS!$E$9:$G$1503,3,0)=0),0,VLOOKUP($D522,[1]STS!$E$9:$G$1503,3,0))</f>
        <v>4.6900000000000004</v>
      </c>
      <c r="F522" s="98">
        <f>+E522</f>
        <v>4.6900000000000004</v>
      </c>
      <c r="G522" s="99">
        <f>+IF(ISERROR(VLOOKUP(D522,[1]STS!$E$9:$AO$1503,37,0)=0),0,VLOOKUP(D522,[1]STS!$E$9:$AO$1503,37,0))</f>
        <v>1.0785184413580282</v>
      </c>
      <c r="H522" s="84" t="str">
        <f>+IF(ISERROR(VLOOKUP(D522,[1]STS!$E$9:$I$1503,5,0)=0),0,VLOOKUP(D522,[1]STS!$E$9:$I$1503,5,0))</f>
        <v>FC</v>
      </c>
      <c r="I522" s="73"/>
      <c r="J522" s="66" t="str">
        <f>VLOOKUP(D522,[1]STS!$E$9:$BC$1359,51,0)</f>
        <v>F18CK</v>
      </c>
      <c r="K522" s="75"/>
      <c r="L522" s="78" t="str">
        <f>+VLOOKUP(N522,'[1]MSTR AKT'!$C$4:$E$460,3,0)</f>
        <v>Nugroho</v>
      </c>
      <c r="M522" s="85">
        <f>+IF(ISERROR(VLOOKUP($N522,'[1]MSTR AKT'!$C$4:$D$460,2,0)=0),0,VLOOKUP($N522,'[1]MSTR AKT'!$C$4:$D$460,2,0))</f>
        <v>1311131115</v>
      </c>
      <c r="N522" s="76" t="s">
        <v>37</v>
      </c>
      <c r="O522" s="58"/>
      <c r="P522" s="59">
        <v>46003</v>
      </c>
      <c r="Q522" s="100">
        <v>2</v>
      </c>
      <c r="R522" s="101">
        <f>+Q522*F522</f>
        <v>9.3800000000000008</v>
      </c>
      <c r="S522" s="102">
        <f>+R522*100255</f>
        <v>940391.9</v>
      </c>
    </row>
    <row r="523" spans="1:19" x14ac:dyDescent="0.35">
      <c r="A523" s="2" t="s">
        <v>33</v>
      </c>
      <c r="B523" s="68" t="str">
        <f>+VLOOKUP($D523,[1]STS!$A$9:$E$1405,3,0)</f>
        <v>06</v>
      </c>
      <c r="C523" s="86">
        <f>+VLOOKUP($D523,[1]STS!$A$9:$E$1405,4,0)</f>
        <v>23</v>
      </c>
      <c r="D523" s="107" t="s">
        <v>326</v>
      </c>
      <c r="E523" s="108">
        <f>+IF(ISERROR(VLOOKUP($D523,[1]STS!$E$9:$G$1503,3,0)=0),0,VLOOKUP($D523,[1]STS!$E$9:$G$1503,3,0))</f>
        <v>9.0500000000000007</v>
      </c>
      <c r="F523" s="98">
        <f>+E523</f>
        <v>9.0500000000000007</v>
      </c>
      <c r="G523" s="99">
        <f>+IF(ISERROR(VLOOKUP(D523,[1]STS!$E$9:$AO$1503,37,0)=0),0,VLOOKUP(D523,[1]STS!$E$9:$AO$1503,37,0))</f>
        <v>1.1451851080246949</v>
      </c>
      <c r="H523" s="84" t="str">
        <f>+IF(ISERROR(VLOOKUP(D523,[1]STS!$E$9:$I$1503,5,0)=0),0,VLOOKUP(D523,[1]STS!$E$9:$I$1503,5,0))</f>
        <v>FC</v>
      </c>
      <c r="I523" s="73"/>
      <c r="J523" s="66" t="str">
        <f>VLOOKUP(D523,[1]STS!$E$9:$BC$1359,51,0)</f>
        <v>F18CK</v>
      </c>
      <c r="K523" s="75"/>
      <c r="L523" s="78" t="str">
        <f>+VLOOKUP(N523,'[1]MSTR AKT'!$C$4:$E$460,3,0)</f>
        <v>Nugroho</v>
      </c>
      <c r="M523" s="85">
        <f>+IF(ISERROR(VLOOKUP($N523,'[1]MSTR AKT'!$C$4:$D$460,2,0)=0),0,VLOOKUP($N523,'[1]MSTR AKT'!$C$4:$D$460,2,0))</f>
        <v>1311131115</v>
      </c>
      <c r="N523" s="76" t="s">
        <v>37</v>
      </c>
      <c r="O523" s="58"/>
      <c r="P523" s="59">
        <v>46004</v>
      </c>
      <c r="Q523" s="100">
        <v>2</v>
      </c>
      <c r="R523" s="101">
        <f>+Q523*F523</f>
        <v>18.100000000000001</v>
      </c>
      <c r="S523" s="102">
        <f>+R523*100255</f>
        <v>1814615.5000000002</v>
      </c>
    </row>
    <row r="524" spans="1:19" x14ac:dyDescent="0.35">
      <c r="A524" s="2" t="s">
        <v>33</v>
      </c>
      <c r="B524" s="68" t="str">
        <f>+VLOOKUP($D524,[1]STS!$A$9:$E$1405,3,0)</f>
        <v>06</v>
      </c>
      <c r="C524" s="86">
        <f>+VLOOKUP($D524,[1]STS!$A$9:$E$1405,4,0)</f>
        <v>23</v>
      </c>
      <c r="D524" s="107" t="s">
        <v>84</v>
      </c>
      <c r="E524" s="108">
        <f>+IF(ISERROR(VLOOKUP($D524,[1]STS!$E$9:$G$1503,3,0)=0),0,VLOOKUP($D524,[1]STS!$E$9:$G$1503,3,0))</f>
        <v>4.71</v>
      </c>
      <c r="F524" s="98">
        <v>1</v>
      </c>
      <c r="G524" s="99">
        <f>+IF(ISERROR(VLOOKUP(D524,[1]STS!$E$9:$AO$1503,37,0)=0),0,VLOOKUP(D524,[1]STS!$E$9:$AO$1503,37,0))</f>
        <v>15.178518441358028</v>
      </c>
      <c r="H524" s="84" t="str">
        <f>+IF(ISERROR(VLOOKUP(D524,[1]STS!$E$9:$I$1503,5,0)=0),0,VLOOKUP(D524,[1]STS!$E$9:$I$1503,5,0))</f>
        <v>FC</v>
      </c>
      <c r="I524" s="73"/>
      <c r="J524" s="66" t="str">
        <f>VLOOKUP(D524,[1]STS!$E$9:$BC$1359,51,0)</f>
        <v>F18SS</v>
      </c>
      <c r="K524" s="75"/>
      <c r="L524" s="78" t="str">
        <f>+VLOOKUP(N524,'[1]MSTR AKT'!$C$4:$E$460,3,0)</f>
        <v>Etri 1</v>
      </c>
      <c r="M524" s="85">
        <f>+IF(ISERROR(VLOOKUP($N524,'[1]MSTR AKT'!$C$4:$D$460,2,0)=0),0,VLOOKUP($N524,'[1]MSTR AKT'!$C$4:$D$460,2,0))</f>
        <v>1319171111</v>
      </c>
      <c r="N524" s="76" t="s">
        <v>2</v>
      </c>
      <c r="O524" s="58"/>
      <c r="P524" s="58">
        <v>45999</v>
      </c>
      <c r="Q524" s="100">
        <v>650</v>
      </c>
      <c r="R524" s="101">
        <v>5.4615384615384617</v>
      </c>
      <c r="S524" s="102">
        <f>+R524*100255</f>
        <v>547546.5384615385</v>
      </c>
    </row>
    <row r="525" spans="1:19" x14ac:dyDescent="0.35">
      <c r="A525" s="2" t="s">
        <v>33</v>
      </c>
      <c r="B525" s="68" t="str">
        <f>+VLOOKUP($D525,[1]STS!$A$9:$E$1405,3,0)</f>
        <v>06</v>
      </c>
      <c r="C525" s="86">
        <f>+VLOOKUP($D525,[1]STS!$A$9:$E$1405,4,0)</f>
        <v>23</v>
      </c>
      <c r="D525" s="107" t="s">
        <v>202</v>
      </c>
      <c r="E525" s="108">
        <f>+IF(ISERROR(VLOOKUP($D525,[1]STS!$E$9:$G$1503,3,0)=0),0,VLOOKUP($D525,[1]STS!$E$9:$G$1503,3,0))</f>
        <v>7.7</v>
      </c>
      <c r="F525" s="98">
        <v>5.2</v>
      </c>
      <c r="G525" s="99">
        <f>+IF(ISERROR(VLOOKUP(D525,[1]STS!$E$9:$AO$1503,37,0)=0),0,VLOOKUP(D525,[1]STS!$E$9:$AO$1503,37,0))</f>
        <v>3.4785184413580281</v>
      </c>
      <c r="H525" s="84" t="str">
        <f>+IF(ISERROR(VLOOKUP(D525,[1]STS!$E$9:$I$1503,5,0)=0),0,VLOOKUP(D525,[1]STS!$E$9:$I$1503,5,0))</f>
        <v>FC</v>
      </c>
      <c r="I525" s="73"/>
      <c r="J525" s="66" t="str">
        <f>VLOOKUP(D525,[1]STS!$E$9:$BC$1359,51,0)</f>
        <v>GP3SS</v>
      </c>
      <c r="K525" s="75"/>
      <c r="L525" s="78" t="str">
        <f>+VLOOKUP(N525,'[1]MSTR AKT'!$C$4:$E$460,3,0)</f>
        <v>Widi</v>
      </c>
      <c r="M525" s="85">
        <f>+IF(ISERROR(VLOOKUP($N525,'[1]MSTR AKT'!$C$4:$D$460,2,0)=0),0,VLOOKUP($N525,'[1]MSTR AKT'!$C$4:$D$460,2,0))</f>
        <v>1317111113</v>
      </c>
      <c r="N525" s="76" t="s">
        <v>34</v>
      </c>
      <c r="O525" s="58"/>
      <c r="P525" s="58">
        <v>45999</v>
      </c>
      <c r="Q525" s="100">
        <v>200</v>
      </c>
      <c r="R525" s="101">
        <v>19.5</v>
      </c>
      <c r="S525" s="102">
        <f t="shared" ref="S525:S570" si="25">+R525*100255</f>
        <v>1954972.5</v>
      </c>
    </row>
    <row r="526" spans="1:19" x14ac:dyDescent="0.35">
      <c r="A526" s="2" t="s">
        <v>33</v>
      </c>
      <c r="B526" s="68" t="str">
        <f>+VLOOKUP($D526,[1]STS!$A$9:$E$1405,3,0)</f>
        <v>06</v>
      </c>
      <c r="C526" s="86">
        <f>+VLOOKUP($D526,[1]STS!$A$9:$E$1405,4,0)</f>
        <v>23</v>
      </c>
      <c r="D526" s="107" t="s">
        <v>323</v>
      </c>
      <c r="E526" s="108">
        <f>+IF(ISERROR(VLOOKUP($D526,[1]STS!$E$9:$G$1503,3,0)=0),0,VLOOKUP($D526,[1]STS!$E$9:$G$1503,3,0))</f>
        <v>13.88</v>
      </c>
      <c r="F526" s="98">
        <v>5.2</v>
      </c>
      <c r="G526" s="99">
        <f>+IF(ISERROR(VLOOKUP(D526,[1]STS!$E$9:$AO$1503,37,0)=0),0,VLOOKUP(D526,[1]STS!$E$9:$AO$1503,37,0))</f>
        <v>4.2451851080246952</v>
      </c>
      <c r="H526" s="84" t="str">
        <f>+IF(ISERROR(VLOOKUP(D526,[1]STS!$E$9:$I$1503,5,0)=0),0,VLOOKUP(D526,[1]STS!$E$9:$I$1503,5,0))</f>
        <v>FC</v>
      </c>
      <c r="I526" s="73"/>
      <c r="J526" s="66" t="str">
        <f>VLOOKUP(D526,[1]STS!$E$9:$BC$1359,51,0)</f>
        <v>F18CK</v>
      </c>
      <c r="K526" s="75"/>
      <c r="L526" s="78" t="str">
        <f>+VLOOKUP(N526,'[1]MSTR AKT'!$C$4:$E$460,3,0)</f>
        <v>Widi</v>
      </c>
      <c r="M526" s="85">
        <f>+IF(ISERROR(VLOOKUP($N526,'[1]MSTR AKT'!$C$4:$D$460,2,0)=0),0,VLOOKUP($N526,'[1]MSTR AKT'!$C$4:$D$460,2,0))</f>
        <v>1317111113</v>
      </c>
      <c r="N526" s="76" t="s">
        <v>34</v>
      </c>
      <c r="O526" s="58"/>
      <c r="P526" s="58">
        <v>45999</v>
      </c>
      <c r="Q526" s="100">
        <v>200</v>
      </c>
      <c r="R526" s="101">
        <v>19.5</v>
      </c>
      <c r="S526" s="102">
        <f t="shared" si="25"/>
        <v>1954972.5</v>
      </c>
    </row>
    <row r="527" spans="1:19" x14ac:dyDescent="0.35">
      <c r="A527" s="2" t="s">
        <v>33</v>
      </c>
      <c r="B527" s="68" t="str">
        <f>+VLOOKUP($D527,[1]STS!$A$9:$E$1405,3,0)</f>
        <v>06</v>
      </c>
      <c r="C527" s="86">
        <f>+VLOOKUP($D527,[1]STS!$A$9:$E$1405,4,0)</f>
        <v>23</v>
      </c>
      <c r="D527" s="107" t="s">
        <v>159</v>
      </c>
      <c r="E527" s="108">
        <f>+IF(ISERROR(VLOOKUP($D527,[1]STS!$E$9:$G$1503,3,0)=0),0,VLOOKUP($D527,[1]STS!$E$9:$G$1503,3,0))</f>
        <v>5.65</v>
      </c>
      <c r="F527" s="109">
        <v>4</v>
      </c>
      <c r="G527" s="99">
        <f>+IF(ISERROR(VLOOKUP(D527,[1]STS!$E$9:$AO$1503,37,0)=0),0,VLOOKUP(D527,[1]STS!$E$9:$AO$1503,37,0))</f>
        <v>2.1451851080246951</v>
      </c>
      <c r="H527" s="84" t="str">
        <f>+IF(ISERROR(VLOOKUP(D527,[1]STS!$E$9:$I$1503,5,0)=0),0,VLOOKUP(D527,[1]STS!$E$9:$I$1503,5,0))</f>
        <v>SC</v>
      </c>
      <c r="I527" s="73"/>
      <c r="J527" s="66" t="str">
        <f>VLOOKUP(D527,[1]STS!$E$9:$BC$1359,51,0)</f>
        <v>F18</v>
      </c>
      <c r="K527" s="75"/>
      <c r="L527" s="78" t="str">
        <f>+VLOOKUP(N527,'[1]MSTR AKT'!$C$4:$E$460,3,0)</f>
        <v>Widi</v>
      </c>
      <c r="M527" s="85">
        <f>+IF(ISERROR(VLOOKUP($N527,'[1]MSTR AKT'!$C$4:$D$460,2,0)=0),0,VLOOKUP($N527,'[1]MSTR AKT'!$C$4:$D$460,2,0))</f>
        <v>1317111113</v>
      </c>
      <c r="N527" s="76" t="s">
        <v>34</v>
      </c>
      <c r="O527" s="58"/>
      <c r="P527" s="58">
        <v>46003</v>
      </c>
      <c r="Q527" s="100">
        <v>200</v>
      </c>
      <c r="R527" s="101">
        <v>15</v>
      </c>
      <c r="S527" s="102">
        <f t="shared" si="25"/>
        <v>1503825</v>
      </c>
    </row>
    <row r="528" spans="1:19" x14ac:dyDescent="0.35">
      <c r="A528" s="2" t="s">
        <v>33</v>
      </c>
      <c r="B528" s="68" t="str">
        <f>+VLOOKUP($D528,[1]STS!$A$9:$E$1405,3,0)</f>
        <v>06</v>
      </c>
      <c r="C528" s="86">
        <f>+VLOOKUP($D528,[1]STS!$A$9:$E$1405,4,0)</f>
        <v>23</v>
      </c>
      <c r="D528" s="107" t="s">
        <v>156</v>
      </c>
      <c r="E528" s="108">
        <f>+IF(ISERROR(VLOOKUP($D528,[1]STS!$E$9:$G$1503,3,0)=0),0,VLOOKUP($D528,[1]STS!$E$9:$G$1503,3,0))</f>
        <v>12.28</v>
      </c>
      <c r="F528" s="109">
        <v>3.5</v>
      </c>
      <c r="G528" s="99">
        <f>+IF(ISERROR(VLOOKUP(D528,[1]STS!$E$9:$AO$1503,37,0)=0),0,VLOOKUP(D528,[1]STS!$E$9:$AO$1503,37,0))</f>
        <v>5.211851774691362</v>
      </c>
      <c r="H528" s="84" t="str">
        <f>+IF(ISERROR(VLOOKUP(D528,[1]STS!$E$9:$I$1503,5,0)=0),0,VLOOKUP(D528,[1]STS!$E$9:$I$1503,5,0))</f>
        <v>FC</v>
      </c>
      <c r="I528" s="73"/>
      <c r="J528" s="66" t="str">
        <f>VLOOKUP(D528,[1]STS!$E$9:$BC$1359,51,0)</f>
        <v>F18CK</v>
      </c>
      <c r="K528" s="75"/>
      <c r="L528" s="78" t="str">
        <f>+VLOOKUP(N528,'[1]MSTR AKT'!$C$4:$E$460,3,0)</f>
        <v>Widi</v>
      </c>
      <c r="M528" s="85">
        <f>+IF(ISERROR(VLOOKUP($N528,'[1]MSTR AKT'!$C$4:$D$460,2,0)=0),0,VLOOKUP($N528,'[1]MSTR AKT'!$C$4:$D$460,2,0))</f>
        <v>1317111113</v>
      </c>
      <c r="N528" s="76" t="s">
        <v>34</v>
      </c>
      <c r="O528" s="58"/>
      <c r="P528" s="58">
        <v>46003</v>
      </c>
      <c r="Q528" s="100">
        <v>200</v>
      </c>
      <c r="R528" s="101">
        <v>13.125</v>
      </c>
      <c r="S528" s="102">
        <f t="shared" si="25"/>
        <v>1315846.875</v>
      </c>
    </row>
    <row r="529" spans="1:19" x14ac:dyDescent="0.35">
      <c r="A529" s="2" t="s">
        <v>33</v>
      </c>
      <c r="B529" s="68" t="str">
        <f>+VLOOKUP($D529,[1]STS!$A$9:$E$1405,3,0)</f>
        <v>06</v>
      </c>
      <c r="C529" s="86">
        <f>+VLOOKUP($D529,[1]STS!$A$9:$E$1405,4,0)</f>
        <v>23</v>
      </c>
      <c r="D529" s="107" t="s">
        <v>158</v>
      </c>
      <c r="E529" s="108">
        <f>+IF(ISERROR(VLOOKUP($D529,[1]STS!$E$9:$G$1503,3,0)=0),0,VLOOKUP($D529,[1]STS!$E$9:$G$1503,3,0))</f>
        <v>8.76</v>
      </c>
      <c r="F529" s="109">
        <v>2.5</v>
      </c>
      <c r="G529" s="99">
        <f>+IF(ISERROR(VLOOKUP(D529,[1]STS!$E$9:$AO$1503,37,0)=0),0,VLOOKUP(D529,[1]STS!$E$9:$AO$1503,37,0))</f>
        <v>4.7451851080246952</v>
      </c>
      <c r="H529" s="84" t="str">
        <f>+IF(ISERROR(VLOOKUP(D529,[1]STS!$E$9:$I$1503,5,0)=0),0,VLOOKUP(D529,[1]STS!$E$9:$I$1503,5,0))</f>
        <v>FC</v>
      </c>
      <c r="I529" s="73"/>
      <c r="J529" s="66" t="str">
        <f>VLOOKUP(D529,[1]STS!$E$9:$BC$1359,51,0)</f>
        <v>F18CK</v>
      </c>
      <c r="K529" s="75"/>
      <c r="L529" s="78" t="str">
        <f>+VLOOKUP(N529,'[1]MSTR AKT'!$C$4:$E$460,3,0)</f>
        <v>Widi</v>
      </c>
      <c r="M529" s="85">
        <f>+IF(ISERROR(VLOOKUP($N529,'[1]MSTR AKT'!$C$4:$D$460,2,0)=0),0,VLOOKUP($N529,'[1]MSTR AKT'!$C$4:$D$460,2,0))</f>
        <v>1317111113</v>
      </c>
      <c r="N529" s="76" t="s">
        <v>34</v>
      </c>
      <c r="O529" s="58"/>
      <c r="P529" s="58">
        <v>46003</v>
      </c>
      <c r="Q529" s="100">
        <v>200</v>
      </c>
      <c r="R529" s="101">
        <v>9.375</v>
      </c>
      <c r="S529" s="102">
        <f t="shared" si="25"/>
        <v>939890.625</v>
      </c>
    </row>
    <row r="530" spans="1:19" x14ac:dyDescent="0.35">
      <c r="A530" s="2" t="s">
        <v>33</v>
      </c>
      <c r="B530" s="68" t="str">
        <f>+VLOOKUP($D530,[1]STS!$A$9:$E$1405,3,0)</f>
        <v>06</v>
      </c>
      <c r="C530" s="86">
        <f>+VLOOKUP($D530,[1]STS!$A$9:$E$1405,4,0)</f>
        <v>23</v>
      </c>
      <c r="D530" s="107" t="s">
        <v>309</v>
      </c>
      <c r="E530" s="108">
        <f>+IF(ISERROR(VLOOKUP($D530,[1]STS!$E$9:$G$1503,3,0)=0),0,VLOOKUP($D530,[1]STS!$E$9:$G$1503,3,0))</f>
        <v>10.15</v>
      </c>
      <c r="F530" s="109">
        <v>3</v>
      </c>
      <c r="G530" s="99">
        <f>+IF(ISERROR(VLOOKUP(D530,[1]STS!$E$9:$AO$1503,37,0)=0),0,VLOOKUP(D530,[1]STS!$E$9:$AO$1503,37,0))</f>
        <v>5.045185108024695</v>
      </c>
      <c r="H530" s="84" t="str">
        <f>+IF(ISERROR(VLOOKUP(D530,[1]STS!$E$9:$I$1503,5,0)=0),0,VLOOKUP(D530,[1]STS!$E$9:$I$1503,5,0))</f>
        <v>SC</v>
      </c>
      <c r="I530" s="73"/>
      <c r="J530" s="66" t="str">
        <f>VLOOKUP(D530,[1]STS!$E$9:$BC$1359,51,0)</f>
        <v>F18</v>
      </c>
      <c r="K530" s="75"/>
      <c r="L530" s="78" t="str">
        <f>+VLOOKUP(N530,'[1]MSTR AKT'!$C$4:$E$460,3,0)</f>
        <v>Widi</v>
      </c>
      <c r="M530" s="85">
        <f>+IF(ISERROR(VLOOKUP($N530,'[1]MSTR AKT'!$C$4:$D$460,2,0)=0),0,VLOOKUP($N530,'[1]MSTR AKT'!$C$4:$D$460,2,0))</f>
        <v>1317111113</v>
      </c>
      <c r="N530" s="76" t="s">
        <v>34</v>
      </c>
      <c r="O530" s="58"/>
      <c r="P530" s="58">
        <v>46003</v>
      </c>
      <c r="Q530" s="100">
        <v>200</v>
      </c>
      <c r="R530" s="101">
        <v>11.25</v>
      </c>
      <c r="S530" s="102">
        <f t="shared" si="25"/>
        <v>1127868.75</v>
      </c>
    </row>
    <row r="531" spans="1:19" x14ac:dyDescent="0.35">
      <c r="A531" s="2" t="s">
        <v>33</v>
      </c>
      <c r="B531" s="68" t="str">
        <f>+VLOOKUP($D531,[1]STS!$A$9:$E$1405,3,0)</f>
        <v>06</v>
      </c>
      <c r="C531" s="86">
        <f>+VLOOKUP($D531,[1]STS!$A$9:$E$1405,4,0)</f>
        <v>23</v>
      </c>
      <c r="D531" s="107" t="s">
        <v>318</v>
      </c>
      <c r="E531" s="108">
        <f>+IF(ISERROR(VLOOKUP($D531,[1]STS!$E$9:$G$1503,3,0)=0),0,VLOOKUP($D531,[1]STS!$E$9:$G$1503,3,0))</f>
        <v>6.95</v>
      </c>
      <c r="F531" s="109">
        <v>1.8</v>
      </c>
      <c r="G531" s="99">
        <f>+IF(ISERROR(VLOOKUP(D531,[1]STS!$E$9:$AO$1503,37,0)=0),0,VLOOKUP(D531,[1]STS!$E$9:$AO$1503,37,0))</f>
        <v>8.8118517746913607</v>
      </c>
      <c r="H531" s="84" t="str">
        <f>+IF(ISERROR(VLOOKUP(D531,[1]STS!$E$9:$I$1503,5,0)=0),0,VLOOKUP(D531,[1]STS!$E$9:$I$1503,5,0))</f>
        <v>SC</v>
      </c>
      <c r="I531" s="73"/>
      <c r="J531" s="66" t="str">
        <f>VLOOKUP(D531,[1]STS!$E$9:$BC$1359,51,0)</f>
        <v>F18</v>
      </c>
      <c r="K531" s="75"/>
      <c r="L531" s="78" t="str">
        <f>+VLOOKUP(N531,'[1]MSTR AKT'!$C$4:$E$460,3,0)</f>
        <v>Widi</v>
      </c>
      <c r="M531" s="85">
        <f>+IF(ISERROR(VLOOKUP($N531,'[1]MSTR AKT'!$C$4:$D$460,2,0)=0),0,VLOOKUP($N531,'[1]MSTR AKT'!$C$4:$D$460,2,0))</f>
        <v>1317111113</v>
      </c>
      <c r="N531" s="76" t="s">
        <v>34</v>
      </c>
      <c r="O531" s="58"/>
      <c r="P531" s="58">
        <v>46003</v>
      </c>
      <c r="Q531" s="100">
        <v>200</v>
      </c>
      <c r="R531" s="101">
        <v>6.75</v>
      </c>
      <c r="S531" s="102">
        <f t="shared" si="25"/>
        <v>676721.25</v>
      </c>
    </row>
    <row r="532" spans="1:19" x14ac:dyDescent="0.35">
      <c r="A532" s="2" t="s">
        <v>33</v>
      </c>
      <c r="B532" s="68" t="str">
        <f>+VLOOKUP($D532,[1]STS!$A$9:$E$1405,3,0)</f>
        <v>06</v>
      </c>
      <c r="C532" s="86">
        <f>+VLOOKUP($D532,[1]STS!$A$9:$E$1405,4,0)</f>
        <v>23</v>
      </c>
      <c r="D532" s="107" t="s">
        <v>117</v>
      </c>
      <c r="E532" s="108">
        <f>+IF(ISERROR(VLOOKUP($D532,[1]STS!$E$9:$G$1503,3,0)=0),0,VLOOKUP($D532,[1]STS!$E$9:$G$1503,3,0))</f>
        <v>11.24</v>
      </c>
      <c r="F532" s="109">
        <v>5.8</v>
      </c>
      <c r="G532" s="99">
        <f>+IF(ISERROR(VLOOKUP(D532,[1]STS!$E$9:$AO$1503,37,0)=0),0,VLOOKUP(D532,[1]STS!$E$9:$AO$1503,37,0))</f>
        <v>12.411851774691362</v>
      </c>
      <c r="H532" s="84" t="str">
        <f>+IF(ISERROR(VLOOKUP(D532,[1]STS!$E$9:$I$1503,5,0)=0),0,VLOOKUP(D532,[1]STS!$E$9:$I$1503,5,0))</f>
        <v>FC</v>
      </c>
      <c r="I532" s="73"/>
      <c r="J532" s="66" t="str">
        <f>VLOOKUP(D532,[1]STS!$E$9:$BC$1359,51,0)</f>
        <v>F18CK</v>
      </c>
      <c r="K532" s="75"/>
      <c r="L532" s="78" t="str">
        <f>+VLOOKUP(N532,'[1]MSTR AKT'!$C$4:$E$460,3,0)</f>
        <v>Widi</v>
      </c>
      <c r="M532" s="85">
        <f>+IF(ISERROR(VLOOKUP($N532,'[1]MSTR AKT'!$C$4:$D$460,2,0)=0),0,VLOOKUP($N532,'[1]MSTR AKT'!$C$4:$D$460,2,0))</f>
        <v>1317111113</v>
      </c>
      <c r="N532" s="76" t="s">
        <v>34</v>
      </c>
      <c r="O532" s="58"/>
      <c r="P532" s="58">
        <v>46003</v>
      </c>
      <c r="Q532" s="100">
        <v>200</v>
      </c>
      <c r="R532" s="101">
        <v>21.75</v>
      </c>
      <c r="S532" s="102">
        <f>+R532*100255</f>
        <v>2180546.25</v>
      </c>
    </row>
    <row r="533" spans="1:19" x14ac:dyDescent="0.35">
      <c r="A533" s="2" t="s">
        <v>33</v>
      </c>
      <c r="B533" s="68" t="str">
        <f>+VLOOKUP($D533,[1]STS!$A$9:$E$1405,3,0)</f>
        <v>06</v>
      </c>
      <c r="C533" s="86">
        <f>+VLOOKUP($D533,[1]STS!$A$9:$E$1405,4,0)</f>
        <v>23</v>
      </c>
      <c r="D533" s="107" t="s">
        <v>322</v>
      </c>
      <c r="E533" s="108">
        <f>+IF(ISERROR(VLOOKUP($D533,[1]STS!$E$9:$G$1503,3,0)=0),0,VLOOKUP($D533,[1]STS!$E$9:$G$1503,3,0))</f>
        <v>8.48</v>
      </c>
      <c r="F533" s="109">
        <v>4.3</v>
      </c>
      <c r="G533" s="99">
        <f>+IF(ISERROR(VLOOKUP(D533,[1]STS!$E$9:$AO$1503,37,0)=0),0,VLOOKUP(D533,[1]STS!$E$9:$AO$1503,37,0))</f>
        <v>2.1451851080246951</v>
      </c>
      <c r="H533" s="84" t="str">
        <f>+IF(ISERROR(VLOOKUP(D533,[1]STS!$E$9:$I$1503,5,0)=0),0,VLOOKUP(D533,[1]STS!$E$9:$I$1503,5,0))</f>
        <v>ST</v>
      </c>
      <c r="I533" s="73"/>
      <c r="J533" s="66" t="str">
        <f>VLOOKUP(D533,[1]STS!$E$9:$BC$1359,51,0)</f>
        <v>F18</v>
      </c>
      <c r="K533" s="75"/>
      <c r="L533" s="78" t="str">
        <f>+VLOOKUP(N533,'[1]MSTR AKT'!$C$4:$E$460,3,0)</f>
        <v>Widi</v>
      </c>
      <c r="M533" s="85">
        <f>+IF(ISERROR(VLOOKUP($N533,'[1]MSTR AKT'!$C$4:$D$460,2,0)=0),0,VLOOKUP($N533,'[1]MSTR AKT'!$C$4:$D$460,2,0))</f>
        <v>1317111113</v>
      </c>
      <c r="N533" s="76" t="s">
        <v>34</v>
      </c>
      <c r="O533" s="58"/>
      <c r="P533" s="58">
        <v>46003</v>
      </c>
      <c r="Q533" s="100">
        <v>200</v>
      </c>
      <c r="R533" s="101">
        <v>16.125</v>
      </c>
      <c r="S533" s="102">
        <f t="shared" si="25"/>
        <v>1616611.875</v>
      </c>
    </row>
    <row r="534" spans="1:19" x14ac:dyDescent="0.35">
      <c r="A534" s="2" t="s">
        <v>33</v>
      </c>
      <c r="B534" s="68" t="str">
        <f>+VLOOKUP($D534,[1]STS!$A$9:$E$1405,3,0)</f>
        <v>06</v>
      </c>
      <c r="C534" s="86">
        <f>+VLOOKUP($D534,[1]STS!$A$9:$E$1405,4,0)</f>
        <v>23</v>
      </c>
      <c r="D534" s="107" t="s">
        <v>324</v>
      </c>
      <c r="E534" s="108">
        <f>+IF(ISERROR(VLOOKUP($D534,[1]STS!$E$9:$G$1503,3,0)=0),0,VLOOKUP($D534,[1]STS!$E$9:$G$1503,3,0))</f>
        <v>7.58</v>
      </c>
      <c r="F534" s="109">
        <v>4.3</v>
      </c>
      <c r="G534" s="99">
        <f>+IF(ISERROR(VLOOKUP(D534,[1]STS!$E$9:$AO$1503,37,0)=0),0,VLOOKUP(D534,[1]STS!$E$9:$AO$1503,37,0))</f>
        <v>2.1451851080246951</v>
      </c>
      <c r="H534" s="84" t="str">
        <f>+IF(ISERROR(VLOOKUP(D534,[1]STS!$E$9:$I$1503,5,0)=0),0,VLOOKUP(D534,[1]STS!$E$9:$I$1503,5,0))</f>
        <v>ST</v>
      </c>
      <c r="I534" s="73"/>
      <c r="J534" s="66" t="str">
        <f>VLOOKUP(D534,[1]STS!$E$9:$BC$1359,51,0)</f>
        <v>F18</v>
      </c>
      <c r="K534" s="75"/>
      <c r="L534" s="78" t="str">
        <f>+VLOOKUP(N534,'[1]MSTR AKT'!$C$4:$E$460,3,0)</f>
        <v>Widi</v>
      </c>
      <c r="M534" s="85">
        <f>+IF(ISERROR(VLOOKUP($N534,'[1]MSTR AKT'!$C$4:$D$460,2,0)=0),0,VLOOKUP($N534,'[1]MSTR AKT'!$C$4:$D$460,2,0))</f>
        <v>1317111113</v>
      </c>
      <c r="N534" s="76" t="s">
        <v>34</v>
      </c>
      <c r="O534" s="58"/>
      <c r="P534" s="58">
        <v>46003</v>
      </c>
      <c r="Q534" s="100">
        <v>200</v>
      </c>
      <c r="R534" s="101">
        <v>16.125</v>
      </c>
      <c r="S534" s="102">
        <f>+R534*100255</f>
        <v>1616611.875</v>
      </c>
    </row>
    <row r="535" spans="1:19" x14ac:dyDescent="0.35">
      <c r="A535" s="2" t="s">
        <v>33</v>
      </c>
      <c r="B535" s="68" t="str">
        <f>+VLOOKUP($D535,[1]STS!$A$9:$E$1405,3,0)</f>
        <v>06</v>
      </c>
      <c r="C535" s="86">
        <f>+VLOOKUP($D535,[1]STS!$A$9:$E$1405,4,0)</f>
        <v>23</v>
      </c>
      <c r="D535" s="107" t="s">
        <v>156</v>
      </c>
      <c r="E535" s="108">
        <f>+IF(ISERROR(VLOOKUP($D535,[1]STS!$E$9:$G$1503,3,0)=0),0,VLOOKUP($D535,[1]STS!$E$9:$G$1503,3,0))</f>
        <v>12.28</v>
      </c>
      <c r="F535" s="109">
        <v>1</v>
      </c>
      <c r="G535" s="99">
        <f>+IF(ISERROR(VLOOKUP(D535,[1]STS!$E$9:$AO$1503,37,0)=0),0,VLOOKUP(D535,[1]STS!$E$9:$AO$1503,37,0))</f>
        <v>5.211851774691362</v>
      </c>
      <c r="H535" s="84" t="str">
        <f>+IF(ISERROR(VLOOKUP(D535,[1]STS!$E$9:$I$1503,5,0)=0),0,VLOOKUP(D535,[1]STS!$E$9:$I$1503,5,0))</f>
        <v>FC</v>
      </c>
      <c r="I535" s="73"/>
      <c r="J535" s="66" t="str">
        <f>VLOOKUP(D535,[1]STS!$E$9:$BC$1359,51,0)</f>
        <v>F18CK</v>
      </c>
      <c r="K535" s="75"/>
      <c r="L535" s="78" t="str">
        <f>+VLOOKUP(N535,'[1]MSTR AKT'!$C$4:$E$460,3,0)</f>
        <v>Widi</v>
      </c>
      <c r="M535" s="85">
        <f>+IF(ISERROR(VLOOKUP($N535,'[1]MSTR AKT'!$C$4:$D$460,2,0)=0),0,VLOOKUP($N535,'[1]MSTR AKT'!$C$4:$D$460,2,0))</f>
        <v>1117131111</v>
      </c>
      <c r="N535" s="76" t="s">
        <v>60</v>
      </c>
      <c r="O535" s="58"/>
      <c r="P535" s="58">
        <v>46003</v>
      </c>
      <c r="Q535" s="100">
        <v>170</v>
      </c>
      <c r="R535" s="101">
        <v>4.8571428571428568</v>
      </c>
      <c r="S535" s="102">
        <f t="shared" si="25"/>
        <v>486952.8571428571</v>
      </c>
    </row>
    <row r="536" spans="1:19" x14ac:dyDescent="0.35">
      <c r="A536" s="2" t="s">
        <v>33</v>
      </c>
      <c r="B536" s="68" t="str">
        <f>+VLOOKUP($D536,[1]STS!$A$9:$E$1405,3,0)</f>
        <v>06</v>
      </c>
      <c r="C536" s="86">
        <f>+VLOOKUP($D536,[1]STS!$A$9:$E$1405,4,0)</f>
        <v>23</v>
      </c>
      <c r="D536" s="107" t="s">
        <v>317</v>
      </c>
      <c r="E536" s="108">
        <f>+IF(ISERROR(VLOOKUP($D536,[1]STS!$E$9:$G$1503,3,0)=0),0,VLOOKUP($D536,[1]STS!$E$9:$G$1503,3,0))</f>
        <v>8.89</v>
      </c>
      <c r="F536" s="109">
        <v>0.8</v>
      </c>
      <c r="G536" s="99">
        <f>+IF(ISERROR(VLOOKUP(D536,[1]STS!$E$9:$AO$1503,37,0)=0),0,VLOOKUP(D536,[1]STS!$E$9:$AO$1503,37,0))</f>
        <v>1.8451851080246948</v>
      </c>
      <c r="H536" s="84" t="str">
        <f>+IF(ISERROR(VLOOKUP(D536,[1]STS!$E$9:$I$1503,5,0)=0),0,VLOOKUP(D536,[1]STS!$E$9:$I$1503,5,0))</f>
        <v>FC</v>
      </c>
      <c r="I536" s="73"/>
      <c r="J536" s="66" t="str">
        <f>VLOOKUP(D536,[1]STS!$E$9:$BC$1359,51,0)</f>
        <v>GP3CK</v>
      </c>
      <c r="K536" s="75"/>
      <c r="L536" s="78" t="str">
        <f>+VLOOKUP(N536,'[1]MSTR AKT'!$C$4:$E$460,3,0)</f>
        <v>Widi</v>
      </c>
      <c r="M536" s="85">
        <f>+IF(ISERROR(VLOOKUP($N536,'[1]MSTR AKT'!$C$4:$D$460,2,0)=0),0,VLOOKUP($N536,'[1]MSTR AKT'!$C$4:$D$460,2,0))</f>
        <v>1117131111</v>
      </c>
      <c r="N536" s="76" t="s">
        <v>60</v>
      </c>
      <c r="O536" s="58"/>
      <c r="P536" s="58">
        <v>46003</v>
      </c>
      <c r="Q536" s="100">
        <v>170</v>
      </c>
      <c r="R536" s="101">
        <v>3.8857142857142857</v>
      </c>
      <c r="S536" s="102">
        <f t="shared" si="25"/>
        <v>389562.28571428574</v>
      </c>
    </row>
    <row r="537" spans="1:19" x14ac:dyDescent="0.35">
      <c r="A537" s="2" t="s">
        <v>33</v>
      </c>
      <c r="B537" s="68" t="str">
        <f>+VLOOKUP($D537,[1]STS!$A$9:$E$1405,3,0)</f>
        <v>06</v>
      </c>
      <c r="C537" s="86">
        <f>+VLOOKUP($D537,[1]STS!$A$9:$E$1405,4,0)</f>
        <v>23</v>
      </c>
      <c r="D537" s="107" t="s">
        <v>324</v>
      </c>
      <c r="E537" s="108">
        <f>+IF(ISERROR(VLOOKUP($D537,[1]STS!$E$9:$G$1503,3,0)=0),0,VLOOKUP($D537,[1]STS!$E$9:$G$1503,3,0))</f>
        <v>7.58</v>
      </c>
      <c r="F537" s="109">
        <v>1.6</v>
      </c>
      <c r="G537" s="99">
        <f>+IF(ISERROR(VLOOKUP(D537,[1]STS!$E$9:$AO$1503,37,0)=0),0,VLOOKUP(D537,[1]STS!$E$9:$AO$1503,37,0))</f>
        <v>2.1451851080246951</v>
      </c>
      <c r="H537" s="84" t="str">
        <f>+IF(ISERROR(VLOOKUP(D537,[1]STS!$E$9:$I$1503,5,0)=0),0,VLOOKUP(D537,[1]STS!$E$9:$I$1503,5,0))</f>
        <v>ST</v>
      </c>
      <c r="I537" s="73"/>
      <c r="J537" s="66" t="str">
        <f>VLOOKUP(D537,[1]STS!$E$9:$BC$1359,51,0)</f>
        <v>F18</v>
      </c>
      <c r="K537" s="75"/>
      <c r="L537" s="78" t="str">
        <f>+VLOOKUP(N537,'[1]MSTR AKT'!$C$4:$E$460,3,0)</f>
        <v>Widi</v>
      </c>
      <c r="M537" s="85">
        <f>+IF(ISERROR(VLOOKUP($N537,'[1]MSTR AKT'!$C$4:$D$460,2,0)=0),0,VLOOKUP($N537,'[1]MSTR AKT'!$C$4:$D$460,2,0))</f>
        <v>1117131111</v>
      </c>
      <c r="N537" s="76" t="s">
        <v>60</v>
      </c>
      <c r="O537" s="58"/>
      <c r="P537" s="58">
        <v>46003</v>
      </c>
      <c r="Q537" s="100">
        <v>170</v>
      </c>
      <c r="R537" s="101">
        <v>7.7714285714285714</v>
      </c>
      <c r="S537" s="102">
        <f t="shared" si="25"/>
        <v>779124.57142857148</v>
      </c>
    </row>
    <row r="538" spans="1:19" x14ac:dyDescent="0.35">
      <c r="A538" s="2" t="s">
        <v>33</v>
      </c>
      <c r="B538" s="68" t="str">
        <f>+VLOOKUP($D538,[1]STS!$A$9:$E$1405,3,0)</f>
        <v>06</v>
      </c>
      <c r="C538" s="86">
        <f>+VLOOKUP($D538,[1]STS!$A$9:$E$1405,4,0)</f>
        <v>23</v>
      </c>
      <c r="D538" s="107" t="s">
        <v>322</v>
      </c>
      <c r="E538" s="108">
        <f>+IF(ISERROR(VLOOKUP($D538,[1]STS!$E$9:$G$1503,3,0)=0),0,VLOOKUP($D538,[1]STS!$E$9:$G$1503,3,0))</f>
        <v>8.48</v>
      </c>
      <c r="F538" s="109">
        <v>1.8</v>
      </c>
      <c r="G538" s="99">
        <f>+IF(ISERROR(VLOOKUP(D538,[1]STS!$E$9:$AO$1503,37,0)=0),0,VLOOKUP(D538,[1]STS!$E$9:$AO$1503,37,0))</f>
        <v>2.1451851080246951</v>
      </c>
      <c r="H538" s="84" t="str">
        <f>+IF(ISERROR(VLOOKUP(D538,[1]STS!$E$9:$I$1503,5,0)=0),0,VLOOKUP(D538,[1]STS!$E$9:$I$1503,5,0))</f>
        <v>ST</v>
      </c>
      <c r="I538" s="73"/>
      <c r="J538" s="66" t="str">
        <f>VLOOKUP(D538,[1]STS!$E$9:$BC$1359,51,0)</f>
        <v>F18</v>
      </c>
      <c r="K538" s="75"/>
      <c r="L538" s="78" t="str">
        <f>+VLOOKUP(N538,'[1]MSTR AKT'!$C$4:$E$460,3,0)</f>
        <v>Widi</v>
      </c>
      <c r="M538" s="85">
        <f>+IF(ISERROR(VLOOKUP($N538,'[1]MSTR AKT'!$C$4:$D$460,2,0)=0),0,VLOOKUP($N538,'[1]MSTR AKT'!$C$4:$D$460,2,0))</f>
        <v>1117131111</v>
      </c>
      <c r="N538" s="76" t="s">
        <v>60</v>
      </c>
      <c r="O538" s="58"/>
      <c r="P538" s="58">
        <v>46003</v>
      </c>
      <c r="Q538" s="100">
        <v>170</v>
      </c>
      <c r="R538" s="101">
        <v>8.742857142857142</v>
      </c>
      <c r="S538" s="102">
        <f t="shared" si="25"/>
        <v>876515.14285714272</v>
      </c>
    </row>
    <row r="539" spans="1:19" x14ac:dyDescent="0.35">
      <c r="A539" s="2" t="s">
        <v>33</v>
      </c>
      <c r="B539" s="68" t="str">
        <f>+VLOOKUP($D539,[1]STS!$A$9:$E$1405,3,0)</f>
        <v>06</v>
      </c>
      <c r="C539" s="86">
        <f>+VLOOKUP($D539,[1]STS!$A$9:$E$1405,4,0)</f>
        <v>23</v>
      </c>
      <c r="D539" s="107" t="s">
        <v>362</v>
      </c>
      <c r="E539" s="108">
        <f>+IF(ISERROR(VLOOKUP($D539,[1]STS!$E$9:$G$1503,3,0)=0),0,VLOOKUP($D539,[1]STS!$E$9:$G$1503,3,0))</f>
        <v>8.34</v>
      </c>
      <c r="F539" s="109">
        <v>1.8</v>
      </c>
      <c r="G539" s="99">
        <f>+IF(ISERROR(VLOOKUP(D539,[1]STS!$E$9:$AO$1503,37,0)=0),0,VLOOKUP(D539,[1]STS!$E$9:$AO$1503,37,0))</f>
        <v>0.54518510802469489</v>
      </c>
      <c r="H539" s="84" t="str">
        <f>+IF(ISERROR(VLOOKUP(D539,[1]STS!$E$9:$I$1503,5,0)=0),0,VLOOKUP(D539,[1]STS!$E$9:$I$1503,5,0))</f>
        <v>ST</v>
      </c>
      <c r="I539" s="73"/>
      <c r="J539" s="66" t="str">
        <f>VLOOKUP(D539,[1]STS!$E$9:$BC$1359,51,0)</f>
        <v>F18</v>
      </c>
      <c r="K539" s="75"/>
      <c r="L539" s="78" t="str">
        <f>+VLOOKUP(N539,'[1]MSTR AKT'!$C$4:$E$460,3,0)</f>
        <v>Widi</v>
      </c>
      <c r="M539" s="85">
        <f>+IF(ISERROR(VLOOKUP($N539,'[1]MSTR AKT'!$C$4:$D$460,2,0)=0),0,VLOOKUP($N539,'[1]MSTR AKT'!$C$4:$D$460,2,0))</f>
        <v>1117131111</v>
      </c>
      <c r="N539" s="76" t="s">
        <v>60</v>
      </c>
      <c r="O539" s="58"/>
      <c r="P539" s="58">
        <v>46003</v>
      </c>
      <c r="Q539" s="100">
        <v>170</v>
      </c>
      <c r="R539" s="101">
        <v>8.742857142857142</v>
      </c>
      <c r="S539" s="102">
        <f t="shared" si="25"/>
        <v>876515.14285714272</v>
      </c>
    </row>
    <row r="540" spans="1:19" x14ac:dyDescent="0.35">
      <c r="A540" s="2" t="s">
        <v>33</v>
      </c>
      <c r="B540" s="68" t="str">
        <f>+VLOOKUP($D540,[1]STS!$A$9:$E$1405,3,0)</f>
        <v>06</v>
      </c>
      <c r="C540" s="86">
        <f>+VLOOKUP($D540,[1]STS!$A$9:$E$1405,4,0)</f>
        <v>23</v>
      </c>
      <c r="D540" s="107" t="s">
        <v>323</v>
      </c>
      <c r="E540" s="108">
        <f>+IF(ISERROR(VLOOKUP($D540,[1]STS!$E$9:$G$1503,3,0)=0),0,VLOOKUP($D540,[1]STS!$E$9:$G$1503,3,0))</f>
        <v>13.88</v>
      </c>
      <c r="F540" s="109">
        <v>13.88</v>
      </c>
      <c r="G540" s="99">
        <f>+IF(ISERROR(VLOOKUP(D540,[1]STS!$E$9:$AO$1503,37,0)=0),0,VLOOKUP(D540,[1]STS!$E$9:$AO$1503,37,0))</f>
        <v>4.2451851080246952</v>
      </c>
      <c r="H540" s="84" t="str">
        <f>+IF(ISERROR(VLOOKUP(D540,[1]STS!$E$9:$I$1503,5,0)=0),0,VLOOKUP(D540,[1]STS!$E$9:$I$1503,5,0))</f>
        <v>FC</v>
      </c>
      <c r="I540" s="73"/>
      <c r="J540" s="66" t="str">
        <f>VLOOKUP(D540,[1]STS!$E$9:$BC$1359,51,0)</f>
        <v>F18CK</v>
      </c>
      <c r="K540" s="75"/>
      <c r="L540" s="78" t="str">
        <f>+VLOOKUP(N540,'[1]MSTR AKT'!$C$4:$E$460,3,0)</f>
        <v>Etri 2</v>
      </c>
      <c r="M540" s="85">
        <f>+IF(ISERROR(VLOOKUP($N540,'[1]MSTR AKT'!$C$4:$D$460,2,0)=0),0,VLOOKUP($N540,'[1]MSTR AKT'!$C$4:$D$460,2,0))</f>
        <v>1315131513</v>
      </c>
      <c r="N540" s="76" t="s">
        <v>8</v>
      </c>
      <c r="O540" s="58"/>
      <c r="P540" s="58">
        <v>46003</v>
      </c>
      <c r="Q540" s="100">
        <v>2</v>
      </c>
      <c r="R540" s="101">
        <v>27.76</v>
      </c>
      <c r="S540" s="102">
        <f t="shared" si="25"/>
        <v>2783078.8000000003</v>
      </c>
    </row>
    <row r="541" spans="1:19" x14ac:dyDescent="0.35">
      <c r="A541" s="2" t="s">
        <v>33</v>
      </c>
      <c r="B541" s="68" t="str">
        <f>+VLOOKUP($D541,[1]STS!$A$9:$E$1405,3,0)</f>
        <v>06</v>
      </c>
      <c r="C541" s="86">
        <f>+VLOOKUP($D541,[1]STS!$A$9:$E$1405,4,0)</f>
        <v>23</v>
      </c>
      <c r="D541" s="107" t="s">
        <v>202</v>
      </c>
      <c r="E541" s="108">
        <f>+IF(ISERROR(VLOOKUP($D541,[1]STS!$E$9:$G$1503,3,0)=0),0,VLOOKUP($D541,[1]STS!$E$9:$G$1503,3,0))</f>
        <v>7.7</v>
      </c>
      <c r="F541" s="109">
        <v>7.7</v>
      </c>
      <c r="G541" s="99">
        <f>+IF(ISERROR(VLOOKUP(D541,[1]STS!$E$9:$AO$1503,37,0)=0),0,VLOOKUP(D541,[1]STS!$E$9:$AO$1503,37,0))</f>
        <v>3.4785184413580281</v>
      </c>
      <c r="H541" s="84" t="str">
        <f>+IF(ISERROR(VLOOKUP(D541,[1]STS!$E$9:$I$1503,5,0)=0),0,VLOOKUP(D541,[1]STS!$E$9:$I$1503,5,0))</f>
        <v>FC</v>
      </c>
      <c r="I541" s="73"/>
      <c r="J541" s="66" t="str">
        <f>VLOOKUP(D541,[1]STS!$E$9:$BC$1359,51,0)</f>
        <v>GP3SS</v>
      </c>
      <c r="K541" s="75"/>
      <c r="L541" s="78" t="str">
        <f>+VLOOKUP(N541,'[1]MSTR AKT'!$C$4:$E$460,3,0)</f>
        <v>Etri 2</v>
      </c>
      <c r="M541" s="85">
        <f>+IF(ISERROR(VLOOKUP($N541,'[1]MSTR AKT'!$C$4:$D$460,2,0)=0),0,VLOOKUP($N541,'[1]MSTR AKT'!$C$4:$D$460,2,0))</f>
        <v>1315131513</v>
      </c>
      <c r="N541" s="76" t="s">
        <v>8</v>
      </c>
      <c r="O541" s="58"/>
      <c r="P541" s="58">
        <v>46003</v>
      </c>
      <c r="Q541" s="100">
        <v>2</v>
      </c>
      <c r="R541" s="101">
        <v>15.4</v>
      </c>
      <c r="S541" s="102">
        <f t="shared" si="25"/>
        <v>1543927</v>
      </c>
    </row>
    <row r="542" spans="1:19" x14ac:dyDescent="0.35">
      <c r="A542" s="2" t="s">
        <v>33</v>
      </c>
      <c r="B542" s="68" t="str">
        <f>+VLOOKUP($D542,[1]STS!$A$9:$E$1405,3,0)</f>
        <v>06</v>
      </c>
      <c r="C542" s="86">
        <f>+VLOOKUP($D542,[1]STS!$A$9:$E$1405,4,0)</f>
        <v>23</v>
      </c>
      <c r="D542" s="107" t="s">
        <v>299</v>
      </c>
      <c r="E542" s="108">
        <f>+IF(ISERROR(VLOOKUP($D542,[1]STS!$E$9:$G$1503,3,0)=0),0,VLOOKUP($D542,[1]STS!$E$9:$G$1503,3,0))</f>
        <v>5.7</v>
      </c>
      <c r="F542" s="109">
        <v>5.7</v>
      </c>
      <c r="G542" s="99">
        <f>+IF(ISERROR(VLOOKUP(D542,[1]STS!$E$9:$AO$1503,37,0)=0),0,VLOOKUP(D542,[1]STS!$E$9:$AO$1503,37,0))</f>
        <v>3.0785184413580282</v>
      </c>
      <c r="H542" s="84" t="str">
        <f>+IF(ISERROR(VLOOKUP(D542,[1]STS!$E$9:$I$1503,5,0)=0),0,VLOOKUP(D542,[1]STS!$E$9:$I$1503,5,0))</f>
        <v>FC</v>
      </c>
      <c r="I542" s="73"/>
      <c r="J542" s="66" t="str">
        <f>VLOOKUP(D542,[1]STS!$E$9:$BC$1359,51,0)</f>
        <v>F18SS</v>
      </c>
      <c r="K542" s="75"/>
      <c r="L542" s="78" t="str">
        <f>+VLOOKUP(N542,'[1]MSTR AKT'!$C$4:$E$460,3,0)</f>
        <v>Etri 2</v>
      </c>
      <c r="M542" s="85">
        <f>+IF(ISERROR(VLOOKUP($N542,'[1]MSTR AKT'!$C$4:$D$460,2,0)=0),0,VLOOKUP($N542,'[1]MSTR AKT'!$C$4:$D$460,2,0))</f>
        <v>1315131513</v>
      </c>
      <c r="N542" s="76" t="s">
        <v>8</v>
      </c>
      <c r="O542" s="58"/>
      <c r="P542" s="58">
        <v>46003</v>
      </c>
      <c r="Q542" s="100">
        <v>2</v>
      </c>
      <c r="R542" s="101">
        <v>11.4</v>
      </c>
      <c r="S542" s="102">
        <f t="shared" si="25"/>
        <v>1142907</v>
      </c>
    </row>
    <row r="543" spans="1:19" x14ac:dyDescent="0.35">
      <c r="A543" s="2" t="s">
        <v>33</v>
      </c>
      <c r="B543" s="68" t="str">
        <f>+VLOOKUP($D543,[1]STS!$A$9:$E$1405,3,0)</f>
        <v>06</v>
      </c>
      <c r="C543" s="86">
        <f>+VLOOKUP($D543,[1]STS!$A$9:$E$1405,4,0)</f>
        <v>23</v>
      </c>
      <c r="D543" s="107" t="s">
        <v>85</v>
      </c>
      <c r="E543" s="108">
        <f>+IF(ISERROR(VLOOKUP($D543,[1]STS!$E$9:$G$1503,3,0)=0),0,VLOOKUP($D543,[1]STS!$E$9:$G$1503,3,0))</f>
        <v>13.48</v>
      </c>
      <c r="F543" s="109">
        <v>13.48</v>
      </c>
      <c r="G543" s="99">
        <f>+IF(ISERROR(VLOOKUP(D543,[1]STS!$E$9:$AO$1503,37,0)=0),0,VLOOKUP(D543,[1]STS!$E$9:$AO$1503,37,0))</f>
        <v>1.6118517746913616</v>
      </c>
      <c r="H543" s="84" t="str">
        <f>+IF(ISERROR(VLOOKUP(D543,[1]STS!$E$9:$I$1503,5,0)=0),0,VLOOKUP(D543,[1]STS!$E$9:$I$1503,5,0))</f>
        <v>SC</v>
      </c>
      <c r="I543" s="73"/>
      <c r="J543" s="66" t="str">
        <f>VLOOKUP(D543,[1]STS!$E$9:$BC$1359,51,0)</f>
        <v>F18</v>
      </c>
      <c r="K543" s="75"/>
      <c r="L543" s="78" t="str">
        <f>+VLOOKUP(N543,'[1]MSTR AKT'!$C$4:$E$460,3,0)</f>
        <v>Etri 2</v>
      </c>
      <c r="M543" s="85">
        <f>+IF(ISERROR(VLOOKUP($N543,'[1]MSTR AKT'!$C$4:$D$460,2,0)=0),0,VLOOKUP($N543,'[1]MSTR AKT'!$C$4:$D$460,2,0))</f>
        <v>1315131513</v>
      </c>
      <c r="N543" s="76" t="s">
        <v>8</v>
      </c>
      <c r="O543" s="58"/>
      <c r="P543" s="58">
        <v>46003</v>
      </c>
      <c r="Q543" s="100">
        <v>0.5</v>
      </c>
      <c r="R543" s="101">
        <v>6.74</v>
      </c>
      <c r="S543" s="102">
        <f t="shared" si="25"/>
        <v>675718.70000000007</v>
      </c>
    </row>
    <row r="544" spans="1:19" x14ac:dyDescent="0.35">
      <c r="A544" s="2" t="s">
        <v>33</v>
      </c>
      <c r="B544" s="68" t="str">
        <f>+VLOOKUP($D544,[1]STS!$A$9:$E$1405,3,0)</f>
        <v>06</v>
      </c>
      <c r="C544" s="86">
        <f>+VLOOKUP($D544,[1]STS!$A$9:$E$1405,4,0)</f>
        <v>23</v>
      </c>
      <c r="D544" s="107" t="s">
        <v>316</v>
      </c>
      <c r="E544" s="108">
        <f>+IF(ISERROR(VLOOKUP($D544,[1]STS!$E$9:$G$1503,3,0)=0),0,VLOOKUP($D544,[1]STS!$E$9:$G$1503,3,0))</f>
        <v>9.09</v>
      </c>
      <c r="F544" s="109">
        <v>9.09</v>
      </c>
      <c r="G544" s="99">
        <f>+IF(ISERROR(VLOOKUP(D544,[1]STS!$E$9:$AO$1503,37,0)=0),0,VLOOKUP(D544,[1]STS!$E$9:$AO$1503,37,0))</f>
        <v>9.7118517746913611</v>
      </c>
      <c r="H544" s="84" t="str">
        <f>+IF(ISERROR(VLOOKUP(D544,[1]STS!$E$9:$I$1503,5,0)=0),0,VLOOKUP(D544,[1]STS!$E$9:$I$1503,5,0))</f>
        <v>SC</v>
      </c>
      <c r="I544" s="73"/>
      <c r="J544" s="66" t="str">
        <f>VLOOKUP(D544,[1]STS!$E$9:$BC$1359,51,0)</f>
        <v>F18</v>
      </c>
      <c r="K544" s="75"/>
      <c r="L544" s="78" t="str">
        <f>+VLOOKUP(N544,'[1]MSTR AKT'!$C$4:$E$460,3,0)</f>
        <v>Etri 2</v>
      </c>
      <c r="M544" s="85">
        <f>+IF(ISERROR(VLOOKUP($N544,'[1]MSTR AKT'!$C$4:$D$460,2,0)=0),0,VLOOKUP($N544,'[1]MSTR AKT'!$C$4:$D$460,2,0))</f>
        <v>1315131513</v>
      </c>
      <c r="N544" s="76" t="s">
        <v>8</v>
      </c>
      <c r="O544" s="58"/>
      <c r="P544" s="58">
        <v>46003</v>
      </c>
      <c r="Q544" s="100">
        <v>0.5</v>
      </c>
      <c r="R544" s="101">
        <v>4.5449999999999999</v>
      </c>
      <c r="S544" s="102">
        <f t="shared" si="25"/>
        <v>455658.97499999998</v>
      </c>
    </row>
    <row r="545" spans="1:19" x14ac:dyDescent="0.35">
      <c r="A545" s="2" t="s">
        <v>33</v>
      </c>
      <c r="B545" s="68" t="str">
        <f>+VLOOKUP($D545,[1]STS!$A$9:$E$1405,3,0)</f>
        <v>06</v>
      </c>
      <c r="C545" s="86">
        <f>+VLOOKUP($D545,[1]STS!$A$9:$E$1405,4,0)</f>
        <v>23</v>
      </c>
      <c r="D545" s="107" t="s">
        <v>160</v>
      </c>
      <c r="E545" s="108">
        <f>+IF(ISERROR(VLOOKUP($D545,[1]STS!$E$9:$G$1503,3,0)=0),0,VLOOKUP($D545,[1]STS!$E$9:$G$1503,3,0))</f>
        <v>10.41</v>
      </c>
      <c r="F545" s="109">
        <v>10.41</v>
      </c>
      <c r="G545" s="99">
        <f>+IF(ISERROR(VLOOKUP(D545,[1]STS!$E$9:$AO$1503,37,0)=0),0,VLOOKUP(D545,[1]STS!$E$9:$AO$1503,37,0))</f>
        <v>9.1118517746913614</v>
      </c>
      <c r="H545" s="84" t="str">
        <f>+IF(ISERROR(VLOOKUP(D545,[1]STS!$E$9:$I$1503,5,0)=0),0,VLOOKUP(D545,[1]STS!$E$9:$I$1503,5,0))</f>
        <v>SC</v>
      </c>
      <c r="I545" s="73"/>
      <c r="J545" s="66" t="str">
        <f>VLOOKUP(D545,[1]STS!$E$9:$BC$1359,51,0)</f>
        <v>F18</v>
      </c>
      <c r="K545" s="75"/>
      <c r="L545" s="78" t="str">
        <f>+VLOOKUP(N545,'[1]MSTR AKT'!$C$4:$E$460,3,0)</f>
        <v>Etri 2</v>
      </c>
      <c r="M545" s="85">
        <f>+IF(ISERROR(VLOOKUP($N545,'[1]MSTR AKT'!$C$4:$D$460,2,0)=0),0,VLOOKUP($N545,'[1]MSTR AKT'!$C$4:$D$460,2,0))</f>
        <v>1315131513</v>
      </c>
      <c r="N545" s="76" t="s">
        <v>8</v>
      </c>
      <c r="O545" s="58"/>
      <c r="P545" s="58">
        <v>46003</v>
      </c>
      <c r="Q545" s="100">
        <v>0.5</v>
      </c>
      <c r="R545" s="101">
        <v>5.2050000000000001</v>
      </c>
      <c r="S545" s="102">
        <f t="shared" si="25"/>
        <v>521827.27500000002</v>
      </c>
    </row>
    <row r="546" spans="1:19" x14ac:dyDescent="0.35">
      <c r="A546" s="2" t="s">
        <v>33</v>
      </c>
      <c r="B546" s="68" t="str">
        <f>+VLOOKUP($D546,[1]STS!$A$9:$E$1405,3,0)</f>
        <v>06</v>
      </c>
      <c r="C546" s="86">
        <f>+VLOOKUP($D546,[1]STS!$A$9:$E$1405,4,0)</f>
        <v>23</v>
      </c>
      <c r="D546" s="107" t="s">
        <v>326</v>
      </c>
      <c r="E546" s="108">
        <f>+IF(ISERROR(VLOOKUP($D546,[1]STS!$E$9:$G$1503,3,0)=0),0,VLOOKUP($D546,[1]STS!$E$9:$G$1503,3,0))</f>
        <v>9.0500000000000007</v>
      </c>
      <c r="F546" s="109">
        <v>9.0500000000000007</v>
      </c>
      <c r="G546" s="99">
        <f>+IF(ISERROR(VLOOKUP(D546,[1]STS!$E$9:$AO$1503,37,0)=0),0,VLOOKUP(D546,[1]STS!$E$9:$AO$1503,37,0))</f>
        <v>1.1451851080246949</v>
      </c>
      <c r="H546" s="84" t="str">
        <f>+IF(ISERROR(VLOOKUP(D546,[1]STS!$E$9:$I$1503,5,0)=0),0,VLOOKUP(D546,[1]STS!$E$9:$I$1503,5,0))</f>
        <v>FC</v>
      </c>
      <c r="I546" s="73"/>
      <c r="J546" s="66" t="str">
        <f>VLOOKUP(D546,[1]STS!$E$9:$BC$1359,51,0)</f>
        <v>F18CK</v>
      </c>
      <c r="K546" s="75"/>
      <c r="L546" s="78" t="str">
        <f>+VLOOKUP(N546,'[1]MSTR AKT'!$C$4:$E$460,3,0)</f>
        <v>Etri 2</v>
      </c>
      <c r="M546" s="85">
        <f>+IF(ISERROR(VLOOKUP($N546,'[1]MSTR AKT'!$C$4:$D$460,2,0)=0),0,VLOOKUP($N546,'[1]MSTR AKT'!$C$4:$D$460,2,0))</f>
        <v>1315131513</v>
      </c>
      <c r="N546" s="76" t="s">
        <v>8</v>
      </c>
      <c r="O546" s="58"/>
      <c r="P546" s="58">
        <v>46003</v>
      </c>
      <c r="Q546" s="100">
        <v>3</v>
      </c>
      <c r="R546" s="101">
        <v>27.150000000000002</v>
      </c>
      <c r="S546" s="102">
        <f t="shared" si="25"/>
        <v>2721923.25</v>
      </c>
    </row>
    <row r="547" spans="1:19" x14ac:dyDescent="0.35">
      <c r="A547" s="2" t="s">
        <v>33</v>
      </c>
      <c r="B547" s="68" t="str">
        <f>+VLOOKUP($D547,[1]STS!$A$9:$E$1405,3,0)</f>
        <v>06</v>
      </c>
      <c r="C547" s="86">
        <f>+VLOOKUP($D547,[1]STS!$A$9:$E$1405,4,0)</f>
        <v>23</v>
      </c>
      <c r="D547" s="107" t="s">
        <v>325</v>
      </c>
      <c r="E547" s="108">
        <f>+IF(ISERROR(VLOOKUP($D547,[1]STS!$E$9:$G$1503,3,0)=0),0,VLOOKUP($D547,[1]STS!$E$9:$G$1503,3,0))</f>
        <v>4.6900000000000004</v>
      </c>
      <c r="F547" s="109">
        <v>4.6900000000000004</v>
      </c>
      <c r="G547" s="99">
        <f>+IF(ISERROR(VLOOKUP(D547,[1]STS!$E$9:$AO$1503,37,0)=0),0,VLOOKUP(D547,[1]STS!$E$9:$AO$1503,37,0))</f>
        <v>1.0785184413580282</v>
      </c>
      <c r="H547" s="84" t="str">
        <f>+IF(ISERROR(VLOOKUP(D547,[1]STS!$E$9:$I$1503,5,0)=0),0,VLOOKUP(D547,[1]STS!$E$9:$I$1503,5,0))</f>
        <v>FC</v>
      </c>
      <c r="I547" s="73"/>
      <c r="J547" s="66" t="str">
        <f>VLOOKUP(D547,[1]STS!$E$9:$BC$1359,51,0)</f>
        <v>F18CK</v>
      </c>
      <c r="K547" s="75"/>
      <c r="L547" s="78" t="str">
        <f>+VLOOKUP(N547,'[1]MSTR AKT'!$C$4:$E$460,3,0)</f>
        <v>Etri 2</v>
      </c>
      <c r="M547" s="85">
        <f>+IF(ISERROR(VLOOKUP($N547,'[1]MSTR AKT'!$C$4:$D$460,2,0)=0),0,VLOOKUP($N547,'[1]MSTR AKT'!$C$4:$D$460,2,0))</f>
        <v>1315131513</v>
      </c>
      <c r="N547" s="76" t="s">
        <v>8</v>
      </c>
      <c r="O547" s="58"/>
      <c r="P547" s="58">
        <v>46003</v>
      </c>
      <c r="Q547" s="100">
        <v>3</v>
      </c>
      <c r="R547" s="101">
        <v>14.07</v>
      </c>
      <c r="S547" s="102">
        <f t="shared" si="25"/>
        <v>1410587.85</v>
      </c>
    </row>
    <row r="548" spans="1:19" x14ac:dyDescent="0.35">
      <c r="A548" s="2" t="s">
        <v>33</v>
      </c>
      <c r="B548" s="68" t="str">
        <f>+VLOOKUP($D548,[1]STS!$A$9:$E$1405,3,0)</f>
        <v>06</v>
      </c>
      <c r="C548" s="86">
        <f>+VLOOKUP($D548,[1]STS!$A$9:$E$1405,4,0)</f>
        <v>23</v>
      </c>
      <c r="D548" s="107" t="s">
        <v>178</v>
      </c>
      <c r="E548" s="108">
        <f>+IF(ISERROR(VLOOKUP($D548,[1]STS!$E$9:$G$1503,3,0)=0),0,VLOOKUP($D548,[1]STS!$E$9:$G$1503,3,0))</f>
        <v>6.34</v>
      </c>
      <c r="F548" s="109">
        <v>3.8039999999999998</v>
      </c>
      <c r="G548" s="99">
        <f>+IF(ISERROR(VLOOKUP(D548,[1]STS!$E$9:$AO$1503,37,0)=0),0,VLOOKUP(D548,[1]STS!$E$9:$AO$1503,37,0))</f>
        <v>11.678518441358028</v>
      </c>
      <c r="H548" s="84" t="str">
        <f>+IF(ISERROR(VLOOKUP(D548,[1]STS!$E$9:$I$1503,5,0)=0),0,VLOOKUP(D548,[1]STS!$E$9:$I$1503,5,0))</f>
        <v>FC</v>
      </c>
      <c r="I548" s="73"/>
      <c r="J548" s="66" t="str">
        <f>VLOOKUP(D548,[1]STS!$E$9:$BC$1359,51,0)</f>
        <v>F18SK</v>
      </c>
      <c r="K548" s="75"/>
      <c r="L548" s="78" t="str">
        <f>+VLOOKUP(N548,'[1]MSTR AKT'!$C$4:$E$460,3,0)</f>
        <v>Etri 2</v>
      </c>
      <c r="M548" s="85">
        <f>+IF(ISERROR(VLOOKUP($N548,'[1]MSTR AKT'!$C$4:$D$460,2,0)=0),0,VLOOKUP($N548,'[1]MSTR AKT'!$C$4:$D$460,2,0))</f>
        <v>1315131517</v>
      </c>
      <c r="N548" s="76" t="s">
        <v>4</v>
      </c>
      <c r="O548" s="58"/>
      <c r="P548" s="58">
        <v>46003</v>
      </c>
      <c r="Q548" s="100">
        <v>1</v>
      </c>
      <c r="R548" s="101">
        <v>3.8039999999999998</v>
      </c>
      <c r="S548" s="102">
        <f t="shared" si="25"/>
        <v>381370.01999999996</v>
      </c>
    </row>
    <row r="549" spans="1:19" x14ac:dyDescent="0.35">
      <c r="A549" s="2" t="s">
        <v>33</v>
      </c>
      <c r="B549" s="68" t="str">
        <f>+VLOOKUP($D549,[1]STS!$A$9:$E$1405,3,0)</f>
        <v>06</v>
      </c>
      <c r="C549" s="86">
        <f>+VLOOKUP($D549,[1]STS!$A$9:$E$1405,4,0)</f>
        <v>23</v>
      </c>
      <c r="D549" s="107" t="s">
        <v>179</v>
      </c>
      <c r="E549" s="108">
        <f>+IF(ISERROR(VLOOKUP($D549,[1]STS!$E$9:$G$1503,3,0)=0),0,VLOOKUP($D549,[1]STS!$E$9:$G$1503,3,0))</f>
        <v>7.31</v>
      </c>
      <c r="F549" s="109">
        <v>4.3859999999999992</v>
      </c>
      <c r="G549" s="99">
        <f>+IF(ISERROR(VLOOKUP(D549,[1]STS!$E$9:$AO$1503,37,0)=0),0,VLOOKUP(D549,[1]STS!$E$9:$AO$1503,37,0))</f>
        <v>11.878518441358029</v>
      </c>
      <c r="H549" s="84" t="str">
        <f>+IF(ISERROR(VLOOKUP(D549,[1]STS!$E$9:$I$1503,5,0)=0),0,VLOOKUP(D549,[1]STS!$E$9:$I$1503,5,0))</f>
        <v>FC</v>
      </c>
      <c r="I549" s="73"/>
      <c r="J549" s="66" t="str">
        <f>VLOOKUP(D549,[1]STS!$E$9:$BC$1359,51,0)</f>
        <v>F18SS</v>
      </c>
      <c r="K549" s="75"/>
      <c r="L549" s="78" t="str">
        <f>+VLOOKUP(N549,'[1]MSTR AKT'!$C$4:$E$460,3,0)</f>
        <v>Etri 2</v>
      </c>
      <c r="M549" s="85">
        <f>+IF(ISERROR(VLOOKUP($N549,'[1]MSTR AKT'!$C$4:$D$460,2,0)=0),0,VLOOKUP($N549,'[1]MSTR AKT'!$C$4:$D$460,2,0))</f>
        <v>1315131517</v>
      </c>
      <c r="N549" s="76" t="s">
        <v>4</v>
      </c>
      <c r="O549" s="58"/>
      <c r="P549" s="58">
        <v>46003</v>
      </c>
      <c r="Q549" s="100">
        <v>1</v>
      </c>
      <c r="R549" s="101">
        <v>4.3859999999999992</v>
      </c>
      <c r="S549" s="102">
        <f t="shared" si="25"/>
        <v>439718.42999999993</v>
      </c>
    </row>
    <row r="550" spans="1:19" x14ac:dyDescent="0.35">
      <c r="A550" s="2" t="s">
        <v>33</v>
      </c>
      <c r="B550" s="68" t="str">
        <f>+VLOOKUP($D550,[1]STS!$A$9:$E$1405,3,0)</f>
        <v>06</v>
      </c>
      <c r="C550" s="86">
        <f>+VLOOKUP($D550,[1]STS!$A$9:$E$1405,4,0)</f>
        <v>23</v>
      </c>
      <c r="D550" s="107" t="s">
        <v>222</v>
      </c>
      <c r="E550" s="108">
        <f>+IF(ISERROR(VLOOKUP($D550,[1]STS!$E$9:$G$1503,3,0)=0),0,VLOOKUP($D550,[1]STS!$E$9:$G$1503,3,0))</f>
        <v>6.85</v>
      </c>
      <c r="F550" s="109">
        <v>4.1099999999999994</v>
      </c>
      <c r="G550" s="99">
        <f>+IF(ISERROR(VLOOKUP(D550,[1]STS!$E$9:$AO$1503,37,0)=0),0,VLOOKUP(D550,[1]STS!$E$9:$AO$1503,37,0))</f>
        <v>4.378518441358028</v>
      </c>
      <c r="H550" s="84" t="str">
        <f>+IF(ISERROR(VLOOKUP(D550,[1]STS!$E$9:$I$1503,5,0)=0),0,VLOOKUP(D550,[1]STS!$E$9:$I$1503,5,0))</f>
        <v>FC</v>
      </c>
      <c r="I550" s="73"/>
      <c r="J550" s="66" t="str">
        <f>VLOOKUP(D550,[1]STS!$E$9:$BC$1359,51,0)</f>
        <v>F18CK</v>
      </c>
      <c r="K550" s="75"/>
      <c r="L550" s="78" t="str">
        <f>+VLOOKUP(N550,'[1]MSTR AKT'!$C$4:$E$460,3,0)</f>
        <v>Etri 2</v>
      </c>
      <c r="M550" s="85">
        <f>+IF(ISERROR(VLOOKUP($N550,'[1]MSTR AKT'!$C$4:$D$460,2,0)=0),0,VLOOKUP($N550,'[1]MSTR AKT'!$C$4:$D$460,2,0))</f>
        <v>1315131517</v>
      </c>
      <c r="N550" s="76" t="s">
        <v>4</v>
      </c>
      <c r="O550" s="58"/>
      <c r="P550" s="58">
        <v>46003</v>
      </c>
      <c r="Q550" s="100">
        <v>1</v>
      </c>
      <c r="R550" s="101">
        <v>4.1099999999999994</v>
      </c>
      <c r="S550" s="102">
        <f t="shared" si="25"/>
        <v>412048.04999999993</v>
      </c>
    </row>
    <row r="551" spans="1:19" x14ac:dyDescent="0.35">
      <c r="A551" s="2" t="s">
        <v>33</v>
      </c>
      <c r="B551" s="68" t="str">
        <f>+VLOOKUP($D551,[1]STS!$A$9:$E$1405,3,0)</f>
        <v>06</v>
      </c>
      <c r="C551" s="86">
        <f>+VLOOKUP($D551,[1]STS!$A$9:$E$1405,4,0)</f>
        <v>23</v>
      </c>
      <c r="D551" s="107" t="s">
        <v>323</v>
      </c>
      <c r="E551" s="108">
        <f>+IF(ISERROR(VLOOKUP($D551,[1]STS!$E$9:$G$1503,3,0)=0),0,VLOOKUP($D551,[1]STS!$E$9:$G$1503,3,0))</f>
        <v>13.88</v>
      </c>
      <c r="F551" s="109">
        <v>8.3279999999999994</v>
      </c>
      <c r="G551" s="99">
        <f>+IF(ISERROR(VLOOKUP(D551,[1]STS!$E$9:$AO$1503,37,0)=0),0,VLOOKUP(D551,[1]STS!$E$9:$AO$1503,37,0))</f>
        <v>4.2451851080246952</v>
      </c>
      <c r="H551" s="84" t="str">
        <f>+IF(ISERROR(VLOOKUP(D551,[1]STS!$E$9:$I$1503,5,0)=0),0,VLOOKUP(D551,[1]STS!$E$9:$I$1503,5,0))</f>
        <v>FC</v>
      </c>
      <c r="I551" s="73"/>
      <c r="J551" s="66" t="str">
        <f>VLOOKUP(D551,[1]STS!$E$9:$BC$1359,51,0)</f>
        <v>F18CK</v>
      </c>
      <c r="K551" s="75"/>
      <c r="L551" s="78" t="str">
        <f>+VLOOKUP(N551,'[1]MSTR AKT'!$C$4:$E$460,3,0)</f>
        <v>Etri 2</v>
      </c>
      <c r="M551" s="85">
        <f>+IF(ISERROR(VLOOKUP($N551,'[1]MSTR AKT'!$C$4:$D$460,2,0)=0),0,VLOOKUP($N551,'[1]MSTR AKT'!$C$4:$D$460,2,0))</f>
        <v>1315131517</v>
      </c>
      <c r="N551" s="76" t="s">
        <v>4</v>
      </c>
      <c r="O551" s="58"/>
      <c r="P551" s="58">
        <v>46003</v>
      </c>
      <c r="Q551" s="100">
        <v>1</v>
      </c>
      <c r="R551" s="101">
        <v>8.3279999999999994</v>
      </c>
      <c r="S551" s="102">
        <f t="shared" si="25"/>
        <v>834923.6399999999</v>
      </c>
    </row>
    <row r="552" spans="1:19" x14ac:dyDescent="0.35">
      <c r="A552" s="2" t="s">
        <v>33</v>
      </c>
      <c r="B552" s="68" t="str">
        <f>+VLOOKUP($D552,[1]STS!$A$9:$E$1405,3,0)</f>
        <v>06</v>
      </c>
      <c r="C552" s="86">
        <f>+VLOOKUP($D552,[1]STS!$A$9:$E$1405,4,0)</f>
        <v>23</v>
      </c>
      <c r="D552" s="107" t="s">
        <v>157</v>
      </c>
      <c r="E552" s="108">
        <f>+IF(ISERROR(VLOOKUP($D552,[1]STS!$E$9:$G$1503,3,0)=0),0,VLOOKUP($D552,[1]STS!$E$9:$G$1503,3,0))</f>
        <v>8.89</v>
      </c>
      <c r="F552" s="109">
        <v>5.3340000000000005</v>
      </c>
      <c r="G552" s="99">
        <f>+IF(ISERROR(VLOOKUP(D552,[1]STS!$E$9:$AO$1503,37,0)=0),0,VLOOKUP(D552,[1]STS!$E$9:$AO$1503,37,0))</f>
        <v>4.4451851080246945</v>
      </c>
      <c r="H552" s="84" t="str">
        <f>+IF(ISERROR(VLOOKUP(D552,[1]STS!$E$9:$I$1503,5,0)=0),0,VLOOKUP(D552,[1]STS!$E$9:$I$1503,5,0))</f>
        <v>FC</v>
      </c>
      <c r="I552" s="73"/>
      <c r="J552" s="66" t="str">
        <f>VLOOKUP(D552,[1]STS!$E$9:$BC$1359,51,0)</f>
        <v>F18SB</v>
      </c>
      <c r="K552" s="75"/>
      <c r="L552" s="78" t="str">
        <f>+VLOOKUP(N552,'[1]MSTR AKT'!$C$4:$E$460,3,0)</f>
        <v>Etri 2</v>
      </c>
      <c r="M552" s="85">
        <f>+IF(ISERROR(VLOOKUP($N552,'[1]MSTR AKT'!$C$4:$D$460,2,0)=0),0,VLOOKUP($N552,'[1]MSTR AKT'!$C$4:$D$460,2,0))</f>
        <v>1315131517</v>
      </c>
      <c r="N552" s="76" t="s">
        <v>4</v>
      </c>
      <c r="O552" s="58"/>
      <c r="P552" s="58">
        <v>46003</v>
      </c>
      <c r="Q552" s="100">
        <v>1</v>
      </c>
      <c r="R552" s="101">
        <v>5.3340000000000005</v>
      </c>
      <c r="S552" s="102">
        <f t="shared" si="25"/>
        <v>534760.17000000004</v>
      </c>
    </row>
    <row r="553" spans="1:19" x14ac:dyDescent="0.35">
      <c r="A553" s="2" t="s">
        <v>33</v>
      </c>
      <c r="B553" s="68" t="str">
        <f>+VLOOKUP($D553,[1]STS!$A$9:$E$1405,3,0)</f>
        <v>06</v>
      </c>
      <c r="C553" s="86">
        <f>+VLOOKUP($D553,[1]STS!$A$9:$E$1405,4,0)</f>
        <v>23</v>
      </c>
      <c r="D553" s="107" t="s">
        <v>317</v>
      </c>
      <c r="E553" s="108">
        <f>+IF(ISERROR(VLOOKUP($D553,[1]STS!$E$9:$G$1503,3,0)=0),0,VLOOKUP($D553,[1]STS!$E$9:$G$1503,3,0))</f>
        <v>8.89</v>
      </c>
      <c r="F553" s="109">
        <v>5.3340000000000005</v>
      </c>
      <c r="G553" s="99">
        <f>+IF(ISERROR(VLOOKUP(D553,[1]STS!$E$9:$AO$1503,37,0)=0),0,VLOOKUP(D553,[1]STS!$E$9:$AO$1503,37,0))</f>
        <v>1.8451851080246948</v>
      </c>
      <c r="H553" s="84" t="str">
        <f>+IF(ISERROR(VLOOKUP(D553,[1]STS!$E$9:$I$1503,5,0)=0),0,VLOOKUP(D553,[1]STS!$E$9:$I$1503,5,0))</f>
        <v>FC</v>
      </c>
      <c r="I553" s="73"/>
      <c r="J553" s="66" t="str">
        <f>VLOOKUP(D553,[1]STS!$E$9:$BC$1359,51,0)</f>
        <v>GP3CK</v>
      </c>
      <c r="K553" s="75"/>
      <c r="L553" s="78" t="str">
        <f>+VLOOKUP(N553,'[1]MSTR AKT'!$C$4:$E$460,3,0)</f>
        <v>Etri 2</v>
      </c>
      <c r="M553" s="85">
        <f>+IF(ISERROR(VLOOKUP($N553,'[1]MSTR AKT'!$C$4:$D$460,2,0)=0),0,VLOOKUP($N553,'[1]MSTR AKT'!$C$4:$D$460,2,0))</f>
        <v>1315131517</v>
      </c>
      <c r="N553" s="76" t="s">
        <v>4</v>
      </c>
      <c r="O553" s="58"/>
      <c r="P553" s="58">
        <v>46003</v>
      </c>
      <c r="Q553" s="100">
        <v>1</v>
      </c>
      <c r="R553" s="101">
        <v>5.3340000000000005</v>
      </c>
      <c r="S553" s="102">
        <f t="shared" si="25"/>
        <v>534760.17000000004</v>
      </c>
    </row>
    <row r="554" spans="1:19" x14ac:dyDescent="0.35">
      <c r="A554" s="2" t="s">
        <v>33</v>
      </c>
      <c r="B554" s="68" t="str">
        <f>+VLOOKUP($D554,[1]STS!$A$9:$E$1405,3,0)</f>
        <v>06</v>
      </c>
      <c r="C554" s="86">
        <f>+VLOOKUP($D554,[1]STS!$A$9:$E$1405,4,0)</f>
        <v>23</v>
      </c>
      <c r="D554" s="107" t="s">
        <v>382</v>
      </c>
      <c r="E554" s="108">
        <f>+IF(ISERROR(VLOOKUP($D554,[1]STS!$E$9:$G$1503,3,0)=0),0,VLOOKUP($D554,[1]STS!$E$9:$G$1503,3,0))</f>
        <v>12.27</v>
      </c>
      <c r="F554" s="109">
        <v>7.3619999999999992</v>
      </c>
      <c r="G554" s="99">
        <f>+IF(ISERROR(VLOOKUP(D554,[1]STS!$E$9:$AO$1503,37,0)=0),0,VLOOKUP(D554,[1]STS!$E$9:$AO$1503,37,0))</f>
        <v>2.8451851080246948</v>
      </c>
      <c r="H554" s="84" t="str">
        <f>+IF(ISERROR(VLOOKUP(D554,[1]STS!$E$9:$I$1503,5,0)=0),0,VLOOKUP(D554,[1]STS!$E$9:$I$1503,5,0))</f>
        <v>BK</v>
      </c>
      <c r="I554" s="73"/>
      <c r="J554" s="66" t="str">
        <f>VLOOKUP(D554,[1]STS!$E$9:$BC$1359,51,0)</f>
        <v>F18</v>
      </c>
      <c r="K554" s="75"/>
      <c r="L554" s="78" t="str">
        <f>+VLOOKUP(N554,'[1]MSTR AKT'!$C$4:$E$460,3,0)</f>
        <v>Etri 2</v>
      </c>
      <c r="M554" s="85">
        <f>+IF(ISERROR(VLOOKUP($N554,'[1]MSTR AKT'!$C$4:$D$460,2,0)=0),0,VLOOKUP($N554,'[1]MSTR AKT'!$C$4:$D$460,2,0))</f>
        <v>1315131517</v>
      </c>
      <c r="N554" s="76" t="s">
        <v>4</v>
      </c>
      <c r="O554" s="58"/>
      <c r="P554" s="58">
        <v>46003</v>
      </c>
      <c r="Q554" s="100">
        <v>1</v>
      </c>
      <c r="R554" s="101">
        <v>7.3619999999999992</v>
      </c>
      <c r="S554" s="102">
        <f t="shared" si="25"/>
        <v>738077.30999999994</v>
      </c>
    </row>
    <row r="555" spans="1:19" x14ac:dyDescent="0.35">
      <c r="A555" s="2" t="s">
        <v>33</v>
      </c>
      <c r="B555" s="68" t="str">
        <f>+VLOOKUP($D555,[1]STS!$A$9:$E$1405,3,0)</f>
        <v>06</v>
      </c>
      <c r="C555" s="86">
        <f>+VLOOKUP($D555,[1]STS!$A$9:$E$1405,4,0)</f>
        <v>23</v>
      </c>
      <c r="D555" s="107" t="s">
        <v>321</v>
      </c>
      <c r="E555" s="108">
        <f>+IF(ISERROR(VLOOKUP($D555,[1]STS!$E$9:$G$1503,3,0)=0),0,VLOOKUP($D555,[1]STS!$E$9:$G$1503,3,0))</f>
        <v>3.22</v>
      </c>
      <c r="F555" s="109">
        <v>1.9319999999999999</v>
      </c>
      <c r="G555" s="99">
        <f>+IF(ISERROR(VLOOKUP(D555,[1]STS!$E$9:$AO$1503,37,0)=0),0,VLOOKUP(D555,[1]STS!$E$9:$AO$1503,37,0))</f>
        <v>5.211851774691362</v>
      </c>
      <c r="H555" s="84" t="str">
        <f>+IF(ISERROR(VLOOKUP(D555,[1]STS!$E$9:$I$1503,5,0)=0),0,VLOOKUP(D555,[1]STS!$E$9:$I$1503,5,0))</f>
        <v>SC</v>
      </c>
      <c r="I555" s="73"/>
      <c r="J555" s="66" t="str">
        <f>VLOOKUP(D555,[1]STS!$E$9:$BC$1359,51,0)</f>
        <v>F18</v>
      </c>
      <c r="K555" s="75"/>
      <c r="L555" s="78" t="str">
        <f>+VLOOKUP(N555,'[1]MSTR AKT'!$C$4:$E$460,3,0)</f>
        <v>Etri 2</v>
      </c>
      <c r="M555" s="85">
        <f>+IF(ISERROR(VLOOKUP($N555,'[1]MSTR AKT'!$C$4:$D$460,2,0)=0),0,VLOOKUP($N555,'[1]MSTR AKT'!$C$4:$D$460,2,0))</f>
        <v>1315131517</v>
      </c>
      <c r="N555" s="76" t="s">
        <v>4</v>
      </c>
      <c r="O555" s="58"/>
      <c r="P555" s="58">
        <v>46003</v>
      </c>
      <c r="Q555" s="100">
        <v>1</v>
      </c>
      <c r="R555" s="101">
        <v>1.9319999999999999</v>
      </c>
      <c r="S555" s="102">
        <f t="shared" si="25"/>
        <v>193692.66</v>
      </c>
    </row>
    <row r="556" spans="1:19" x14ac:dyDescent="0.35">
      <c r="A556" s="2" t="s">
        <v>33</v>
      </c>
      <c r="B556" s="68" t="str">
        <f>+VLOOKUP($D556,[1]STS!$A$9:$E$1405,3,0)</f>
        <v>06</v>
      </c>
      <c r="C556" s="86">
        <f>+VLOOKUP($D556,[1]STS!$A$9:$E$1405,4,0)</f>
        <v>23</v>
      </c>
      <c r="D556" s="107" t="s">
        <v>383</v>
      </c>
      <c r="E556" s="108">
        <f>+IF(ISERROR(VLOOKUP($D556,[1]STS!$E$9:$G$1503,3,0)=0),0,VLOOKUP($D556,[1]STS!$E$9:$G$1503,3,0))</f>
        <v>13.07</v>
      </c>
      <c r="F556" s="98">
        <v>7.8419999999999996</v>
      </c>
      <c r="G556" s="99">
        <f>+IF(ISERROR(VLOOKUP(D556,[1]STS!$E$9:$AO$1503,37,0)=0),0,VLOOKUP(D556,[1]STS!$E$9:$AO$1503,37,0))</f>
        <v>1.9451851080246949</v>
      </c>
      <c r="H556" s="84" t="str">
        <f>+IF(ISERROR(VLOOKUP(D556,[1]STS!$E$9:$I$1503,5,0)=0),0,VLOOKUP(D556,[1]STS!$E$9:$I$1503,5,0))</f>
        <v>BB</v>
      </c>
      <c r="I556" s="73"/>
      <c r="J556" s="66" t="str">
        <f>VLOOKUP(D556,[1]STS!$E$9:$BC$1359,51,0)</f>
        <v>F18</v>
      </c>
      <c r="K556" s="75"/>
      <c r="L556" s="78" t="str">
        <f>+VLOOKUP(N556,'[1]MSTR AKT'!$C$4:$E$460,3,0)</f>
        <v>Etri 2</v>
      </c>
      <c r="M556" s="85">
        <f>+IF(ISERROR(VLOOKUP($N556,'[1]MSTR AKT'!$C$4:$D$460,2,0)=0),0,VLOOKUP($N556,'[1]MSTR AKT'!$C$4:$D$460,2,0))</f>
        <v>1315131517</v>
      </c>
      <c r="N556" s="76" t="s">
        <v>4</v>
      </c>
      <c r="O556" s="58"/>
      <c r="P556" s="58">
        <v>45998</v>
      </c>
      <c r="Q556" s="100">
        <v>2</v>
      </c>
      <c r="R556" s="101">
        <v>15.683999999999999</v>
      </c>
      <c r="S556" s="102">
        <f t="shared" si="25"/>
        <v>1572399.42</v>
      </c>
    </row>
    <row r="557" spans="1:19" x14ac:dyDescent="0.35">
      <c r="A557" s="2" t="s">
        <v>33</v>
      </c>
      <c r="B557" s="68" t="str">
        <f>+VLOOKUP($D557,[1]STS!$A$9:$E$1405,3,0)</f>
        <v>06</v>
      </c>
      <c r="C557" s="86">
        <f>+VLOOKUP($D557,[1]STS!$A$9:$E$1405,4,0)</f>
        <v>23</v>
      </c>
      <c r="D557" s="107" t="s">
        <v>202</v>
      </c>
      <c r="E557" s="108">
        <f>+IF(ISERROR(VLOOKUP($D557,[1]STS!$E$9:$G$1503,3,0)=0),0,VLOOKUP($D557,[1]STS!$E$9:$G$1503,3,0))</f>
        <v>7.7</v>
      </c>
      <c r="F557" s="98">
        <v>200</v>
      </c>
      <c r="G557" s="99">
        <f>+IF(ISERROR(VLOOKUP(D557,[1]STS!$E$9:$AO$1503,37,0)=0),0,VLOOKUP(D557,[1]STS!$E$9:$AO$1503,37,0))</f>
        <v>3.4785184413580281</v>
      </c>
      <c r="H557" s="84" t="str">
        <f>+IF(ISERROR(VLOOKUP(D557,[1]STS!$E$9:$I$1503,5,0)=0),0,VLOOKUP(D557,[1]STS!$E$9:$I$1503,5,0))</f>
        <v>FC</v>
      </c>
      <c r="I557" s="73"/>
      <c r="J557" s="66" t="str">
        <f>VLOOKUP(D557,[1]STS!$E$9:$BC$1359,51,0)</f>
        <v>GP3SS</v>
      </c>
      <c r="K557" s="75"/>
      <c r="L557" s="78" t="str">
        <f>+VLOOKUP(N557,'[1]MSTR AKT'!$C$4:$E$460,3,0)</f>
        <v>Nugroho</v>
      </c>
      <c r="M557" s="85">
        <f>+IF(ISERROR(VLOOKUP($N557,'[1]MSTR AKT'!$C$4:$D$460,2,0)=0),0,VLOOKUP($N557,'[1]MSTR AKT'!$C$4:$D$460,2,0))</f>
        <v>1313131111</v>
      </c>
      <c r="N557" s="76" t="s">
        <v>35</v>
      </c>
      <c r="O557" s="58"/>
      <c r="P557" s="58">
        <v>45998</v>
      </c>
      <c r="Q557" s="100">
        <v>0.05</v>
      </c>
      <c r="R557" s="101">
        <v>10</v>
      </c>
      <c r="S557" s="102">
        <f t="shared" si="25"/>
        <v>1002550</v>
      </c>
    </row>
    <row r="558" spans="1:19" x14ac:dyDescent="0.35">
      <c r="A558" s="2" t="s">
        <v>33</v>
      </c>
      <c r="B558" s="68" t="str">
        <f>+VLOOKUP($D558,[1]STS!$A$9:$E$1405,3,0)</f>
        <v>06</v>
      </c>
      <c r="C558" s="86">
        <f>+VLOOKUP($D558,[1]STS!$A$9:$E$1405,4,0)</f>
        <v>23</v>
      </c>
      <c r="D558" s="107" t="s">
        <v>323</v>
      </c>
      <c r="E558" s="108">
        <f>+IF(ISERROR(VLOOKUP($D558,[1]STS!$E$9:$G$1503,3,0)=0),0,VLOOKUP($D558,[1]STS!$E$9:$G$1503,3,0))</f>
        <v>13.88</v>
      </c>
      <c r="F558" s="109">
        <v>200</v>
      </c>
      <c r="G558" s="99">
        <f>+IF(ISERROR(VLOOKUP(D558,[1]STS!$E$9:$AO$1503,37,0)=0),0,VLOOKUP(D558,[1]STS!$E$9:$AO$1503,37,0))</f>
        <v>4.2451851080246952</v>
      </c>
      <c r="H558" s="84" t="str">
        <f>+IF(ISERROR(VLOOKUP(D558,[1]STS!$E$9:$I$1503,5,0)=0),0,VLOOKUP(D558,[1]STS!$E$9:$I$1503,5,0))</f>
        <v>FC</v>
      </c>
      <c r="I558" s="73"/>
      <c r="J558" s="66" t="str">
        <f>VLOOKUP(D558,[1]STS!$E$9:$BC$1359,51,0)</f>
        <v>F18CK</v>
      </c>
      <c r="K558" s="75"/>
      <c r="L558" s="78" t="str">
        <f>+VLOOKUP(N558,'[1]MSTR AKT'!$C$4:$E$460,3,0)</f>
        <v>Nugroho</v>
      </c>
      <c r="M558" s="85">
        <f>+IF(ISERROR(VLOOKUP($N558,'[1]MSTR AKT'!$C$4:$D$460,2,0)=0),0,VLOOKUP($N558,'[1]MSTR AKT'!$C$4:$D$460,2,0))</f>
        <v>1313131111</v>
      </c>
      <c r="N558" s="76" t="s">
        <v>35</v>
      </c>
      <c r="O558" s="58"/>
      <c r="P558" s="58">
        <v>46003</v>
      </c>
      <c r="Q558" s="100">
        <v>0.05</v>
      </c>
      <c r="R558" s="101">
        <v>10</v>
      </c>
      <c r="S558" s="102">
        <f t="shared" si="25"/>
        <v>1002550</v>
      </c>
    </row>
    <row r="559" spans="1:19" x14ac:dyDescent="0.35">
      <c r="A559" s="2" t="s">
        <v>33</v>
      </c>
      <c r="B559" s="68" t="str">
        <f>+VLOOKUP($D559,[1]STS!$A$9:$E$1405,3,0)</f>
        <v>06</v>
      </c>
      <c r="C559" s="86">
        <f>+VLOOKUP($D559,[1]STS!$A$9:$E$1405,4,0)</f>
        <v>23</v>
      </c>
      <c r="D559" s="107" t="s">
        <v>324</v>
      </c>
      <c r="E559" s="108">
        <f>+IF(ISERROR(VLOOKUP($D559,[1]STS!$E$9:$G$1503,3,0)=0),0,VLOOKUP($D559,[1]STS!$E$9:$G$1503,3,0))</f>
        <v>7.58</v>
      </c>
      <c r="F559" s="109">
        <v>7.58</v>
      </c>
      <c r="G559" s="99">
        <f>+IF(ISERROR(VLOOKUP(D559,[1]STS!$E$9:$AO$1503,37,0)=0),0,VLOOKUP(D559,[1]STS!$E$9:$AO$1503,37,0))</f>
        <v>2.1451851080246951</v>
      </c>
      <c r="H559" s="84" t="str">
        <f>+IF(ISERROR(VLOOKUP(D559,[1]STS!$E$9:$I$1503,5,0)=0),0,VLOOKUP(D559,[1]STS!$E$9:$I$1503,5,0))</f>
        <v>ST</v>
      </c>
      <c r="I559" s="73"/>
      <c r="J559" s="66" t="str">
        <f>VLOOKUP(D559,[1]STS!$E$9:$BC$1359,51,0)</f>
        <v>F18</v>
      </c>
      <c r="K559" s="75"/>
      <c r="L559" s="78" t="str">
        <f>+VLOOKUP(N559,'[1]MSTR AKT'!$C$4:$E$460,3,0)</f>
        <v>Widi</v>
      </c>
      <c r="M559" s="85">
        <f>+IF(ISERROR(VLOOKUP($N559,'[1]MSTR AKT'!$C$4:$D$460,2,0)=0),0,VLOOKUP($N559,'[1]MSTR AKT'!$C$4:$D$460,2,0))</f>
        <v>1117271311</v>
      </c>
      <c r="N559" s="76" t="s">
        <v>46</v>
      </c>
      <c r="O559" s="58"/>
      <c r="P559" s="58">
        <v>46003</v>
      </c>
      <c r="Q559" s="100">
        <v>3</v>
      </c>
      <c r="R559" s="101">
        <v>22.740000000000002</v>
      </c>
      <c r="S559" s="102">
        <f t="shared" si="25"/>
        <v>2279798.7000000002</v>
      </c>
    </row>
    <row r="560" spans="1:19" x14ac:dyDescent="0.35">
      <c r="A560" s="2" t="s">
        <v>33</v>
      </c>
      <c r="B560" s="68" t="str">
        <f>+VLOOKUP($D560,[1]STS!$A$9:$E$1405,3,0)</f>
        <v>06</v>
      </c>
      <c r="C560" s="86">
        <f>+VLOOKUP($D560,[1]STS!$A$9:$E$1405,4,0)</f>
        <v>23</v>
      </c>
      <c r="D560" s="107" t="s">
        <v>322</v>
      </c>
      <c r="E560" s="108">
        <f>+IF(ISERROR(VLOOKUP($D560,[1]STS!$E$9:$G$1503,3,0)=0),0,VLOOKUP($D560,[1]STS!$E$9:$G$1503,3,0))</f>
        <v>8.48</v>
      </c>
      <c r="F560" s="109">
        <v>8.48</v>
      </c>
      <c r="G560" s="99">
        <f>+IF(ISERROR(VLOOKUP(D560,[1]STS!$E$9:$AO$1503,37,0)=0),0,VLOOKUP(D560,[1]STS!$E$9:$AO$1503,37,0))</f>
        <v>2.1451851080246951</v>
      </c>
      <c r="H560" s="84" t="str">
        <f>+IF(ISERROR(VLOOKUP(D560,[1]STS!$E$9:$I$1503,5,0)=0),0,VLOOKUP(D560,[1]STS!$E$9:$I$1503,5,0))</f>
        <v>ST</v>
      </c>
      <c r="I560" s="73"/>
      <c r="J560" s="66" t="str">
        <f>VLOOKUP(D560,[1]STS!$E$9:$BC$1359,51,0)</f>
        <v>F18</v>
      </c>
      <c r="K560" s="75"/>
      <c r="L560" s="78" t="str">
        <f>+VLOOKUP(N560,'[1]MSTR AKT'!$C$4:$E$460,3,0)</f>
        <v>Widi</v>
      </c>
      <c r="M560" s="85">
        <f>+IF(ISERROR(VLOOKUP($N560,'[1]MSTR AKT'!$C$4:$D$460,2,0)=0),0,VLOOKUP($N560,'[1]MSTR AKT'!$C$4:$D$460,2,0))</f>
        <v>1117271311</v>
      </c>
      <c r="N560" s="76" t="s">
        <v>46</v>
      </c>
      <c r="O560" s="58"/>
      <c r="P560" s="58">
        <v>46003</v>
      </c>
      <c r="Q560" s="100">
        <v>3</v>
      </c>
      <c r="R560" s="101">
        <v>25.44</v>
      </c>
      <c r="S560" s="102">
        <f t="shared" si="25"/>
        <v>2550487.2000000002</v>
      </c>
    </row>
    <row r="561" spans="1:19" x14ac:dyDescent="0.35">
      <c r="A561" s="2" t="s">
        <v>33</v>
      </c>
      <c r="B561" s="68" t="str">
        <f>+VLOOKUP($D561,[1]STS!$A$9:$E$1405,3,0)</f>
        <v>06</v>
      </c>
      <c r="C561" s="86">
        <f>+VLOOKUP($D561,[1]STS!$A$9:$E$1405,4,0)</f>
        <v>23</v>
      </c>
      <c r="D561" s="107" t="s">
        <v>294</v>
      </c>
      <c r="E561" s="108">
        <f>+IF(ISERROR(VLOOKUP($D561,[1]STS!$E$9:$G$1503,3,0)=0),0,VLOOKUP($D561,[1]STS!$E$9:$G$1503,3,0))</f>
        <v>3.62</v>
      </c>
      <c r="F561" s="109">
        <v>3.62</v>
      </c>
      <c r="G561" s="99">
        <f>+IF(ISERROR(VLOOKUP(D561,[1]STS!$E$9:$AO$1503,37,0)=0),0,VLOOKUP(D561,[1]STS!$E$9:$AO$1503,37,0))</f>
        <v>7.0785184413580282</v>
      </c>
      <c r="H561" s="84" t="str">
        <f>+IF(ISERROR(VLOOKUP(D561,[1]STS!$E$9:$I$1503,5,0)=0),0,VLOOKUP(D561,[1]STS!$E$9:$I$1503,5,0))</f>
        <v>SC</v>
      </c>
      <c r="I561" s="73"/>
      <c r="J561" s="66" t="str">
        <f>VLOOKUP(D561,[1]STS!$E$9:$BC$1359,51,0)</f>
        <v>F18</v>
      </c>
      <c r="K561" s="75"/>
      <c r="L561" s="78" t="str">
        <f>+VLOOKUP(N561,'[1]MSTR AKT'!$C$4:$E$460,3,0)</f>
        <v>Etri 1</v>
      </c>
      <c r="M561" s="85">
        <f>+IF(ISERROR(VLOOKUP($N561,'[1]MSTR AKT'!$C$4:$D$460,2,0)=0),0,VLOOKUP($N561,'[1]MSTR AKT'!$C$4:$D$460,2,0))</f>
        <v>1315111111</v>
      </c>
      <c r="N561" s="76" t="s">
        <v>3</v>
      </c>
      <c r="O561" s="58" t="str">
        <f t="shared" ref="O561:O571" si="26">IF(Q561&lt;=2,"Bersih",IF(Q561&lt;=4,"Ringan",IF(Q561&lt;=8,"Sedang","Berat")))</f>
        <v>Ringan</v>
      </c>
      <c r="P561" s="58">
        <v>46003</v>
      </c>
      <c r="Q561" s="100">
        <v>3</v>
      </c>
      <c r="R561" s="101">
        <v>10.86</v>
      </c>
      <c r="S561" s="102">
        <f t="shared" si="25"/>
        <v>1088769.3</v>
      </c>
    </row>
    <row r="562" spans="1:19" x14ac:dyDescent="0.35">
      <c r="A562" s="2" t="s">
        <v>33</v>
      </c>
      <c r="B562" s="68" t="str">
        <f>+VLOOKUP($D562,[1]STS!$A$9:$E$1405,3,0)</f>
        <v>06</v>
      </c>
      <c r="C562" s="86">
        <f>+VLOOKUP($D562,[1]STS!$A$9:$E$1405,4,0)</f>
        <v>23</v>
      </c>
      <c r="D562" s="107" t="s">
        <v>159</v>
      </c>
      <c r="E562" s="108">
        <f>+IF(ISERROR(VLOOKUP($D562,[1]STS!$E$9:$G$1503,3,0)=0),0,VLOOKUP($D562,[1]STS!$E$9:$G$1503,3,0))</f>
        <v>5.65</v>
      </c>
      <c r="F562" s="109">
        <v>5.65</v>
      </c>
      <c r="G562" s="99">
        <f>+IF(ISERROR(VLOOKUP(D562,[1]STS!$E$9:$AO$1503,37,0)=0),0,VLOOKUP(D562,[1]STS!$E$9:$AO$1503,37,0))</f>
        <v>2.1451851080246951</v>
      </c>
      <c r="H562" s="84" t="str">
        <f>+IF(ISERROR(VLOOKUP(D562,[1]STS!$E$9:$I$1503,5,0)=0),0,VLOOKUP(D562,[1]STS!$E$9:$I$1503,5,0))</f>
        <v>SC</v>
      </c>
      <c r="I562" s="73"/>
      <c r="J562" s="66" t="str">
        <f>VLOOKUP(D562,[1]STS!$E$9:$BC$1359,51,0)</f>
        <v>F18</v>
      </c>
      <c r="K562" s="75"/>
      <c r="L562" s="78" t="str">
        <f>+VLOOKUP(N562,'[1]MSTR AKT'!$C$4:$E$460,3,0)</f>
        <v>Etri 1</v>
      </c>
      <c r="M562" s="85">
        <f>+IF(ISERROR(VLOOKUP($N562,'[1]MSTR AKT'!$C$4:$D$460,2,0)=0),0,VLOOKUP($N562,'[1]MSTR AKT'!$C$4:$D$460,2,0))</f>
        <v>1315111111</v>
      </c>
      <c r="N562" s="76" t="s">
        <v>3</v>
      </c>
      <c r="O562" s="58" t="str">
        <f t="shared" si="26"/>
        <v>Ringan</v>
      </c>
      <c r="P562" s="58">
        <v>46003</v>
      </c>
      <c r="Q562" s="100">
        <v>3</v>
      </c>
      <c r="R562" s="101">
        <v>16.950000000000003</v>
      </c>
      <c r="S562" s="102">
        <f t="shared" si="25"/>
        <v>1699322.2500000002</v>
      </c>
    </row>
    <row r="563" spans="1:19" x14ac:dyDescent="0.35">
      <c r="A563" s="2" t="s">
        <v>33</v>
      </c>
      <c r="B563" s="68" t="str">
        <f>+VLOOKUP($D563,[1]STS!$A$9:$E$1405,3,0)</f>
        <v>06</v>
      </c>
      <c r="C563" s="86">
        <f>+VLOOKUP($D563,[1]STS!$A$9:$E$1405,4,0)</f>
        <v>23</v>
      </c>
      <c r="D563" s="107" t="s">
        <v>295</v>
      </c>
      <c r="E563" s="108">
        <f>+IF(ISERROR(VLOOKUP($D563,[1]STS!$E$9:$G$1503,3,0)=0),0,VLOOKUP($D563,[1]STS!$E$9:$G$1503,3,0))</f>
        <v>3.83</v>
      </c>
      <c r="F563" s="109">
        <v>3.83</v>
      </c>
      <c r="G563" s="99">
        <f>+IF(ISERROR(VLOOKUP(D563,[1]STS!$E$9:$AO$1503,37,0)=0),0,VLOOKUP(D563,[1]STS!$E$9:$AO$1503,37,0))</f>
        <v>7.0785184413580282</v>
      </c>
      <c r="H563" s="84" t="str">
        <f>+IF(ISERROR(VLOOKUP(D563,[1]STS!$E$9:$I$1503,5,0)=0),0,VLOOKUP(D563,[1]STS!$E$9:$I$1503,5,0))</f>
        <v>SC</v>
      </c>
      <c r="I563" s="73"/>
      <c r="J563" s="66" t="str">
        <f>VLOOKUP(D563,[1]STS!$E$9:$BC$1359,51,0)</f>
        <v>F18</v>
      </c>
      <c r="K563" s="75"/>
      <c r="L563" s="78" t="str">
        <f>+VLOOKUP(N563,'[1]MSTR AKT'!$C$4:$E$460,3,0)</f>
        <v>Etri 1</v>
      </c>
      <c r="M563" s="85">
        <f>+IF(ISERROR(VLOOKUP($N563,'[1]MSTR AKT'!$C$4:$D$460,2,0)=0),0,VLOOKUP($N563,'[1]MSTR AKT'!$C$4:$D$460,2,0))</f>
        <v>1315111111</v>
      </c>
      <c r="N563" s="76" t="s">
        <v>3</v>
      </c>
      <c r="O563" s="58" t="str">
        <f t="shared" si="26"/>
        <v>Ringan</v>
      </c>
      <c r="P563" s="58">
        <v>46003</v>
      </c>
      <c r="Q563" s="100">
        <v>3</v>
      </c>
      <c r="R563" s="101">
        <v>11.49</v>
      </c>
      <c r="S563" s="102">
        <f t="shared" si="25"/>
        <v>1151929.95</v>
      </c>
    </row>
    <row r="564" spans="1:19" x14ac:dyDescent="0.35">
      <c r="A564" s="2" t="s">
        <v>33</v>
      </c>
      <c r="B564" s="68" t="str">
        <f>+VLOOKUP($D564,[1]STS!$A$9:$E$1405,3,0)</f>
        <v>06</v>
      </c>
      <c r="C564" s="86">
        <f>+VLOOKUP($D564,[1]STS!$A$9:$E$1405,4,0)</f>
        <v>23</v>
      </c>
      <c r="D564" s="107" t="s">
        <v>299</v>
      </c>
      <c r="E564" s="108">
        <f>+IF(ISERROR(VLOOKUP($D564,[1]STS!$E$9:$G$1503,3,0)=0),0,VLOOKUP($D564,[1]STS!$E$9:$G$1503,3,0))</f>
        <v>5.7</v>
      </c>
      <c r="F564" s="109">
        <v>5.7</v>
      </c>
      <c r="G564" s="99">
        <f>+IF(ISERROR(VLOOKUP(D564,[1]STS!$E$9:$AO$1503,37,0)=0),0,VLOOKUP(D564,[1]STS!$E$9:$AO$1503,37,0))</f>
        <v>3.0785184413580282</v>
      </c>
      <c r="H564" s="84" t="str">
        <f>+IF(ISERROR(VLOOKUP(D564,[1]STS!$E$9:$I$1503,5,0)=0),0,VLOOKUP(D564,[1]STS!$E$9:$I$1503,5,0))</f>
        <v>FC</v>
      </c>
      <c r="I564" s="73"/>
      <c r="J564" s="66" t="str">
        <f>VLOOKUP(D564,[1]STS!$E$9:$BC$1359,51,0)</f>
        <v>F18SS</v>
      </c>
      <c r="K564" s="75"/>
      <c r="L564" s="78" t="str">
        <f>+VLOOKUP(N564,'[1]MSTR AKT'!$C$4:$E$460,3,0)</f>
        <v>Etri 1</v>
      </c>
      <c r="M564" s="85">
        <f>+IF(ISERROR(VLOOKUP($N564,'[1]MSTR AKT'!$C$4:$D$460,2,0)=0),0,VLOOKUP($N564,'[1]MSTR AKT'!$C$4:$D$460,2,0))</f>
        <v>1315111111</v>
      </c>
      <c r="N564" s="76" t="s">
        <v>3</v>
      </c>
      <c r="O564" s="58" t="str">
        <f t="shared" si="26"/>
        <v>Bersih</v>
      </c>
      <c r="P564" s="58">
        <v>46003</v>
      </c>
      <c r="Q564" s="100">
        <v>2</v>
      </c>
      <c r="R564" s="101">
        <v>11.4</v>
      </c>
      <c r="S564" s="102">
        <f t="shared" si="25"/>
        <v>1142907</v>
      </c>
    </row>
    <row r="565" spans="1:19" x14ac:dyDescent="0.35">
      <c r="A565" s="2" t="s">
        <v>33</v>
      </c>
      <c r="B565" s="68" t="str">
        <f>+VLOOKUP($D565,[1]STS!$A$9:$E$1405,3,0)</f>
        <v>06</v>
      </c>
      <c r="C565" s="86">
        <f>+VLOOKUP($D565,[1]STS!$A$9:$E$1405,4,0)</f>
        <v>23</v>
      </c>
      <c r="D565" s="107" t="s">
        <v>160</v>
      </c>
      <c r="E565" s="108">
        <f>+IF(ISERROR(VLOOKUP($D565,[1]STS!$E$9:$G$1503,3,0)=0),0,VLOOKUP($D565,[1]STS!$E$9:$G$1503,3,0))</f>
        <v>10.41</v>
      </c>
      <c r="F565" s="109">
        <v>10.41</v>
      </c>
      <c r="G565" s="99">
        <f>+IF(ISERROR(VLOOKUP(D565,[1]STS!$E$9:$AO$1503,37,0)=0),0,VLOOKUP(D565,[1]STS!$E$9:$AO$1503,37,0))</f>
        <v>9.1118517746913614</v>
      </c>
      <c r="H565" s="84" t="str">
        <f>+IF(ISERROR(VLOOKUP(D565,[1]STS!$E$9:$I$1503,5,0)=0),0,VLOOKUP(D565,[1]STS!$E$9:$I$1503,5,0))</f>
        <v>SC</v>
      </c>
      <c r="I565" s="73"/>
      <c r="J565" s="66" t="str">
        <f>VLOOKUP(D565,[1]STS!$E$9:$BC$1359,51,0)</f>
        <v>F18</v>
      </c>
      <c r="K565" s="75"/>
      <c r="L565" s="78" t="str">
        <f>+VLOOKUP(N565,'[1]MSTR AKT'!$C$4:$E$460,3,0)</f>
        <v>Etri 1</v>
      </c>
      <c r="M565" s="85">
        <f>+IF(ISERROR(VLOOKUP($N565,'[1]MSTR AKT'!$C$4:$D$460,2,0)=0),0,VLOOKUP($N565,'[1]MSTR AKT'!$C$4:$D$460,2,0))</f>
        <v>1315111111</v>
      </c>
      <c r="N565" s="76" t="s">
        <v>3</v>
      </c>
      <c r="O565" s="58" t="str">
        <f t="shared" si="26"/>
        <v>Bersih</v>
      </c>
      <c r="P565" s="58">
        <v>46003</v>
      </c>
      <c r="Q565" s="100">
        <v>2</v>
      </c>
      <c r="R565" s="101">
        <v>20.82</v>
      </c>
      <c r="S565" s="102">
        <f t="shared" si="25"/>
        <v>2087309.1</v>
      </c>
    </row>
    <row r="566" spans="1:19" x14ac:dyDescent="0.35">
      <c r="A566" s="2" t="s">
        <v>33</v>
      </c>
      <c r="B566" s="68" t="str">
        <f>+VLOOKUP($D566,[1]STS!$A$9:$E$1405,3,0)</f>
        <v>06</v>
      </c>
      <c r="C566" s="86">
        <f>+VLOOKUP($D566,[1]STS!$A$9:$E$1405,4,0)</f>
        <v>23</v>
      </c>
      <c r="D566" s="107" t="s">
        <v>180</v>
      </c>
      <c r="E566" s="108">
        <f>+IF(ISERROR(VLOOKUP($D566,[1]STS!$E$9:$G$1503,3,0)=0),0,VLOOKUP($D566,[1]STS!$E$9:$G$1503,3,0))</f>
        <v>8.75</v>
      </c>
      <c r="F566" s="109">
        <v>8.75</v>
      </c>
      <c r="G566" s="99">
        <f>+IF(ISERROR(VLOOKUP(D566,[1]STS!$E$9:$AO$1503,37,0)=0),0,VLOOKUP(D566,[1]STS!$E$9:$AO$1503,37,0))</f>
        <v>12.211851774691361</v>
      </c>
      <c r="H566" s="84" t="str">
        <f>+IF(ISERROR(VLOOKUP(D566,[1]STS!$E$9:$I$1503,5,0)=0),0,VLOOKUP(D566,[1]STS!$E$9:$I$1503,5,0))</f>
        <v>FC</v>
      </c>
      <c r="I566" s="73"/>
      <c r="J566" s="66" t="str">
        <f>VLOOKUP(D566,[1]STS!$E$9:$BC$1359,51,0)</f>
        <v>F18CK</v>
      </c>
      <c r="K566" s="75"/>
      <c r="L566" s="78" t="str">
        <f>+VLOOKUP(N566,'[1]MSTR AKT'!$C$4:$E$460,3,0)</f>
        <v>Etri 1</v>
      </c>
      <c r="M566" s="85">
        <f>+IF(ISERROR(VLOOKUP($N566,'[1]MSTR AKT'!$C$4:$D$460,2,0)=0),0,VLOOKUP($N566,'[1]MSTR AKT'!$C$4:$D$460,2,0))</f>
        <v>1315111111</v>
      </c>
      <c r="N566" s="76" t="s">
        <v>3</v>
      </c>
      <c r="O566" s="58" t="str">
        <f t="shared" si="26"/>
        <v>Bersih</v>
      </c>
      <c r="P566" s="58">
        <v>46003</v>
      </c>
      <c r="Q566" s="100">
        <v>2</v>
      </c>
      <c r="R566" s="101">
        <v>17.5</v>
      </c>
      <c r="S566" s="102">
        <f t="shared" si="25"/>
        <v>1754462.5</v>
      </c>
    </row>
    <row r="567" spans="1:19" x14ac:dyDescent="0.35">
      <c r="A567" s="2" t="s">
        <v>33</v>
      </c>
      <c r="B567" s="68" t="str">
        <f>+VLOOKUP($D567,[1]STS!$A$9:$E$1405,3,0)</f>
        <v>06</v>
      </c>
      <c r="C567" s="86">
        <f>+VLOOKUP($D567,[1]STS!$A$9:$E$1405,4,0)</f>
        <v>23</v>
      </c>
      <c r="D567" s="107" t="s">
        <v>181</v>
      </c>
      <c r="E567" s="108">
        <f>+IF(ISERROR(VLOOKUP($D567,[1]STS!$E$9:$G$1503,3,0)=0),0,VLOOKUP($D567,[1]STS!$E$9:$G$1503,3,0))</f>
        <v>7.31</v>
      </c>
      <c r="F567" s="109">
        <v>7.31</v>
      </c>
      <c r="G567" s="99">
        <f>+IF(ISERROR(VLOOKUP(D567,[1]STS!$E$9:$AO$1503,37,0)=0),0,VLOOKUP(D567,[1]STS!$E$9:$AO$1503,37,0))</f>
        <v>12.278518441358028</v>
      </c>
      <c r="H567" s="84" t="str">
        <f>+IF(ISERROR(VLOOKUP(D567,[1]STS!$E$9:$I$1503,5,0)=0),0,VLOOKUP(D567,[1]STS!$E$9:$I$1503,5,0))</f>
        <v>FC</v>
      </c>
      <c r="I567" s="73"/>
      <c r="J567" s="66" t="str">
        <f>VLOOKUP(D567,[1]STS!$E$9:$BC$1359,51,0)</f>
        <v>F18CK</v>
      </c>
      <c r="K567" s="75"/>
      <c r="L567" s="78" t="str">
        <f>+VLOOKUP(N567,'[1]MSTR AKT'!$C$4:$E$460,3,0)</f>
        <v>Etri 1</v>
      </c>
      <c r="M567" s="85">
        <f>+IF(ISERROR(VLOOKUP($N567,'[1]MSTR AKT'!$C$4:$D$460,2,0)=0),0,VLOOKUP($N567,'[1]MSTR AKT'!$C$4:$D$460,2,0))</f>
        <v>1315111111</v>
      </c>
      <c r="N567" s="76" t="s">
        <v>3</v>
      </c>
      <c r="O567" s="58" t="str">
        <f t="shared" si="26"/>
        <v>Bersih</v>
      </c>
      <c r="P567" s="58">
        <v>46003</v>
      </c>
      <c r="Q567" s="100">
        <v>2</v>
      </c>
      <c r="R567" s="101">
        <v>14.62</v>
      </c>
      <c r="S567" s="102">
        <f t="shared" si="25"/>
        <v>1465728.0999999999</v>
      </c>
    </row>
    <row r="568" spans="1:19" x14ac:dyDescent="0.35">
      <c r="A568" s="2" t="s">
        <v>33</v>
      </c>
      <c r="B568" s="68" t="str">
        <f>+VLOOKUP($D568,[1]STS!$A$9:$E$1405,3,0)</f>
        <v>06</v>
      </c>
      <c r="C568" s="86">
        <f>+VLOOKUP($D568,[1]STS!$A$9:$E$1405,4,0)</f>
        <v>23</v>
      </c>
      <c r="D568" s="107" t="s">
        <v>157</v>
      </c>
      <c r="E568" s="108">
        <f>+IF(ISERROR(VLOOKUP($D568,[1]STS!$E$9:$G$1503,3,0)=0),0,VLOOKUP($D568,[1]STS!$E$9:$G$1503,3,0))</f>
        <v>8.89</v>
      </c>
      <c r="F568" s="109">
        <v>8.89</v>
      </c>
      <c r="G568" s="99">
        <f>+IF(ISERROR(VLOOKUP(D568,[1]STS!$E$9:$AO$1503,37,0)=0),0,VLOOKUP(D568,[1]STS!$E$9:$AO$1503,37,0))</f>
        <v>4.4451851080246945</v>
      </c>
      <c r="H568" s="84" t="str">
        <f>+IF(ISERROR(VLOOKUP(D568,[1]STS!$E$9:$I$1503,5,0)=0),0,VLOOKUP(D568,[1]STS!$E$9:$I$1503,5,0))</f>
        <v>FC</v>
      </c>
      <c r="I568" s="73"/>
      <c r="J568" s="66" t="str">
        <f>VLOOKUP(D568,[1]STS!$E$9:$BC$1359,51,0)</f>
        <v>F18SB</v>
      </c>
      <c r="K568" s="75"/>
      <c r="L568" s="78" t="str">
        <f>+VLOOKUP(N568,'[1]MSTR AKT'!$C$4:$E$460,3,0)</f>
        <v>Etri 1</v>
      </c>
      <c r="M568" s="85">
        <f>+IF(ISERROR(VLOOKUP($N568,'[1]MSTR AKT'!$C$4:$D$460,2,0)=0),0,VLOOKUP($N568,'[1]MSTR AKT'!$C$4:$D$460,2,0))</f>
        <v>1315111111</v>
      </c>
      <c r="N568" s="76" t="s">
        <v>3</v>
      </c>
      <c r="O568" s="58" t="str">
        <f t="shared" si="26"/>
        <v>Bersih</v>
      </c>
      <c r="P568" s="58">
        <v>46003</v>
      </c>
      <c r="Q568" s="100">
        <v>2</v>
      </c>
      <c r="R568" s="101">
        <v>17.78</v>
      </c>
      <c r="S568" s="102">
        <f t="shared" si="25"/>
        <v>1782533.9000000001</v>
      </c>
    </row>
    <row r="569" spans="1:19" x14ac:dyDescent="0.35">
      <c r="A569" s="2" t="s">
        <v>33</v>
      </c>
      <c r="B569" s="68" t="str">
        <f>+VLOOKUP($D569,[1]STS!$A$9:$E$1405,3,0)</f>
        <v>06</v>
      </c>
      <c r="C569" s="86">
        <f>+VLOOKUP($D569,[1]STS!$A$9:$E$1405,4,0)</f>
        <v>23</v>
      </c>
      <c r="D569" s="107" t="s">
        <v>156</v>
      </c>
      <c r="E569" s="108">
        <f>+IF(ISERROR(VLOOKUP($D569,[1]STS!$E$9:$G$1503,3,0)=0),0,VLOOKUP($D569,[1]STS!$E$9:$G$1503,3,0))</f>
        <v>12.28</v>
      </c>
      <c r="F569" s="109">
        <v>12.28</v>
      </c>
      <c r="G569" s="99">
        <f>+IF(ISERROR(VLOOKUP(D569,[1]STS!$E$9:$AO$1503,37,0)=0),0,VLOOKUP(D569,[1]STS!$E$9:$AO$1503,37,0))</f>
        <v>5.211851774691362</v>
      </c>
      <c r="H569" s="84" t="str">
        <f>+IF(ISERROR(VLOOKUP(D569,[1]STS!$E$9:$I$1503,5,0)=0),0,VLOOKUP(D569,[1]STS!$E$9:$I$1503,5,0))</f>
        <v>FC</v>
      </c>
      <c r="I569" s="73"/>
      <c r="J569" s="66" t="str">
        <f>VLOOKUP(D569,[1]STS!$E$9:$BC$1359,51,0)</f>
        <v>F18CK</v>
      </c>
      <c r="K569" s="75"/>
      <c r="L569" s="78" t="str">
        <f>+VLOOKUP(N569,'[1]MSTR AKT'!$C$4:$E$460,3,0)</f>
        <v>Etri 1</v>
      </c>
      <c r="M569" s="85">
        <f>+IF(ISERROR(VLOOKUP($N569,'[1]MSTR AKT'!$C$4:$D$460,2,0)=0),0,VLOOKUP($N569,'[1]MSTR AKT'!$C$4:$D$460,2,0))</f>
        <v>1315111111</v>
      </c>
      <c r="N569" s="76" t="s">
        <v>3</v>
      </c>
      <c r="O569" s="58" t="str">
        <f t="shared" si="26"/>
        <v>Bersih</v>
      </c>
      <c r="P569" s="58">
        <v>46003</v>
      </c>
      <c r="Q569" s="100">
        <v>2</v>
      </c>
      <c r="R569" s="101">
        <v>24.56</v>
      </c>
      <c r="S569" s="102">
        <f t="shared" si="25"/>
        <v>2462262.7999999998</v>
      </c>
    </row>
    <row r="570" spans="1:19" x14ac:dyDescent="0.35">
      <c r="A570" s="2" t="s">
        <v>33</v>
      </c>
      <c r="B570" s="68" t="str">
        <f>+VLOOKUP($D570,[1]STS!$A$9:$E$1405,3,0)</f>
        <v>06</v>
      </c>
      <c r="C570" s="86">
        <f>+VLOOKUP($D570,[1]STS!$A$9:$E$1405,4,0)</f>
        <v>23</v>
      </c>
      <c r="D570" s="107" t="s">
        <v>326</v>
      </c>
      <c r="E570" s="108">
        <f>+IF(ISERROR(VLOOKUP($D570,[1]STS!$E$9:$G$1503,3,0)=0),0,VLOOKUP($D570,[1]STS!$E$9:$G$1503,3,0))</f>
        <v>9.0500000000000007</v>
      </c>
      <c r="F570" s="109">
        <v>9.0500000000000007</v>
      </c>
      <c r="G570" s="99">
        <f>+IF(ISERROR(VLOOKUP(D570,[1]STS!$E$9:$AO$1503,37,0)=0),0,VLOOKUP(D570,[1]STS!$E$9:$AO$1503,37,0))</f>
        <v>1.1451851080246949</v>
      </c>
      <c r="H570" s="84" t="str">
        <f>+IF(ISERROR(VLOOKUP(D570,[1]STS!$E$9:$I$1503,5,0)=0),0,VLOOKUP(D570,[1]STS!$E$9:$I$1503,5,0))</f>
        <v>FC</v>
      </c>
      <c r="I570" s="73"/>
      <c r="J570" s="66" t="str">
        <f>VLOOKUP(D570,[1]STS!$E$9:$BC$1359,51,0)</f>
        <v>F18CK</v>
      </c>
      <c r="K570" s="75"/>
      <c r="L570" s="78" t="str">
        <f>+VLOOKUP(N570,'[1]MSTR AKT'!$C$4:$E$460,3,0)</f>
        <v>Etri 1</v>
      </c>
      <c r="M570" s="85">
        <f>+IF(ISERROR(VLOOKUP($N570,'[1]MSTR AKT'!$C$4:$D$460,2,0)=0),0,VLOOKUP($N570,'[1]MSTR AKT'!$C$4:$D$460,2,0))</f>
        <v>1315111111</v>
      </c>
      <c r="N570" s="76" t="s">
        <v>3</v>
      </c>
      <c r="O570" s="58" t="str">
        <f t="shared" si="26"/>
        <v>Bersih</v>
      </c>
      <c r="P570" s="58">
        <v>46003</v>
      </c>
      <c r="Q570" s="100">
        <v>2</v>
      </c>
      <c r="R570" s="101">
        <v>18.100000000000001</v>
      </c>
      <c r="S570" s="102">
        <f t="shared" si="25"/>
        <v>1814615.5000000002</v>
      </c>
    </row>
    <row r="571" spans="1:19" x14ac:dyDescent="0.35">
      <c r="A571" s="2" t="s">
        <v>33</v>
      </c>
      <c r="B571" s="68" t="str">
        <f>+VLOOKUP($D571,[1]STS!$A$9:$E$1405,3,0)</f>
        <v>06</v>
      </c>
      <c r="C571" s="86">
        <f>+VLOOKUP($D571,[1]STS!$A$9:$E$1405,4,0)</f>
        <v>23</v>
      </c>
      <c r="D571" s="107" t="s">
        <v>325</v>
      </c>
      <c r="E571" s="108">
        <f>+IF(ISERROR(VLOOKUP($D571,[1]STS!$E$9:$G$1503,3,0)=0),0,VLOOKUP($D571,[1]STS!$E$9:$G$1503,3,0))</f>
        <v>4.6900000000000004</v>
      </c>
      <c r="F571" s="98">
        <v>4.6900000000000004</v>
      </c>
      <c r="G571" s="99">
        <f>+IF(ISERROR(VLOOKUP(D571,[1]STS!$E$9:$AO$1503,37,0)=0),0,VLOOKUP(D571,[1]STS!$E$9:$AO$1503,37,0))</f>
        <v>1.0785184413580282</v>
      </c>
      <c r="H571" s="84" t="str">
        <f>+IF(ISERROR(VLOOKUP(D571,[1]STS!$E$9:$I$1503,5,0)=0),0,VLOOKUP(D571,[1]STS!$E$9:$I$1503,5,0))</f>
        <v>FC</v>
      </c>
      <c r="I571" s="73"/>
      <c r="J571" s="66" t="str">
        <f>VLOOKUP(D571,[1]STS!$E$9:$BC$1359,51,0)</f>
        <v>F18CK</v>
      </c>
      <c r="K571" s="75"/>
      <c r="L571" s="78" t="str">
        <f>+VLOOKUP(N571,'[1]MSTR AKT'!$C$4:$E$460,3,0)</f>
        <v>Etri 1</v>
      </c>
      <c r="M571" s="85">
        <f>+IF(ISERROR(VLOOKUP($N571,'[1]MSTR AKT'!$C$4:$D$460,2,0)=0),0,VLOOKUP($N571,'[1]MSTR AKT'!$C$4:$D$460,2,0))</f>
        <v>1315111111</v>
      </c>
      <c r="N571" s="76" t="s">
        <v>3</v>
      </c>
      <c r="O571" s="58" t="str">
        <f t="shared" si="26"/>
        <v>Bersih</v>
      </c>
      <c r="P571" s="58">
        <v>45999</v>
      </c>
      <c r="Q571" s="100">
        <v>2</v>
      </c>
      <c r="R571" s="101">
        <v>9.3800000000000008</v>
      </c>
      <c r="S571" s="102">
        <f>+R571*100255</f>
        <v>940391.9</v>
      </c>
    </row>
    <row r="572" spans="1:19" x14ac:dyDescent="0.35">
      <c r="A572" s="2"/>
      <c r="B572" s="68"/>
      <c r="C572" s="86"/>
      <c r="D572" s="107"/>
      <c r="E572" s="108"/>
      <c r="F572" s="109"/>
      <c r="G572" s="99"/>
      <c r="H572" s="84"/>
      <c r="I572" s="73"/>
      <c r="J572" s="66"/>
      <c r="K572" s="75"/>
      <c r="L572" s="78"/>
      <c r="M572" s="85"/>
      <c r="N572" s="76"/>
      <c r="O572" s="58"/>
      <c r="P572" s="58"/>
      <c r="Q572" s="100"/>
      <c r="R572" s="101">
        <f>SUM(R10:R571)</f>
        <v>8489.9089670329704</v>
      </c>
      <c r="S572" s="102"/>
    </row>
    <row r="573" spans="1:19" x14ac:dyDescent="0.35">
      <c r="A573" s="2"/>
      <c r="B573" s="68"/>
      <c r="C573" s="86"/>
      <c r="D573" s="107"/>
      <c r="E573" s="108"/>
      <c r="F573" s="109"/>
      <c r="G573" s="99"/>
      <c r="H573" s="84"/>
      <c r="I573" s="73"/>
      <c r="J573" s="66"/>
      <c r="K573" s="75"/>
      <c r="L573" s="78"/>
      <c r="M573" s="85"/>
      <c r="N573" s="76"/>
      <c r="O573" s="58"/>
      <c r="P573" s="58"/>
      <c r="Q573" s="100"/>
      <c r="R573" s="101"/>
      <c r="S573" s="102"/>
    </row>
    <row r="574" spans="1:19" x14ac:dyDescent="0.35">
      <c r="A574" s="2"/>
      <c r="B574" s="68"/>
      <c r="C574" s="86"/>
      <c r="D574" s="107"/>
      <c r="E574" s="108"/>
      <c r="F574" s="109"/>
      <c r="G574" s="99"/>
      <c r="H574" s="84"/>
      <c r="I574" s="73"/>
      <c r="J574" s="66"/>
      <c r="K574" s="75"/>
      <c r="L574" s="78"/>
      <c r="M574" s="85"/>
      <c r="N574" s="76"/>
      <c r="O574" s="58"/>
      <c r="P574" s="58"/>
      <c r="Q574" s="100"/>
      <c r="R574" s="101"/>
      <c r="S574" s="102"/>
    </row>
    <row r="575" spans="1:19" x14ac:dyDescent="0.35">
      <c r="A575" s="2"/>
      <c r="B575" s="68"/>
      <c r="C575" s="86"/>
      <c r="D575" s="107"/>
      <c r="E575" s="108"/>
      <c r="F575" s="109"/>
      <c r="G575" s="99"/>
      <c r="H575" s="84"/>
      <c r="I575" s="73"/>
      <c r="J575" s="66"/>
      <c r="K575" s="75"/>
      <c r="L575" s="78"/>
      <c r="M575" s="85"/>
      <c r="N575" s="76"/>
      <c r="O575" s="58"/>
      <c r="P575" s="58"/>
      <c r="Q575" s="100"/>
      <c r="R575" s="101"/>
      <c r="S575" s="102"/>
    </row>
    <row r="576" spans="1:19" x14ac:dyDescent="0.35">
      <c r="A576" s="2"/>
      <c r="B576" s="68"/>
      <c r="C576" s="86"/>
      <c r="D576" s="107"/>
      <c r="E576" s="108"/>
      <c r="F576" s="109"/>
      <c r="G576" s="99"/>
      <c r="H576" s="84"/>
      <c r="I576" s="73"/>
      <c r="J576" s="66"/>
      <c r="K576" s="75"/>
      <c r="L576" s="78"/>
      <c r="M576" s="85"/>
      <c r="N576" s="76"/>
      <c r="O576" s="58"/>
      <c r="P576" s="58"/>
      <c r="Q576" s="100"/>
      <c r="R576" s="101"/>
      <c r="S576" s="102"/>
    </row>
    <row r="577" spans="1:19" x14ac:dyDescent="0.35">
      <c r="A577" s="2"/>
      <c r="B577" s="68"/>
      <c r="C577" s="86"/>
      <c r="D577" s="107"/>
      <c r="E577" s="108"/>
      <c r="F577" s="109"/>
      <c r="G577" s="99"/>
      <c r="H577" s="84"/>
      <c r="I577" s="73"/>
      <c r="J577" s="66"/>
      <c r="K577" s="75"/>
      <c r="L577" s="78"/>
      <c r="M577" s="85"/>
      <c r="N577" s="76"/>
      <c r="O577" s="58"/>
      <c r="P577" s="58"/>
      <c r="Q577" s="100"/>
      <c r="R577" s="101"/>
      <c r="S577" s="102"/>
    </row>
    <row r="578" spans="1:19" x14ac:dyDescent="0.35">
      <c r="A578" s="2"/>
      <c r="B578" s="68"/>
      <c r="C578" s="86"/>
      <c r="D578" s="107"/>
      <c r="E578" s="108"/>
      <c r="F578" s="109"/>
      <c r="G578" s="99"/>
      <c r="H578" s="84"/>
      <c r="I578" s="73"/>
      <c r="J578" s="66"/>
      <c r="K578" s="75"/>
      <c r="L578" s="78"/>
      <c r="M578" s="85"/>
      <c r="N578" s="76"/>
      <c r="O578" s="58"/>
      <c r="P578" s="58"/>
      <c r="Q578" s="100"/>
      <c r="R578" s="101"/>
      <c r="S578" s="102"/>
    </row>
    <row r="579" spans="1:19" x14ac:dyDescent="0.35">
      <c r="A579" s="2"/>
      <c r="B579" s="68"/>
      <c r="C579" s="86"/>
      <c r="D579" s="107"/>
      <c r="E579" s="108"/>
      <c r="F579" s="109"/>
      <c r="G579" s="99"/>
      <c r="H579" s="84"/>
      <c r="I579" s="73"/>
      <c r="J579" s="66"/>
      <c r="K579" s="75"/>
      <c r="L579" s="78"/>
      <c r="M579" s="85"/>
      <c r="N579" s="76"/>
      <c r="O579" s="58"/>
      <c r="P579" s="58"/>
      <c r="Q579" s="100"/>
      <c r="R579" s="101"/>
      <c r="S579" s="102"/>
    </row>
    <row r="580" spans="1:19" x14ac:dyDescent="0.35">
      <c r="A580" s="2"/>
      <c r="B580" s="68"/>
      <c r="C580" s="86"/>
      <c r="D580" s="107"/>
      <c r="E580" s="108"/>
      <c r="F580" s="109"/>
      <c r="G580" s="99"/>
      <c r="H580" s="84"/>
      <c r="I580" s="73"/>
      <c r="J580" s="66"/>
      <c r="K580" s="75"/>
      <c r="L580" s="78"/>
      <c r="M580" s="85"/>
      <c r="N580" s="76"/>
      <c r="O580" s="58"/>
      <c r="P580" s="58"/>
      <c r="Q580" s="100"/>
      <c r="R580" s="101"/>
      <c r="S580" s="102"/>
    </row>
    <row r="581" spans="1:19" x14ac:dyDescent="0.35">
      <c r="A581" s="2"/>
      <c r="B581" s="68"/>
      <c r="C581" s="86"/>
      <c r="D581" s="107"/>
      <c r="E581" s="108"/>
      <c r="F581" s="109"/>
      <c r="G581" s="99"/>
      <c r="H581" s="84"/>
      <c r="I581" s="73"/>
      <c r="J581" s="66"/>
      <c r="K581" s="75"/>
      <c r="L581" s="78"/>
      <c r="M581" s="85"/>
      <c r="N581" s="76"/>
      <c r="O581" s="58"/>
      <c r="P581" s="58"/>
      <c r="Q581" s="100"/>
      <c r="R581" s="101"/>
      <c r="S581" s="102"/>
    </row>
    <row r="582" spans="1:19" x14ac:dyDescent="0.35">
      <c r="A582" s="2"/>
      <c r="B582" s="68"/>
      <c r="C582" s="86"/>
      <c r="D582" s="107"/>
      <c r="E582" s="108"/>
      <c r="F582" s="109"/>
      <c r="G582" s="99"/>
      <c r="H582" s="84"/>
      <c r="I582" s="73"/>
      <c r="J582" s="66"/>
      <c r="K582" s="75"/>
      <c r="L582" s="78"/>
      <c r="M582" s="85"/>
      <c r="N582" s="76"/>
      <c r="O582" s="58"/>
      <c r="P582" s="58"/>
      <c r="Q582" s="100"/>
      <c r="R582" s="101"/>
      <c r="S582" s="102"/>
    </row>
    <row r="583" spans="1:19" x14ac:dyDescent="0.35">
      <c r="A583" s="2"/>
      <c r="B583" s="68"/>
      <c r="C583" s="86"/>
      <c r="D583" s="107"/>
      <c r="E583" s="108"/>
      <c r="F583" s="109"/>
      <c r="G583" s="99"/>
      <c r="H583" s="84"/>
      <c r="I583" s="73"/>
      <c r="J583" s="66"/>
      <c r="K583" s="75"/>
      <c r="L583" s="78"/>
      <c r="M583" s="85"/>
      <c r="N583" s="76"/>
      <c r="O583" s="58"/>
      <c r="P583" s="58"/>
      <c r="Q583" s="100"/>
      <c r="R583" s="101"/>
      <c r="S583" s="102"/>
    </row>
    <row r="584" spans="1:19" x14ac:dyDescent="0.35">
      <c r="A584" s="2"/>
      <c r="B584" s="68"/>
      <c r="C584" s="86"/>
      <c r="D584" s="107"/>
      <c r="E584" s="108"/>
      <c r="F584" s="109"/>
      <c r="G584" s="99"/>
      <c r="H584" s="84"/>
      <c r="I584" s="73"/>
      <c r="J584" s="66"/>
      <c r="K584" s="75"/>
      <c r="L584" s="78"/>
      <c r="M584" s="85"/>
      <c r="N584" s="76"/>
      <c r="O584" s="58"/>
      <c r="P584" s="58"/>
      <c r="Q584" s="100"/>
      <c r="R584" s="101"/>
      <c r="S584" s="102"/>
    </row>
    <row r="585" spans="1:19" x14ac:dyDescent="0.35">
      <c r="A585" s="2"/>
      <c r="B585" s="68"/>
      <c r="C585" s="86"/>
      <c r="D585" s="107"/>
      <c r="E585" s="108"/>
      <c r="F585" s="109"/>
      <c r="G585" s="99"/>
      <c r="H585" s="84"/>
      <c r="I585" s="73"/>
      <c r="J585" s="66"/>
      <c r="K585" s="75"/>
      <c r="L585" s="78"/>
      <c r="M585" s="85"/>
      <c r="N585" s="76"/>
      <c r="O585" s="58"/>
      <c r="P585" s="58"/>
      <c r="Q585" s="100"/>
      <c r="R585" s="101"/>
      <c r="S585" s="102"/>
    </row>
    <row r="586" spans="1:19" x14ac:dyDescent="0.35">
      <c r="A586" s="2"/>
      <c r="B586" s="68"/>
      <c r="C586" s="86"/>
      <c r="D586" s="107"/>
      <c r="E586" s="108"/>
      <c r="F586" s="109"/>
      <c r="G586" s="99"/>
      <c r="H586" s="84"/>
      <c r="I586" s="73"/>
      <c r="J586" s="66"/>
      <c r="K586" s="75"/>
      <c r="L586" s="78"/>
      <c r="M586" s="85"/>
      <c r="N586" s="76"/>
      <c r="O586" s="58"/>
      <c r="P586" s="58"/>
      <c r="Q586" s="100"/>
      <c r="R586" s="101"/>
      <c r="S586" s="102"/>
    </row>
    <row r="587" spans="1:19" x14ac:dyDescent="0.35">
      <c r="A587" s="2"/>
      <c r="B587" s="68"/>
      <c r="C587" s="86"/>
      <c r="D587" s="107"/>
      <c r="E587" s="108"/>
      <c r="F587" s="109"/>
      <c r="G587" s="99"/>
      <c r="H587" s="84"/>
      <c r="I587" s="73"/>
      <c r="J587" s="66"/>
      <c r="K587" s="75"/>
      <c r="L587" s="78"/>
      <c r="M587" s="85"/>
      <c r="N587" s="76"/>
      <c r="O587" s="58"/>
      <c r="P587" s="58"/>
      <c r="Q587" s="100"/>
      <c r="R587" s="101"/>
      <c r="S587" s="102"/>
    </row>
    <row r="588" spans="1:19" x14ac:dyDescent="0.35">
      <c r="A588" s="2"/>
      <c r="B588" s="68"/>
      <c r="C588" s="86"/>
      <c r="D588" s="107"/>
      <c r="E588" s="108"/>
      <c r="F588" s="109"/>
      <c r="G588" s="99"/>
      <c r="H588" s="84"/>
      <c r="I588" s="73"/>
      <c r="J588" s="66"/>
      <c r="K588" s="75"/>
      <c r="L588" s="78"/>
      <c r="M588" s="85"/>
      <c r="N588" s="76"/>
      <c r="O588" s="58"/>
      <c r="P588" s="58"/>
      <c r="Q588" s="100"/>
      <c r="R588" s="101"/>
      <c r="S588" s="102"/>
    </row>
    <row r="589" spans="1:19" x14ac:dyDescent="0.35">
      <c r="A589" s="2"/>
      <c r="B589" s="68"/>
      <c r="C589" s="86"/>
      <c r="D589" s="107"/>
      <c r="E589" s="108"/>
      <c r="F589" s="98"/>
      <c r="G589" s="99"/>
      <c r="H589" s="84"/>
      <c r="I589" s="73"/>
      <c r="J589" s="66"/>
      <c r="K589" s="75"/>
      <c r="L589" s="78"/>
      <c r="M589" s="85"/>
      <c r="N589" s="76"/>
      <c r="O589" s="58"/>
      <c r="P589" s="58"/>
      <c r="Q589" s="100"/>
      <c r="R589" s="101"/>
      <c r="S589" s="102"/>
    </row>
    <row r="590" spans="1:19" x14ac:dyDescent="0.35">
      <c r="A590" s="2"/>
      <c r="B590" s="68"/>
      <c r="C590" s="86"/>
      <c r="D590" s="107"/>
      <c r="E590" s="108"/>
      <c r="F590" s="98"/>
      <c r="G590" s="99"/>
      <c r="H590" s="84"/>
      <c r="I590" s="73"/>
      <c r="J590" s="66"/>
      <c r="K590" s="75"/>
      <c r="L590" s="78"/>
      <c r="M590" s="85"/>
      <c r="N590" s="76"/>
      <c r="O590" s="58"/>
      <c r="P590" s="58"/>
      <c r="Q590" s="100"/>
      <c r="R590" s="101"/>
      <c r="S590" s="102"/>
    </row>
    <row r="591" spans="1:19" x14ac:dyDescent="0.35">
      <c r="A591" s="2"/>
      <c r="B591" s="68"/>
      <c r="C591" s="86"/>
      <c r="D591" s="107"/>
      <c r="E591" s="108"/>
      <c r="F591" s="109"/>
      <c r="G591" s="99"/>
      <c r="H591" s="84"/>
      <c r="I591" s="73"/>
      <c r="J591" s="66"/>
      <c r="K591" s="75"/>
      <c r="L591" s="78"/>
      <c r="M591" s="85"/>
      <c r="N591" s="76"/>
      <c r="O591" s="58"/>
      <c r="P591" s="58"/>
      <c r="Q591" s="100"/>
      <c r="R591" s="101"/>
      <c r="S591" s="102"/>
    </row>
    <row r="592" spans="1:19" x14ac:dyDescent="0.35">
      <c r="A592" s="2"/>
      <c r="B592" s="68"/>
      <c r="C592" s="86"/>
      <c r="D592" s="107"/>
      <c r="E592" s="108"/>
      <c r="F592" s="109"/>
      <c r="G592" s="99"/>
      <c r="H592" s="84"/>
      <c r="I592" s="73"/>
      <c r="J592" s="66"/>
      <c r="K592" s="75"/>
      <c r="L592" s="78"/>
      <c r="M592" s="85"/>
      <c r="N592" s="76"/>
      <c r="O592" s="58"/>
      <c r="P592" s="58"/>
      <c r="Q592" s="100"/>
      <c r="R592" s="101"/>
      <c r="S592" s="102"/>
    </row>
    <row r="593" spans="1:19" x14ac:dyDescent="0.35">
      <c r="A593" s="2"/>
      <c r="B593" s="68"/>
      <c r="C593" s="86"/>
      <c r="D593" s="107"/>
      <c r="E593" s="108"/>
      <c r="F593" s="109"/>
      <c r="G593" s="99"/>
      <c r="H593" s="84"/>
      <c r="I593" s="73"/>
      <c r="J593" s="66"/>
      <c r="K593" s="75"/>
      <c r="L593" s="78"/>
      <c r="M593" s="85"/>
      <c r="N593" s="76"/>
      <c r="O593" s="58"/>
      <c r="P593" s="58"/>
      <c r="Q593" s="100"/>
      <c r="R593" s="101"/>
      <c r="S593" s="102"/>
    </row>
    <row r="594" spans="1:19" x14ac:dyDescent="0.35">
      <c r="A594" s="2"/>
      <c r="B594" s="68"/>
      <c r="C594" s="86"/>
      <c r="D594" s="107"/>
      <c r="E594" s="108"/>
      <c r="F594" s="109"/>
      <c r="G594" s="99"/>
      <c r="H594" s="84"/>
      <c r="I594" s="73"/>
      <c r="J594" s="66"/>
      <c r="K594" s="75"/>
      <c r="L594" s="78"/>
      <c r="M594" s="85"/>
      <c r="N594" s="76"/>
      <c r="O594" s="58"/>
      <c r="P594" s="58"/>
      <c r="Q594" s="100"/>
      <c r="R594" s="101"/>
      <c r="S594" s="102"/>
    </row>
    <row r="595" spans="1:19" x14ac:dyDescent="0.35">
      <c r="A595" s="2"/>
      <c r="B595" s="68"/>
      <c r="C595" s="86"/>
      <c r="D595" s="107"/>
      <c r="E595" s="108"/>
      <c r="F595" s="109"/>
      <c r="G595" s="99"/>
      <c r="H595" s="84"/>
      <c r="I595" s="73"/>
      <c r="J595" s="66"/>
      <c r="K595" s="75"/>
      <c r="L595" s="78"/>
      <c r="M595" s="85"/>
      <c r="N595" s="76"/>
      <c r="O595" s="58"/>
      <c r="P595" s="58"/>
      <c r="Q595" s="100"/>
      <c r="R595" s="101"/>
      <c r="S595" s="102"/>
    </row>
    <row r="596" spans="1:19" x14ac:dyDescent="0.35">
      <c r="A596" s="2"/>
      <c r="B596" s="68"/>
      <c r="C596" s="86"/>
      <c r="D596" s="107"/>
      <c r="E596" s="108"/>
      <c r="F596" s="109"/>
      <c r="G596" s="99"/>
      <c r="H596" s="84"/>
      <c r="I596" s="73"/>
      <c r="J596" s="66"/>
      <c r="K596" s="75"/>
      <c r="L596" s="78"/>
      <c r="M596" s="85"/>
      <c r="N596" s="76"/>
      <c r="O596" s="58"/>
      <c r="P596" s="58"/>
      <c r="Q596" s="100"/>
      <c r="R596" s="101"/>
      <c r="S596" s="102"/>
    </row>
    <row r="597" spans="1:19" x14ac:dyDescent="0.35">
      <c r="A597" s="2"/>
      <c r="B597" s="68"/>
      <c r="C597" s="86"/>
      <c r="D597" s="107"/>
      <c r="E597" s="108"/>
      <c r="F597" s="109"/>
      <c r="G597" s="99"/>
      <c r="H597" s="84"/>
      <c r="I597" s="73"/>
      <c r="J597" s="66"/>
      <c r="K597" s="75"/>
      <c r="L597" s="78"/>
      <c r="M597" s="85"/>
      <c r="N597" s="76"/>
      <c r="O597" s="58"/>
      <c r="P597" s="58"/>
      <c r="Q597" s="100"/>
      <c r="R597" s="101"/>
      <c r="S597" s="102"/>
    </row>
    <row r="598" spans="1:19" x14ac:dyDescent="0.35">
      <c r="A598" s="2"/>
      <c r="B598" s="68"/>
      <c r="C598" s="86"/>
      <c r="D598" s="107"/>
      <c r="E598" s="108"/>
      <c r="F598" s="109"/>
      <c r="G598" s="99"/>
      <c r="H598" s="84"/>
      <c r="I598" s="73"/>
      <c r="J598" s="66"/>
      <c r="K598" s="75"/>
      <c r="L598" s="78"/>
      <c r="M598" s="85"/>
      <c r="N598" s="76"/>
      <c r="O598" s="58"/>
      <c r="P598" s="58"/>
      <c r="Q598" s="100"/>
      <c r="R598" s="101"/>
      <c r="S598" s="102"/>
    </row>
    <row r="599" spans="1:19" x14ac:dyDescent="0.35">
      <c r="A599" s="2"/>
      <c r="B599" s="68"/>
      <c r="C599" s="86"/>
      <c r="D599" s="107"/>
      <c r="E599" s="108"/>
      <c r="F599" s="109"/>
      <c r="G599" s="99"/>
      <c r="H599" s="84"/>
      <c r="I599" s="73"/>
      <c r="J599" s="66"/>
      <c r="K599" s="75"/>
      <c r="L599" s="78"/>
      <c r="M599" s="85"/>
      <c r="N599" s="76"/>
      <c r="O599" s="58"/>
      <c r="P599" s="58"/>
      <c r="Q599" s="100"/>
      <c r="R599" s="101"/>
      <c r="S599" s="102"/>
    </row>
    <row r="600" spans="1:19" x14ac:dyDescent="0.35">
      <c r="A600" s="2"/>
      <c r="B600" s="68"/>
      <c r="C600" s="86"/>
      <c r="D600" s="107"/>
      <c r="E600" s="108"/>
      <c r="F600" s="109"/>
      <c r="G600" s="99"/>
      <c r="H600" s="84"/>
      <c r="I600" s="73"/>
      <c r="J600" s="66"/>
      <c r="K600" s="75"/>
      <c r="L600" s="78"/>
      <c r="M600" s="85"/>
      <c r="N600" s="76"/>
      <c r="O600" s="58"/>
      <c r="P600" s="58"/>
      <c r="Q600" s="100"/>
      <c r="R600" s="101"/>
      <c r="S600" s="102"/>
    </row>
    <row r="601" spans="1:19" x14ac:dyDescent="0.35">
      <c r="A601" s="2"/>
      <c r="B601" s="68"/>
      <c r="C601" s="86"/>
      <c r="D601" s="107"/>
      <c r="E601" s="108"/>
      <c r="F601" s="109"/>
      <c r="G601" s="99"/>
      <c r="H601" s="84"/>
      <c r="I601" s="73"/>
      <c r="J601" s="66"/>
      <c r="K601" s="75"/>
      <c r="L601" s="78"/>
      <c r="M601" s="85"/>
      <c r="N601" s="76"/>
      <c r="O601" s="58"/>
      <c r="P601" s="58"/>
      <c r="Q601" s="100"/>
      <c r="R601" s="101"/>
      <c r="S601" s="102"/>
    </row>
    <row r="602" spans="1:19" x14ac:dyDescent="0.35">
      <c r="A602" s="2"/>
      <c r="B602" s="68"/>
      <c r="C602" s="86"/>
      <c r="D602" s="107"/>
      <c r="E602" s="108"/>
      <c r="F602" s="109"/>
      <c r="G602" s="99"/>
      <c r="H602" s="84"/>
      <c r="I602" s="73"/>
      <c r="J602" s="66"/>
      <c r="K602" s="75"/>
      <c r="L602" s="78"/>
      <c r="M602" s="85"/>
      <c r="N602" s="76"/>
      <c r="O602" s="58"/>
      <c r="P602" s="58"/>
      <c r="Q602" s="100"/>
      <c r="R602" s="101"/>
      <c r="S602" s="102"/>
    </row>
    <row r="603" spans="1:19" x14ac:dyDescent="0.35">
      <c r="A603" s="2"/>
      <c r="B603" s="68"/>
      <c r="C603" s="86"/>
      <c r="D603" s="107"/>
      <c r="E603" s="108"/>
      <c r="F603" s="109"/>
      <c r="G603" s="99"/>
      <c r="H603" s="84"/>
      <c r="I603" s="73"/>
      <c r="J603" s="66"/>
      <c r="K603" s="75"/>
      <c r="L603" s="78"/>
      <c r="M603" s="85"/>
      <c r="N603" s="76"/>
      <c r="O603" s="58"/>
      <c r="P603" s="58"/>
      <c r="Q603" s="100"/>
      <c r="R603" s="101"/>
      <c r="S603" s="102"/>
    </row>
    <row r="604" spans="1:19" x14ac:dyDescent="0.35">
      <c r="A604" s="2"/>
      <c r="B604" s="68"/>
      <c r="C604" s="86"/>
      <c r="D604" s="107"/>
      <c r="E604" s="108"/>
      <c r="F604" s="98"/>
      <c r="G604" s="99"/>
      <c r="H604" s="84"/>
      <c r="I604" s="73"/>
      <c r="J604" s="66"/>
      <c r="K604" s="75"/>
      <c r="L604" s="78"/>
      <c r="M604" s="85"/>
      <c r="N604" s="76"/>
      <c r="O604" s="58"/>
      <c r="P604" s="58"/>
      <c r="Q604" s="100"/>
      <c r="R604" s="101"/>
      <c r="S604" s="102"/>
    </row>
    <row r="605" spans="1:19" x14ac:dyDescent="0.35">
      <c r="A605" s="2"/>
      <c r="B605" s="68"/>
      <c r="C605" s="86"/>
      <c r="D605" s="107"/>
      <c r="E605" s="108"/>
      <c r="F605" s="98"/>
      <c r="G605" s="99"/>
      <c r="H605" s="84"/>
      <c r="I605" s="73"/>
      <c r="J605" s="66"/>
      <c r="K605" s="75"/>
      <c r="L605" s="78"/>
      <c r="M605" s="85"/>
      <c r="N605" s="76"/>
      <c r="O605" s="58"/>
      <c r="P605" s="58"/>
      <c r="Q605" s="100"/>
      <c r="R605" s="101"/>
      <c r="S605" s="102"/>
    </row>
    <row r="606" spans="1:19" x14ac:dyDescent="0.35">
      <c r="A606" s="2"/>
      <c r="B606" s="68"/>
      <c r="C606" s="86"/>
      <c r="D606" s="107"/>
      <c r="E606" s="108"/>
      <c r="F606" s="109"/>
      <c r="G606" s="99"/>
      <c r="H606" s="84"/>
      <c r="I606" s="73"/>
      <c r="J606" s="66"/>
      <c r="K606" s="75"/>
      <c r="L606" s="78"/>
      <c r="M606" s="85"/>
      <c r="N606" s="76"/>
      <c r="O606" s="58"/>
      <c r="P606" s="58"/>
      <c r="Q606" s="100"/>
      <c r="R606" s="101"/>
      <c r="S606" s="102"/>
    </row>
    <row r="607" spans="1:19" x14ac:dyDescent="0.35">
      <c r="A607" s="2"/>
      <c r="B607" s="68"/>
      <c r="C607" s="86"/>
      <c r="D607" s="107"/>
      <c r="E607" s="108"/>
      <c r="F607" s="109"/>
      <c r="G607" s="99"/>
      <c r="H607" s="84"/>
      <c r="I607" s="73"/>
      <c r="J607" s="66"/>
      <c r="K607" s="75"/>
      <c r="L607" s="78"/>
      <c r="M607" s="85"/>
      <c r="N607" s="76"/>
      <c r="O607" s="58"/>
      <c r="P607" s="58"/>
      <c r="Q607" s="100"/>
      <c r="R607" s="101"/>
      <c r="S607" s="102"/>
    </row>
    <row r="608" spans="1:19" x14ac:dyDescent="0.35">
      <c r="A608" s="2"/>
      <c r="B608" s="68"/>
      <c r="C608" s="86"/>
      <c r="D608" s="107"/>
      <c r="E608" s="108"/>
      <c r="F608" s="109"/>
      <c r="G608" s="99"/>
      <c r="H608" s="84"/>
      <c r="I608" s="73"/>
      <c r="J608" s="66"/>
      <c r="K608" s="75"/>
      <c r="L608" s="78"/>
      <c r="M608" s="85"/>
      <c r="N608" s="76"/>
      <c r="O608" s="58"/>
      <c r="P608" s="58"/>
      <c r="Q608" s="100"/>
      <c r="R608" s="101"/>
      <c r="S608" s="102"/>
    </row>
    <row r="609" spans="1:19" x14ac:dyDescent="0.35">
      <c r="A609" s="2"/>
      <c r="B609" s="68"/>
      <c r="C609" s="86"/>
      <c r="D609" s="107"/>
      <c r="E609" s="108"/>
      <c r="F609" s="109"/>
      <c r="G609" s="99"/>
      <c r="H609" s="84"/>
      <c r="I609" s="73"/>
      <c r="J609" s="66"/>
      <c r="K609" s="75"/>
      <c r="L609" s="78"/>
      <c r="M609" s="85"/>
      <c r="N609" s="76"/>
      <c r="O609" s="58"/>
      <c r="P609" s="58"/>
      <c r="Q609" s="100"/>
      <c r="R609" s="101"/>
      <c r="S609" s="102"/>
    </row>
    <row r="610" spans="1:19" x14ac:dyDescent="0.35">
      <c r="A610" s="2"/>
      <c r="B610" s="68"/>
      <c r="C610" s="86"/>
      <c r="D610" s="107"/>
      <c r="E610" s="108"/>
      <c r="F610" s="109"/>
      <c r="G610" s="99"/>
      <c r="H610" s="84"/>
      <c r="I610" s="73"/>
      <c r="J610" s="66"/>
      <c r="K610" s="75"/>
      <c r="L610" s="78"/>
      <c r="M610" s="85"/>
      <c r="N610" s="76"/>
      <c r="O610" s="58"/>
      <c r="P610" s="58"/>
      <c r="Q610" s="100"/>
      <c r="R610" s="101"/>
      <c r="S610" s="102"/>
    </row>
    <row r="611" spans="1:19" x14ac:dyDescent="0.35">
      <c r="A611" s="2"/>
      <c r="B611" s="68"/>
      <c r="C611" s="86"/>
      <c r="D611" s="107"/>
      <c r="E611" s="108"/>
      <c r="F611" s="109"/>
      <c r="G611" s="99"/>
      <c r="H611" s="84"/>
      <c r="I611" s="73"/>
      <c r="J611" s="66"/>
      <c r="K611" s="75"/>
      <c r="L611" s="78"/>
      <c r="M611" s="85"/>
      <c r="N611" s="76"/>
      <c r="O611" s="58"/>
      <c r="P611" s="58"/>
      <c r="Q611" s="100"/>
      <c r="R611" s="101"/>
      <c r="S611" s="102"/>
    </row>
    <row r="612" spans="1:19" x14ac:dyDescent="0.35">
      <c r="A612" s="2"/>
      <c r="B612" s="68"/>
      <c r="C612" s="86"/>
      <c r="D612" s="107"/>
      <c r="E612" s="108"/>
      <c r="F612" s="109"/>
      <c r="G612" s="99"/>
      <c r="H612" s="84"/>
      <c r="I612" s="73"/>
      <c r="J612" s="66"/>
      <c r="K612" s="75"/>
      <c r="L612" s="78"/>
      <c r="M612" s="85"/>
      <c r="N612" s="76"/>
      <c r="O612" s="58"/>
      <c r="P612" s="58"/>
      <c r="Q612" s="100"/>
      <c r="R612" s="101"/>
      <c r="S612" s="102"/>
    </row>
    <row r="613" spans="1:19" x14ac:dyDescent="0.35">
      <c r="A613" s="2"/>
      <c r="B613" s="68"/>
      <c r="C613" s="86"/>
      <c r="D613" s="107"/>
      <c r="E613" s="108"/>
      <c r="F613" s="109"/>
      <c r="G613" s="99"/>
      <c r="H613" s="84"/>
      <c r="I613" s="73"/>
      <c r="J613" s="66"/>
      <c r="K613" s="75"/>
      <c r="L613" s="78"/>
      <c r="M613" s="85"/>
      <c r="N613" s="76"/>
      <c r="O613" s="58"/>
      <c r="P613" s="58"/>
      <c r="Q613" s="100"/>
      <c r="R613" s="101"/>
      <c r="S613" s="102"/>
    </row>
    <row r="614" spans="1:19" x14ac:dyDescent="0.35">
      <c r="A614" s="2"/>
      <c r="B614" s="68"/>
      <c r="C614" s="86"/>
      <c r="D614" s="107"/>
      <c r="E614" s="108"/>
      <c r="F614" s="109"/>
      <c r="G614" s="99"/>
      <c r="H614" s="84"/>
      <c r="I614" s="73"/>
      <c r="J614" s="66"/>
      <c r="K614" s="75"/>
      <c r="L614" s="78"/>
      <c r="M614" s="85"/>
      <c r="N614" s="76"/>
      <c r="O614" s="58"/>
      <c r="P614" s="58"/>
      <c r="Q614" s="100"/>
      <c r="R614" s="101"/>
      <c r="S614" s="102"/>
    </row>
    <row r="615" spans="1:19" x14ac:dyDescent="0.35">
      <c r="A615" s="2"/>
      <c r="B615" s="68"/>
      <c r="C615" s="86"/>
      <c r="D615" s="107"/>
      <c r="E615" s="108"/>
      <c r="F615" s="109"/>
      <c r="G615" s="99"/>
      <c r="H615" s="84"/>
      <c r="I615" s="73"/>
      <c r="J615" s="66"/>
      <c r="K615" s="75"/>
      <c r="L615" s="78"/>
      <c r="M615" s="85"/>
      <c r="N615" s="76"/>
      <c r="O615" s="58"/>
      <c r="P615" s="58"/>
      <c r="Q615" s="100"/>
      <c r="R615" s="101"/>
      <c r="S615" s="102"/>
    </row>
    <row r="616" spans="1:19" x14ac:dyDescent="0.35">
      <c r="A616" s="2"/>
      <c r="B616" s="68"/>
      <c r="C616" s="86"/>
      <c r="D616" s="107"/>
      <c r="E616" s="108"/>
      <c r="F616" s="109"/>
      <c r="G616" s="99"/>
      <c r="H616" s="84"/>
      <c r="I616" s="73"/>
      <c r="J616" s="66"/>
      <c r="K616" s="75"/>
      <c r="L616" s="78"/>
      <c r="M616" s="85"/>
      <c r="N616" s="76"/>
      <c r="O616" s="58"/>
      <c r="P616" s="58"/>
      <c r="Q616" s="100"/>
      <c r="R616" s="101"/>
      <c r="S616" s="102"/>
    </row>
    <row r="617" spans="1:19" x14ac:dyDescent="0.35">
      <c r="A617" s="2"/>
      <c r="B617" s="68"/>
      <c r="C617" s="86"/>
      <c r="D617" s="107"/>
      <c r="E617" s="108"/>
      <c r="F617" s="109"/>
      <c r="G617" s="99"/>
      <c r="H617" s="84"/>
      <c r="I617" s="73"/>
      <c r="J617" s="66"/>
      <c r="K617" s="75"/>
      <c r="L617" s="78"/>
      <c r="M617" s="85"/>
      <c r="N617" s="76"/>
      <c r="O617" s="58"/>
      <c r="P617" s="58"/>
      <c r="Q617" s="100"/>
      <c r="R617" s="101"/>
      <c r="S617" s="102"/>
    </row>
    <row r="618" spans="1:19" x14ac:dyDescent="0.35">
      <c r="A618" s="2"/>
      <c r="B618" s="68"/>
      <c r="C618" s="86"/>
      <c r="D618" s="107"/>
      <c r="E618" s="108"/>
      <c r="F618" s="109"/>
      <c r="G618" s="99"/>
      <c r="H618" s="84"/>
      <c r="I618" s="73"/>
      <c r="J618" s="66"/>
      <c r="K618" s="75"/>
      <c r="L618" s="78"/>
      <c r="M618" s="85"/>
      <c r="N618" s="76"/>
      <c r="O618" s="58"/>
      <c r="P618" s="58"/>
      <c r="Q618" s="100"/>
      <c r="R618" s="101"/>
      <c r="S618" s="102"/>
    </row>
    <row r="619" spans="1:19" x14ac:dyDescent="0.35">
      <c r="A619" s="2"/>
      <c r="B619" s="68"/>
      <c r="C619" s="86"/>
      <c r="D619" s="107"/>
      <c r="E619" s="108"/>
      <c r="F619" s="109"/>
      <c r="G619" s="99"/>
      <c r="H619" s="84"/>
      <c r="I619" s="73"/>
      <c r="J619" s="66"/>
      <c r="K619" s="75"/>
      <c r="L619" s="78"/>
      <c r="M619" s="85"/>
      <c r="N619" s="76"/>
      <c r="O619" s="58"/>
      <c r="P619" s="58"/>
      <c r="Q619" s="100"/>
      <c r="R619" s="101"/>
      <c r="S619" s="102"/>
    </row>
    <row r="620" spans="1:19" x14ac:dyDescent="0.35">
      <c r="A620" s="2"/>
      <c r="B620" s="68"/>
      <c r="C620" s="86"/>
      <c r="D620" s="107"/>
      <c r="E620" s="108"/>
      <c r="F620" s="109"/>
      <c r="G620" s="99"/>
      <c r="H620" s="84"/>
      <c r="I620" s="73"/>
      <c r="J620" s="66"/>
      <c r="K620" s="75"/>
      <c r="L620" s="78"/>
      <c r="M620" s="85"/>
      <c r="N620" s="76"/>
      <c r="O620" s="58"/>
      <c r="P620" s="58"/>
      <c r="Q620" s="100"/>
      <c r="R620" s="101"/>
      <c r="S620" s="102"/>
    </row>
    <row r="621" spans="1:19" x14ac:dyDescent="0.35">
      <c r="A621" s="2"/>
      <c r="B621" s="68"/>
      <c r="C621" s="86"/>
      <c r="D621" s="107"/>
      <c r="E621" s="108"/>
      <c r="F621" s="109"/>
      <c r="G621" s="99"/>
      <c r="H621" s="84"/>
      <c r="I621" s="73"/>
      <c r="J621" s="66"/>
      <c r="K621" s="75"/>
      <c r="L621" s="78"/>
      <c r="M621" s="85"/>
      <c r="N621" s="76"/>
      <c r="O621" s="58"/>
      <c r="P621" s="58"/>
      <c r="Q621" s="100"/>
      <c r="R621" s="101"/>
      <c r="S621" s="102"/>
    </row>
    <row r="622" spans="1:19" x14ac:dyDescent="0.35">
      <c r="A622" s="2"/>
      <c r="B622" s="68"/>
      <c r="C622" s="86"/>
      <c r="D622" s="107"/>
      <c r="E622" s="108"/>
      <c r="F622" s="98"/>
      <c r="G622" s="99"/>
      <c r="H622" s="84"/>
      <c r="I622" s="73"/>
      <c r="J622" s="66"/>
      <c r="K622" s="75"/>
      <c r="L622" s="78"/>
      <c r="M622" s="85"/>
      <c r="N622" s="76"/>
      <c r="O622" s="58"/>
      <c r="P622" s="58"/>
      <c r="Q622" s="100"/>
      <c r="R622" s="101"/>
      <c r="S622" s="102"/>
    </row>
    <row r="623" spans="1:19" x14ac:dyDescent="0.35">
      <c r="A623" s="2"/>
      <c r="B623" s="68"/>
      <c r="C623" s="86"/>
      <c r="D623" s="107"/>
      <c r="E623" s="108"/>
      <c r="F623" s="98"/>
      <c r="G623" s="99"/>
      <c r="H623" s="84"/>
      <c r="I623" s="73"/>
      <c r="J623" s="66"/>
      <c r="K623" s="75"/>
      <c r="L623" s="78"/>
      <c r="M623" s="85"/>
      <c r="N623" s="76"/>
      <c r="O623" s="58"/>
      <c r="P623" s="58"/>
      <c r="Q623" s="100"/>
      <c r="R623" s="101"/>
      <c r="S623" s="102"/>
    </row>
    <row r="624" spans="1:19" x14ac:dyDescent="0.35">
      <c r="A624" s="2"/>
      <c r="B624" s="68"/>
      <c r="C624" s="86"/>
      <c r="D624" s="107"/>
      <c r="E624" s="108"/>
      <c r="F624" s="109"/>
      <c r="G624" s="99"/>
      <c r="H624" s="84"/>
      <c r="I624" s="73"/>
      <c r="J624" s="66"/>
      <c r="K624" s="75"/>
      <c r="L624" s="78"/>
      <c r="M624" s="85"/>
      <c r="N624" s="76"/>
      <c r="O624" s="58"/>
      <c r="P624" s="58"/>
      <c r="Q624" s="100"/>
      <c r="R624" s="101"/>
      <c r="S624" s="102"/>
    </row>
    <row r="625" spans="1:19" x14ac:dyDescent="0.35">
      <c r="A625" s="2"/>
      <c r="B625" s="68"/>
      <c r="C625" s="86"/>
      <c r="D625" s="107"/>
      <c r="E625" s="108"/>
      <c r="F625" s="109"/>
      <c r="G625" s="99"/>
      <c r="H625" s="84"/>
      <c r="I625" s="73"/>
      <c r="J625" s="66"/>
      <c r="K625" s="75"/>
      <c r="L625" s="78"/>
      <c r="M625" s="85"/>
      <c r="N625" s="76"/>
      <c r="O625" s="58"/>
      <c r="P625" s="58"/>
      <c r="Q625" s="100"/>
      <c r="R625" s="101"/>
      <c r="S625" s="102"/>
    </row>
    <row r="626" spans="1:19" x14ac:dyDescent="0.35">
      <c r="A626" s="2"/>
      <c r="B626" s="68"/>
      <c r="C626" s="86"/>
      <c r="D626" s="107"/>
      <c r="E626" s="108"/>
      <c r="F626" s="109"/>
      <c r="G626" s="99"/>
      <c r="H626" s="84"/>
      <c r="I626" s="73"/>
      <c r="J626" s="66"/>
      <c r="K626" s="75"/>
      <c r="L626" s="78"/>
      <c r="M626" s="85"/>
      <c r="N626" s="76"/>
      <c r="O626" s="58"/>
      <c r="P626" s="58"/>
      <c r="Q626" s="100"/>
      <c r="R626" s="101"/>
      <c r="S626" s="102"/>
    </row>
    <row r="627" spans="1:19" x14ac:dyDescent="0.35">
      <c r="A627" s="2"/>
      <c r="B627" s="68"/>
      <c r="C627" s="86"/>
      <c r="D627" s="107"/>
      <c r="E627" s="108"/>
      <c r="F627" s="109"/>
      <c r="G627" s="99"/>
      <c r="H627" s="84"/>
      <c r="I627" s="73"/>
      <c r="J627" s="66"/>
      <c r="K627" s="75"/>
      <c r="L627" s="78"/>
      <c r="M627" s="85"/>
      <c r="N627" s="76"/>
      <c r="O627" s="58"/>
      <c r="P627" s="58"/>
      <c r="Q627" s="100"/>
      <c r="R627" s="101"/>
      <c r="S627" s="102"/>
    </row>
    <row r="628" spans="1:19" x14ac:dyDescent="0.35">
      <c r="A628" s="2"/>
      <c r="B628" s="68"/>
      <c r="C628" s="86"/>
      <c r="D628" s="107"/>
      <c r="E628" s="108"/>
      <c r="F628" s="109"/>
      <c r="G628" s="99"/>
      <c r="H628" s="84"/>
      <c r="I628" s="73"/>
      <c r="J628" s="66"/>
      <c r="K628" s="75"/>
      <c r="L628" s="78"/>
      <c r="M628" s="85"/>
      <c r="N628" s="76"/>
      <c r="O628" s="58"/>
      <c r="P628" s="58"/>
      <c r="Q628" s="100"/>
      <c r="R628" s="101"/>
      <c r="S628" s="102"/>
    </row>
    <row r="629" spans="1:19" x14ac:dyDescent="0.35">
      <c r="A629" s="2"/>
      <c r="B629" s="68"/>
      <c r="C629" s="86"/>
      <c r="D629" s="107"/>
      <c r="E629" s="108"/>
      <c r="F629" s="109"/>
      <c r="G629" s="99"/>
      <c r="H629" s="84"/>
      <c r="I629" s="73"/>
      <c r="J629" s="66"/>
      <c r="K629" s="75"/>
      <c r="L629" s="78"/>
      <c r="M629" s="85"/>
      <c r="N629" s="76"/>
      <c r="O629" s="58"/>
      <c r="P629" s="58"/>
      <c r="Q629" s="100"/>
      <c r="R629" s="101"/>
      <c r="S629" s="102"/>
    </row>
    <row r="630" spans="1:19" x14ac:dyDescent="0.35">
      <c r="A630" s="2"/>
      <c r="B630" s="68"/>
      <c r="C630" s="86"/>
      <c r="D630" s="107"/>
      <c r="E630" s="108"/>
      <c r="F630" s="109"/>
      <c r="G630" s="99"/>
      <c r="H630" s="84"/>
      <c r="I630" s="73"/>
      <c r="J630" s="66"/>
      <c r="K630" s="75"/>
      <c r="L630" s="78"/>
      <c r="M630" s="85"/>
      <c r="N630" s="76"/>
      <c r="O630" s="58"/>
      <c r="P630" s="58"/>
      <c r="Q630" s="100"/>
      <c r="R630" s="101"/>
      <c r="S630" s="102"/>
    </row>
    <row r="631" spans="1:19" x14ac:dyDescent="0.35">
      <c r="A631" s="2"/>
      <c r="B631" s="68"/>
      <c r="C631" s="86"/>
      <c r="D631" s="107"/>
      <c r="E631" s="108"/>
      <c r="F631" s="109"/>
      <c r="G631" s="99"/>
      <c r="H631" s="84"/>
      <c r="I631" s="73"/>
      <c r="J631" s="66"/>
      <c r="K631" s="75"/>
      <c r="L631" s="78"/>
      <c r="M631" s="85"/>
      <c r="N631" s="76"/>
      <c r="O631" s="58"/>
      <c r="P631" s="58"/>
      <c r="Q631" s="100"/>
      <c r="R631" s="101"/>
      <c r="S631" s="102"/>
    </row>
    <row r="632" spans="1:19" x14ac:dyDescent="0.35">
      <c r="A632" s="2"/>
      <c r="B632" s="68"/>
      <c r="C632" s="86"/>
      <c r="D632" s="107"/>
      <c r="E632" s="108"/>
      <c r="F632" s="109"/>
      <c r="G632" s="99"/>
      <c r="H632" s="84"/>
      <c r="I632" s="73"/>
      <c r="J632" s="66"/>
      <c r="K632" s="75"/>
      <c r="L632" s="78"/>
      <c r="M632" s="85"/>
      <c r="N632" s="76"/>
      <c r="O632" s="58"/>
      <c r="P632" s="58"/>
      <c r="Q632" s="100"/>
      <c r="R632" s="101"/>
      <c r="S632" s="102"/>
    </row>
    <row r="633" spans="1:19" x14ac:dyDescent="0.35">
      <c r="A633" s="2"/>
      <c r="B633" s="68"/>
      <c r="C633" s="86"/>
      <c r="D633" s="107"/>
      <c r="E633" s="108"/>
      <c r="F633" s="109"/>
      <c r="G633" s="99"/>
      <c r="H633" s="84"/>
      <c r="I633" s="73"/>
      <c r="J633" s="66"/>
      <c r="K633" s="75"/>
      <c r="L633" s="78"/>
      <c r="M633" s="85"/>
      <c r="N633" s="76"/>
      <c r="O633" s="58"/>
      <c r="P633" s="58"/>
      <c r="Q633" s="100"/>
      <c r="R633" s="101"/>
      <c r="S633" s="102"/>
    </row>
    <row r="634" spans="1:19" x14ac:dyDescent="0.35">
      <c r="A634" s="2"/>
      <c r="B634" s="68"/>
      <c r="C634" s="86"/>
      <c r="D634" s="107"/>
      <c r="E634" s="108"/>
      <c r="F634" s="109"/>
      <c r="G634" s="99"/>
      <c r="H634" s="84"/>
      <c r="I634" s="73"/>
      <c r="J634" s="66"/>
      <c r="K634" s="75"/>
      <c r="L634" s="78"/>
      <c r="M634" s="85"/>
      <c r="N634" s="76"/>
      <c r="O634" s="58"/>
      <c r="P634" s="58"/>
      <c r="Q634" s="100"/>
      <c r="R634" s="101"/>
      <c r="S634" s="102"/>
    </row>
    <row r="635" spans="1:19" x14ac:dyDescent="0.35">
      <c r="A635" s="2"/>
      <c r="B635" s="68"/>
      <c r="C635" s="86"/>
      <c r="D635" s="107"/>
      <c r="E635" s="108"/>
      <c r="F635" s="109"/>
      <c r="G635" s="99"/>
      <c r="H635" s="84"/>
      <c r="I635" s="73"/>
      <c r="J635" s="66"/>
      <c r="K635" s="75"/>
      <c r="L635" s="78"/>
      <c r="M635" s="85"/>
      <c r="N635" s="76"/>
      <c r="O635" s="58"/>
      <c r="P635" s="58"/>
      <c r="Q635" s="100"/>
      <c r="R635" s="101"/>
      <c r="S635" s="102"/>
    </row>
    <row r="636" spans="1:19" x14ac:dyDescent="0.35">
      <c r="A636" s="2"/>
      <c r="B636" s="68"/>
      <c r="C636" s="86"/>
      <c r="D636" s="107"/>
      <c r="E636" s="108"/>
      <c r="F636" s="109"/>
      <c r="G636" s="99"/>
      <c r="H636" s="84"/>
      <c r="I636" s="73"/>
      <c r="J636" s="66"/>
      <c r="K636" s="75"/>
      <c r="L636" s="78"/>
      <c r="M636" s="85"/>
      <c r="N636" s="76"/>
      <c r="O636" s="58"/>
      <c r="P636" s="58"/>
      <c r="Q636" s="100"/>
      <c r="R636" s="101"/>
      <c r="S636" s="102"/>
    </row>
    <row r="637" spans="1:19" x14ac:dyDescent="0.35">
      <c r="A637" s="2"/>
      <c r="B637" s="68"/>
      <c r="C637" s="86"/>
      <c r="D637" s="107"/>
      <c r="E637" s="108"/>
      <c r="F637" s="109"/>
      <c r="G637" s="99"/>
      <c r="H637" s="84"/>
      <c r="I637" s="73"/>
      <c r="J637" s="66"/>
      <c r="K637" s="75"/>
      <c r="L637" s="78"/>
      <c r="M637" s="85"/>
      <c r="N637" s="76"/>
      <c r="O637" s="58"/>
      <c r="P637" s="58"/>
      <c r="Q637" s="100"/>
      <c r="R637" s="101"/>
      <c r="S637" s="102"/>
    </row>
    <row r="638" spans="1:19" x14ac:dyDescent="0.35">
      <c r="A638" s="2"/>
      <c r="B638" s="68"/>
      <c r="C638" s="86"/>
      <c r="D638" s="107"/>
      <c r="E638" s="108"/>
      <c r="F638" s="109"/>
      <c r="G638" s="99"/>
      <c r="H638" s="84"/>
      <c r="I638" s="73"/>
      <c r="J638" s="66"/>
      <c r="K638" s="75"/>
      <c r="L638" s="78"/>
      <c r="M638" s="85"/>
      <c r="N638" s="76"/>
      <c r="O638" s="58"/>
      <c r="P638" s="58"/>
      <c r="Q638" s="100"/>
      <c r="R638" s="101"/>
      <c r="S638" s="102"/>
    </row>
    <row r="639" spans="1:19" x14ac:dyDescent="0.35">
      <c r="A639" s="2"/>
      <c r="B639" s="68"/>
      <c r="C639" s="86"/>
      <c r="D639" s="107"/>
      <c r="E639" s="108"/>
      <c r="F639" s="98"/>
      <c r="G639" s="99"/>
      <c r="H639" s="84"/>
      <c r="I639" s="73"/>
      <c r="J639" s="66"/>
      <c r="K639" s="75"/>
      <c r="L639" s="78"/>
      <c r="M639" s="85"/>
      <c r="N639" s="76"/>
      <c r="O639" s="58"/>
      <c r="P639" s="58"/>
      <c r="Q639" s="100"/>
      <c r="R639" s="101"/>
      <c r="S639" s="102"/>
    </row>
    <row r="640" spans="1:19" x14ac:dyDescent="0.35">
      <c r="A640" s="2"/>
      <c r="B640" s="68"/>
      <c r="C640" s="86"/>
      <c r="D640" s="107"/>
      <c r="E640" s="108"/>
      <c r="F640" s="98"/>
      <c r="G640" s="99"/>
      <c r="H640" s="84"/>
      <c r="I640" s="73"/>
      <c r="J640" s="66"/>
      <c r="K640" s="75"/>
      <c r="L640" s="78"/>
      <c r="M640" s="85"/>
      <c r="N640" s="76"/>
      <c r="O640" s="58"/>
      <c r="P640" s="58"/>
      <c r="Q640" s="100"/>
      <c r="R640" s="101"/>
      <c r="S640" s="102"/>
    </row>
    <row r="641" spans="1:19" x14ac:dyDescent="0.35">
      <c r="A641" s="2"/>
      <c r="B641" s="68"/>
      <c r="C641" s="86"/>
      <c r="D641" s="107"/>
      <c r="E641" s="108"/>
      <c r="F641" s="109"/>
      <c r="G641" s="99"/>
      <c r="H641" s="84"/>
      <c r="I641" s="73"/>
      <c r="J641" s="66"/>
      <c r="K641" s="75"/>
      <c r="L641" s="78"/>
      <c r="M641" s="85"/>
      <c r="N641" s="76"/>
      <c r="O641" s="58"/>
      <c r="P641" s="58"/>
      <c r="Q641" s="100"/>
      <c r="R641" s="101"/>
      <c r="S641" s="102"/>
    </row>
    <row r="642" spans="1:19" x14ac:dyDescent="0.35">
      <c r="A642" s="2"/>
      <c r="B642" s="68"/>
      <c r="C642" s="86"/>
      <c r="D642" s="107"/>
      <c r="E642" s="108"/>
      <c r="F642" s="109"/>
      <c r="G642" s="99"/>
      <c r="H642" s="84"/>
      <c r="I642" s="73"/>
      <c r="J642" s="66"/>
      <c r="K642" s="75"/>
      <c r="L642" s="78"/>
      <c r="M642" s="85"/>
      <c r="N642" s="76"/>
      <c r="O642" s="58"/>
      <c r="P642" s="58"/>
      <c r="Q642" s="100"/>
      <c r="R642" s="101"/>
      <c r="S642" s="102"/>
    </row>
    <row r="643" spans="1:19" x14ac:dyDescent="0.35">
      <c r="A643" s="2"/>
      <c r="B643" s="68"/>
      <c r="C643" s="86"/>
      <c r="D643" s="107"/>
      <c r="E643" s="108"/>
      <c r="F643" s="109"/>
      <c r="G643" s="99"/>
      <c r="H643" s="84"/>
      <c r="I643" s="73"/>
      <c r="J643" s="66"/>
      <c r="K643" s="75"/>
      <c r="L643" s="78"/>
      <c r="M643" s="85"/>
      <c r="N643" s="76"/>
      <c r="O643" s="58"/>
      <c r="P643" s="58"/>
      <c r="Q643" s="100"/>
      <c r="R643" s="101"/>
      <c r="S643" s="102"/>
    </row>
    <row r="644" spans="1:19" x14ac:dyDescent="0.35">
      <c r="A644" s="2"/>
      <c r="B644" s="68"/>
      <c r="C644" s="86"/>
      <c r="D644" s="107"/>
      <c r="E644" s="108"/>
      <c r="F644" s="109"/>
      <c r="G644" s="99"/>
      <c r="H644" s="84"/>
      <c r="I644" s="73"/>
      <c r="J644" s="66"/>
      <c r="K644" s="75"/>
      <c r="L644" s="78"/>
      <c r="M644" s="85"/>
      <c r="N644" s="76"/>
      <c r="O644" s="58"/>
      <c r="P644" s="58"/>
      <c r="Q644" s="100"/>
      <c r="R644" s="101"/>
      <c r="S644" s="102"/>
    </row>
    <row r="645" spans="1:19" x14ac:dyDescent="0.35">
      <c r="A645" s="2"/>
      <c r="B645" s="68"/>
      <c r="C645" s="86"/>
      <c r="D645" s="107"/>
      <c r="E645" s="108"/>
      <c r="F645" s="109"/>
      <c r="G645" s="99"/>
      <c r="H645" s="84"/>
      <c r="I645" s="73"/>
      <c r="J645" s="66"/>
      <c r="K645" s="75"/>
      <c r="L645" s="78"/>
      <c r="M645" s="85"/>
      <c r="N645" s="76"/>
      <c r="O645" s="58"/>
      <c r="P645" s="58"/>
      <c r="Q645" s="100"/>
      <c r="R645" s="101"/>
      <c r="S645" s="102"/>
    </row>
    <row r="646" spans="1:19" x14ac:dyDescent="0.35">
      <c r="A646" s="2"/>
      <c r="B646" s="68"/>
      <c r="C646" s="86"/>
      <c r="D646" s="107"/>
      <c r="E646" s="108"/>
      <c r="F646" s="109"/>
      <c r="G646" s="99"/>
      <c r="H646" s="84"/>
      <c r="I646" s="73"/>
      <c r="J646" s="66"/>
      <c r="K646" s="75"/>
      <c r="L646" s="78"/>
      <c r="M646" s="85"/>
      <c r="N646" s="76"/>
      <c r="O646" s="58"/>
      <c r="P646" s="58"/>
      <c r="Q646" s="100"/>
      <c r="R646" s="101"/>
      <c r="S646" s="102"/>
    </row>
    <row r="647" spans="1:19" x14ac:dyDescent="0.35">
      <c r="A647" s="2"/>
      <c r="B647" s="68"/>
      <c r="C647" s="86"/>
      <c r="D647" s="107"/>
      <c r="E647" s="108"/>
      <c r="F647" s="109"/>
      <c r="G647" s="99"/>
      <c r="H647" s="84"/>
      <c r="I647" s="73"/>
      <c r="J647" s="66"/>
      <c r="K647" s="75"/>
      <c r="L647" s="78"/>
      <c r="M647" s="85"/>
      <c r="N647" s="76"/>
      <c r="O647" s="58"/>
      <c r="P647" s="58"/>
      <c r="Q647" s="100"/>
      <c r="R647" s="101"/>
      <c r="S647" s="102"/>
    </row>
    <row r="648" spans="1:19" x14ac:dyDescent="0.35">
      <c r="A648" s="2"/>
      <c r="B648" s="68"/>
      <c r="C648" s="86"/>
      <c r="D648" s="107"/>
      <c r="E648" s="108"/>
      <c r="F648" s="109"/>
      <c r="G648" s="99"/>
      <c r="H648" s="84"/>
      <c r="I648" s="73"/>
      <c r="J648" s="66"/>
      <c r="K648" s="75"/>
      <c r="L648" s="78"/>
      <c r="M648" s="85"/>
      <c r="N648" s="76"/>
      <c r="O648" s="58"/>
      <c r="P648" s="58"/>
      <c r="Q648" s="100"/>
      <c r="R648" s="101"/>
      <c r="S648" s="102"/>
    </row>
    <row r="649" spans="1:19" x14ac:dyDescent="0.35">
      <c r="E649" s="110">
        <f>SUM(E10:E648)</f>
        <v>4564.6899999999996</v>
      </c>
      <c r="R649" s="21">
        <f>SUM(R10:R648)</f>
        <v>16979.817934065941</v>
      </c>
    </row>
  </sheetData>
  <autoFilter ref="A9:S649" xr:uid="{49F46B90-A24E-4945-9930-6BB367B2DA22}"/>
  <sortState xmlns:xlrd2="http://schemas.microsoft.com/office/spreadsheetml/2017/richdata2" ref="A638:S648">
    <sortCondition ref="H638:H648"/>
  </sortState>
  <mergeCells count="10">
    <mergeCell ref="J6:J7"/>
    <mergeCell ref="K6:K7"/>
    <mergeCell ref="L6:L7"/>
    <mergeCell ref="M6:M7"/>
    <mergeCell ref="A6:A7"/>
    <mergeCell ref="B6:B7"/>
    <mergeCell ref="C6:C7"/>
    <mergeCell ref="D6:D7"/>
    <mergeCell ref="E6:F6"/>
    <mergeCell ref="H6:I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4437D0EEC6148910C09DC0F972C09" ma:contentTypeVersion="3" ma:contentTypeDescription="Create a new document." ma:contentTypeScope="" ma:versionID="d02948b987355fbffa401d36c3e20660">
  <xsd:schema xmlns:xsd="http://www.w3.org/2001/XMLSchema" xmlns:xs="http://www.w3.org/2001/XMLSchema" xmlns:p="http://schemas.microsoft.com/office/2006/metadata/properties" xmlns:ns3="9bcd9e51-e0cd-49d5-a636-3650dd72abbc" targetNamespace="http://schemas.microsoft.com/office/2006/metadata/properties" ma:root="true" ma:fieldsID="d0b6e9a56971586749062cce2bb5a19a" ns3:_="">
    <xsd:import namespace="9bcd9e51-e0cd-49d5-a636-3650dd72ab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d9e51-e0cd-49d5-a636-3650dd72a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B4F5C0-C359-4297-9FB0-F57D34CF3E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cd9e51-e0cd-49d5-a636-3650dd72a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BECF2F-6909-4B7C-9C08-AD3BEC837417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9bcd9e51-e0cd-49d5-a636-3650dd72abbc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77A911B-C367-47D0-AFC1-09B87462CF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etri sulistiono</dc:creator>
  <cp:lastModifiedBy>etri sulistiono</cp:lastModifiedBy>
  <cp:lastPrinted>2024-11-26T23:43:05Z</cp:lastPrinted>
  <dcterms:created xsi:type="dcterms:W3CDTF">2024-01-29T01:13:10Z</dcterms:created>
  <dcterms:modified xsi:type="dcterms:W3CDTF">2025-12-15T07:09:06Z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0x0101001D54437D0EEC6148910C09DC0F972C09</vt:lpwstr>
  </property>
</Properties>
</file>